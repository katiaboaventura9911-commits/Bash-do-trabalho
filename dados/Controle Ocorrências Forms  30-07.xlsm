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2.xml" ContentType="application/vnd.ms-excel.slicer+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updateLinks="never" codeName="EstaPastaDeTrabalho" hidePivotFieldList="1" defaultThemeVersion="166925"/>
  <mc:AlternateContent xmlns:mc="http://schemas.openxmlformats.org/markup-compatibility/2006">
    <mc:Choice Requires="x15">
      <x15ac:absPath xmlns:x15ac="http://schemas.microsoft.com/office/spreadsheetml/2010/11/ac" url="https://bat.sharepoint.com/sites/EstoqueCDCuritiba/Shared Documents/Backup Arquivos Estoque/012. Controle de Ocorrências/"/>
    </mc:Choice>
  </mc:AlternateContent>
  <xr:revisionPtr revIDLastSave="8193" documentId="8_{13D3B36D-B7E8-4E5E-AB6C-85545E07543C}" xr6:coauthVersionLast="47" xr6:coauthVersionMax="47" xr10:uidLastSave="{57FE1F0A-8286-4504-8A33-D7D6EACF51FE}"/>
  <bookViews>
    <workbookView xWindow="-120" yWindow="-120" windowWidth="38640" windowHeight="21120" tabRatio="518" activeTab="3" xr2:uid="{00000000-000D-0000-FFFF-FFFF00000000}"/>
  </bookViews>
  <sheets>
    <sheet name="Resumo" sheetId="28" r:id="rId1"/>
    <sheet name="Tabela_Dinâmica" sheetId="36" r:id="rId2"/>
    <sheet name="Minuta Retorno" sheetId="2" r:id="rId3"/>
    <sheet name="Base" sheetId="33" r:id="rId4"/>
    <sheet name="Hierarquia" sheetId="18" state="hidden" r:id="rId5"/>
  </sheets>
  <definedNames>
    <definedName name="_xlnm._FilterDatabase" localSheetId="3" hidden="1">Base!$A$2:$O$3</definedName>
    <definedName name="_xlnm._FilterDatabase" localSheetId="4" hidden="1">Hierarquia!$A$1:$R$75</definedName>
    <definedName name="_xlnm._FilterDatabase" localSheetId="0" hidden="1">Resumo!$C$7:$F$13</definedName>
    <definedName name="_xleta.IFERROR" hidden="1" xlm="1">#NAME?</definedName>
    <definedName name="_xleta.LOOKUP" hidden="1" xlm="1">#NAME?</definedName>
    <definedName name="_xleta.T" hidden="1" xlm="1">#NAME?</definedName>
    <definedName name="_xleta.VLOOKUP" hidden="1" xlm="1">#NAME?</definedName>
    <definedName name="SegmentaçãodeDados_Mês">#N/A</definedName>
    <definedName name="SegmentaçãodeDados_Mês1">#N/A</definedName>
    <definedName name="SegmentaçãodeDados_Procedência">#N/A</definedName>
    <definedName name="SegmentaçãodeDados_Território">#N/A</definedName>
  </definedNames>
  <calcPr calcId="191029"/>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4:slicerCache r:id="rId9"/>
        <x14:slicerCache r:id="rId1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07" i="33" l="1"/>
  <c r="M307" i="33"/>
  <c r="E308" i="33"/>
  <c r="M308" i="33"/>
  <c r="E304" i="33"/>
  <c r="E305" i="33"/>
  <c r="E306" i="33"/>
  <c r="A294" i="33"/>
  <c r="A295" i="33"/>
  <c r="A296" i="33"/>
  <c r="A297" i="33"/>
  <c r="A298" i="33"/>
  <c r="A299" i="33"/>
  <c r="A300" i="33"/>
  <c r="A301" i="33"/>
  <c r="A302" i="33"/>
  <c r="A303" i="33"/>
  <c r="A304" i="33"/>
  <c r="A305" i="33"/>
  <c r="A306" i="33"/>
  <c r="M305" i="33"/>
  <c r="M306" i="33"/>
  <c r="M5" i="33"/>
  <c r="M6" i="33"/>
  <c r="M7" i="33"/>
  <c r="M8" i="33"/>
  <c r="M9" i="33"/>
  <c r="M10" i="33"/>
  <c r="M11" i="33"/>
  <c r="M12" i="33"/>
  <c r="M13" i="33"/>
  <c r="M14" i="33"/>
  <c r="M15" i="33"/>
  <c r="M16" i="33"/>
  <c r="M17" i="33"/>
  <c r="M18" i="33"/>
  <c r="M19" i="33"/>
  <c r="M20" i="33"/>
  <c r="M21" i="33"/>
  <c r="M22" i="33"/>
  <c r="M23" i="33"/>
  <c r="M24" i="33"/>
  <c r="M25" i="33"/>
  <c r="M26" i="33"/>
  <c r="M27" i="33"/>
  <c r="M28" i="33"/>
  <c r="M29" i="33"/>
  <c r="M30" i="33"/>
  <c r="M31" i="33"/>
  <c r="M32" i="33"/>
  <c r="M33" i="33"/>
  <c r="M34" i="33"/>
  <c r="M35" i="33"/>
  <c r="M36" i="33"/>
  <c r="M37" i="33"/>
  <c r="M38" i="33"/>
  <c r="M39" i="33"/>
  <c r="M40" i="33"/>
  <c r="M41" i="33"/>
  <c r="M42" i="33"/>
  <c r="M43" i="33"/>
  <c r="M44" i="33"/>
  <c r="M45" i="33"/>
  <c r="M46" i="33"/>
  <c r="M47" i="33"/>
  <c r="M48" i="33"/>
  <c r="M49" i="33"/>
  <c r="M50" i="33"/>
  <c r="M51" i="33"/>
  <c r="M52" i="33"/>
  <c r="M53" i="33"/>
  <c r="M54" i="33"/>
  <c r="M55" i="33"/>
  <c r="M56" i="33"/>
  <c r="M57" i="33"/>
  <c r="M58" i="33"/>
  <c r="M59" i="33"/>
  <c r="M60" i="33"/>
  <c r="M61" i="33"/>
  <c r="M62" i="33"/>
  <c r="M63" i="33"/>
  <c r="M64" i="33"/>
  <c r="M65" i="33"/>
  <c r="M66" i="33"/>
  <c r="M67" i="33"/>
  <c r="M68" i="33"/>
  <c r="M69" i="33"/>
  <c r="M70" i="33"/>
  <c r="M71" i="33"/>
  <c r="M72" i="33"/>
  <c r="M73" i="33"/>
  <c r="M74" i="33"/>
  <c r="M75" i="33"/>
  <c r="M76" i="33"/>
  <c r="M77" i="33"/>
  <c r="M78" i="33"/>
  <c r="M79" i="33"/>
  <c r="M80" i="33"/>
  <c r="M81" i="33"/>
  <c r="M82" i="33"/>
  <c r="M83" i="33"/>
  <c r="M84" i="33"/>
  <c r="M85" i="33"/>
  <c r="M86" i="33"/>
  <c r="M87" i="33"/>
  <c r="M88" i="33"/>
  <c r="M89" i="33"/>
  <c r="M90" i="33"/>
  <c r="M91" i="33"/>
  <c r="M92" i="33"/>
  <c r="M93" i="33"/>
  <c r="M94" i="33"/>
  <c r="M95" i="33"/>
  <c r="M96" i="33"/>
  <c r="M97" i="33"/>
  <c r="M98" i="33"/>
  <c r="M99" i="33"/>
  <c r="M100" i="33"/>
  <c r="M101" i="33"/>
  <c r="M102" i="33"/>
  <c r="M103" i="33"/>
  <c r="M104" i="33"/>
  <c r="M105" i="33"/>
  <c r="M106" i="33"/>
  <c r="M107" i="33"/>
  <c r="M108" i="33"/>
  <c r="M109" i="33"/>
  <c r="M110" i="33"/>
  <c r="M111" i="33"/>
  <c r="M112" i="33"/>
  <c r="M113" i="33"/>
  <c r="M114" i="33"/>
  <c r="M115" i="33"/>
  <c r="M116" i="33"/>
  <c r="M117" i="33"/>
  <c r="M118" i="33"/>
  <c r="M119" i="33"/>
  <c r="M120" i="33"/>
  <c r="M121" i="33"/>
  <c r="M122" i="33"/>
  <c r="M123" i="33"/>
  <c r="M124" i="33"/>
  <c r="M125" i="33"/>
  <c r="M126" i="33"/>
  <c r="M127" i="33"/>
  <c r="M128" i="33"/>
  <c r="M129" i="33"/>
  <c r="M130" i="33"/>
  <c r="M131" i="33"/>
  <c r="M132" i="33"/>
  <c r="M133" i="33"/>
  <c r="M134" i="33"/>
  <c r="M135" i="33"/>
  <c r="M136" i="33"/>
  <c r="M137" i="33"/>
  <c r="M138" i="33"/>
  <c r="M139" i="33"/>
  <c r="M140" i="33"/>
  <c r="M141" i="33"/>
  <c r="M142" i="33"/>
  <c r="M143" i="33"/>
  <c r="M144" i="33"/>
  <c r="M145" i="33"/>
  <c r="M146" i="33"/>
  <c r="M147" i="33"/>
  <c r="M148" i="33"/>
  <c r="M149" i="33"/>
  <c r="M150" i="33"/>
  <c r="M151" i="33"/>
  <c r="M152" i="33"/>
  <c r="M153" i="33"/>
  <c r="M154" i="33"/>
  <c r="M155" i="33"/>
  <c r="M156" i="33"/>
  <c r="M157" i="33"/>
  <c r="M158" i="33"/>
  <c r="M159" i="33"/>
  <c r="M160" i="33"/>
  <c r="M161" i="33"/>
  <c r="M162" i="33"/>
  <c r="M163" i="33"/>
  <c r="M164" i="33"/>
  <c r="M165" i="33"/>
  <c r="M166" i="33"/>
  <c r="M167" i="33"/>
  <c r="M168" i="33"/>
  <c r="M169" i="33"/>
  <c r="M170" i="33"/>
  <c r="M171" i="33"/>
  <c r="M172" i="33"/>
  <c r="M173" i="33"/>
  <c r="M174" i="33"/>
  <c r="M175" i="33"/>
  <c r="M176" i="33"/>
  <c r="M177" i="33"/>
  <c r="M178" i="33"/>
  <c r="M179" i="33"/>
  <c r="M180" i="33"/>
  <c r="M181" i="33"/>
  <c r="M182" i="33"/>
  <c r="M183" i="33"/>
  <c r="M184" i="33"/>
  <c r="M185" i="33"/>
  <c r="M186" i="33"/>
  <c r="M187" i="33"/>
  <c r="M188" i="33"/>
  <c r="M189" i="33"/>
  <c r="M190" i="33"/>
  <c r="M191" i="33"/>
  <c r="M192" i="33"/>
  <c r="M193" i="33"/>
  <c r="M194" i="33"/>
  <c r="M195" i="33"/>
  <c r="M196" i="33"/>
  <c r="M197" i="33"/>
  <c r="M198" i="33"/>
  <c r="M199" i="33"/>
  <c r="M200" i="33"/>
  <c r="M201" i="33"/>
  <c r="M202" i="33"/>
  <c r="M203" i="33"/>
  <c r="M204" i="33"/>
  <c r="M205" i="33"/>
  <c r="M206" i="33"/>
  <c r="M207" i="33"/>
  <c r="M208" i="33"/>
  <c r="M209" i="33"/>
  <c r="M210" i="33"/>
  <c r="M211" i="33"/>
  <c r="M212" i="33"/>
  <c r="M213" i="33"/>
  <c r="M214" i="33"/>
  <c r="M215" i="33"/>
  <c r="M216" i="33"/>
  <c r="M217" i="33"/>
  <c r="M218" i="33"/>
  <c r="M219" i="33"/>
  <c r="M220" i="33"/>
  <c r="M221" i="33"/>
  <c r="M222" i="33"/>
  <c r="M223" i="33"/>
  <c r="M224" i="33"/>
  <c r="M225" i="33"/>
  <c r="M226" i="33"/>
  <c r="M227" i="33"/>
  <c r="M228" i="33"/>
  <c r="M229" i="33"/>
  <c r="M230" i="33"/>
  <c r="M231" i="33"/>
  <c r="M232" i="33"/>
  <c r="M233" i="33"/>
  <c r="M234" i="33"/>
  <c r="M235" i="33"/>
  <c r="M236" i="33"/>
  <c r="M237" i="33"/>
  <c r="M238" i="33"/>
  <c r="M239" i="33"/>
  <c r="M240" i="33"/>
  <c r="M241" i="33"/>
  <c r="M242" i="33"/>
  <c r="M243" i="33"/>
  <c r="M244" i="33"/>
  <c r="M245" i="33"/>
  <c r="M246" i="33"/>
  <c r="M247" i="33"/>
  <c r="M248" i="33"/>
  <c r="M249" i="33"/>
  <c r="M250" i="33"/>
  <c r="M251" i="33"/>
  <c r="M252" i="33"/>
  <c r="M253" i="33"/>
  <c r="M254" i="33"/>
  <c r="M255" i="33"/>
  <c r="M256" i="33"/>
  <c r="M257" i="33"/>
  <c r="M258" i="33"/>
  <c r="M259" i="33"/>
  <c r="M260" i="33"/>
  <c r="M261" i="33"/>
  <c r="M262" i="33"/>
  <c r="M263" i="33"/>
  <c r="M264" i="33"/>
  <c r="M265" i="33"/>
  <c r="M266" i="33"/>
  <c r="M267" i="33"/>
  <c r="M268" i="33"/>
  <c r="M269" i="33"/>
  <c r="M270" i="33"/>
  <c r="M271" i="33"/>
  <c r="M272" i="33"/>
  <c r="M273" i="33"/>
  <c r="M274" i="33"/>
  <c r="M275" i="33"/>
  <c r="M276" i="33"/>
  <c r="M277" i="33"/>
  <c r="M278" i="33"/>
  <c r="M279" i="33"/>
  <c r="M280" i="33"/>
  <c r="M281" i="33"/>
  <c r="M282" i="33"/>
  <c r="M283" i="33"/>
  <c r="M284" i="33"/>
  <c r="M285" i="33"/>
  <c r="M286" i="33"/>
  <c r="M287" i="33"/>
  <c r="M288" i="33"/>
  <c r="M289" i="33"/>
  <c r="M290" i="33"/>
  <c r="M291" i="33"/>
  <c r="M292" i="33"/>
  <c r="M293" i="33"/>
  <c r="M294" i="33"/>
  <c r="M295" i="33"/>
  <c r="M296" i="33"/>
  <c r="M297" i="33"/>
  <c r="M298" i="33"/>
  <c r="M299" i="33"/>
  <c r="M300" i="33"/>
  <c r="M301" i="33"/>
  <c r="M302" i="33"/>
  <c r="M303" i="33"/>
  <c r="M304" i="33"/>
  <c r="E302" i="33"/>
  <c r="E303" i="33"/>
  <c r="E301"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8" i="33"/>
  <c r="E49" i="33"/>
  <c r="E50" i="33"/>
  <c r="E51" i="33"/>
  <c r="E52" i="33"/>
  <c r="E53" i="33"/>
  <c r="E54" i="33"/>
  <c r="E55" i="33"/>
  <c r="E56"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E150" i="33"/>
  <c r="E151" i="33"/>
  <c r="E152" i="33"/>
  <c r="E153" i="33"/>
  <c r="E154" i="33"/>
  <c r="E155" i="33"/>
  <c r="E156" i="33"/>
  <c r="E157" i="33"/>
  <c r="E158" i="33"/>
  <c r="E159" i="33"/>
  <c r="E160" i="33"/>
  <c r="E161" i="33"/>
  <c r="E162" i="33"/>
  <c r="E163" i="33"/>
  <c r="E164" i="33"/>
  <c r="E165" i="33"/>
  <c r="E166" i="33"/>
  <c r="E167" i="33"/>
  <c r="E168" i="33"/>
  <c r="E169" i="33"/>
  <c r="E170" i="33"/>
  <c r="E171" i="33"/>
  <c r="E172" i="33"/>
  <c r="E173" i="33"/>
  <c r="E174" i="33"/>
  <c r="E175" i="33"/>
  <c r="E176" i="33"/>
  <c r="E177" i="33"/>
  <c r="E178" i="33"/>
  <c r="E179" i="33"/>
  <c r="E180" i="33"/>
  <c r="E181" i="33"/>
  <c r="E182" i="33"/>
  <c r="E183" i="33"/>
  <c r="E184" i="33"/>
  <c r="E185" i="33"/>
  <c r="E186" i="33"/>
  <c r="E187" i="33"/>
  <c r="E188" i="33"/>
  <c r="E189" i="33"/>
  <c r="E190" i="33"/>
  <c r="E191" i="33"/>
  <c r="E192" i="33"/>
  <c r="E193" i="33"/>
  <c r="E194" i="33"/>
  <c r="E195" i="33"/>
  <c r="E196" i="33"/>
  <c r="E197" i="33"/>
  <c r="E198" i="33"/>
  <c r="E199" i="33"/>
  <c r="E200" i="33"/>
  <c r="E201" i="33"/>
  <c r="E202" i="33"/>
  <c r="E203" i="33"/>
  <c r="E204" i="33"/>
  <c r="E205" i="33"/>
  <c r="E206" i="33"/>
  <c r="E207" i="33"/>
  <c r="E208" i="33"/>
  <c r="E209" i="33"/>
  <c r="E210" i="33"/>
  <c r="E211" i="33"/>
  <c r="E212" i="33"/>
  <c r="E213" i="33"/>
  <c r="E214" i="33"/>
  <c r="E215" i="33"/>
  <c r="E216" i="33"/>
  <c r="E217" i="33"/>
  <c r="E218" i="33"/>
  <c r="E219" i="33"/>
  <c r="E220" i="33"/>
  <c r="E221" i="33"/>
  <c r="E222" i="33"/>
  <c r="E223" i="33"/>
  <c r="E224" i="33"/>
  <c r="E225" i="33"/>
  <c r="E226" i="33"/>
  <c r="E227" i="33"/>
  <c r="E228" i="33"/>
  <c r="E229" i="33"/>
  <c r="E230" i="33"/>
  <c r="E231" i="33"/>
  <c r="E232" i="33"/>
  <c r="E233" i="33"/>
  <c r="E234" i="33"/>
  <c r="E235" i="33"/>
  <c r="E236" i="33"/>
  <c r="E237" i="33"/>
  <c r="E238" i="33"/>
  <c r="E239" i="33"/>
  <c r="E240" i="33"/>
  <c r="E241" i="33"/>
  <c r="E242" i="33"/>
  <c r="E243" i="33"/>
  <c r="E244" i="33"/>
  <c r="E245" i="33"/>
  <c r="E246" i="33"/>
  <c r="E247" i="33"/>
  <c r="E248" i="33"/>
  <c r="E249" i="33"/>
  <c r="E250" i="33"/>
  <c r="E251" i="33"/>
  <c r="E252" i="33"/>
  <c r="E253" i="33"/>
  <c r="E254" i="33"/>
  <c r="E255" i="33"/>
  <c r="E256" i="33"/>
  <c r="E257" i="33"/>
  <c r="E258" i="33"/>
  <c r="E259" i="33"/>
  <c r="E260" i="33"/>
  <c r="E261" i="33"/>
  <c r="E262" i="33"/>
  <c r="E263" i="33"/>
  <c r="E264" i="33"/>
  <c r="E265" i="33"/>
  <c r="E266" i="33"/>
  <c r="E267" i="33"/>
  <c r="E268" i="33"/>
  <c r="E269" i="33"/>
  <c r="E270" i="33"/>
  <c r="E271" i="33"/>
  <c r="E272" i="33"/>
  <c r="E273" i="33"/>
  <c r="E274" i="33"/>
  <c r="E275" i="33"/>
  <c r="E276" i="33"/>
  <c r="E277" i="33"/>
  <c r="E278" i="33"/>
  <c r="E279" i="33"/>
  <c r="E280" i="33"/>
  <c r="E281" i="33"/>
  <c r="E282" i="33"/>
  <c r="E283" i="33"/>
  <c r="E284" i="33"/>
  <c r="E285" i="33"/>
  <c r="E286" i="33"/>
  <c r="E287" i="33"/>
  <c r="E288" i="33"/>
  <c r="E289" i="33"/>
  <c r="E290" i="33"/>
  <c r="E291" i="33"/>
  <c r="E292" i="33"/>
  <c r="E293" i="33"/>
  <c r="E294" i="33"/>
  <c r="E295" i="33"/>
  <c r="E296" i="33"/>
  <c r="E297" i="33"/>
  <c r="E298" i="33"/>
  <c r="E299" i="33"/>
  <c r="E300" i="33"/>
  <c r="C8" i="28" l="1"/>
  <c r="A291" i="33"/>
  <c r="A292" i="33"/>
  <c r="A293" i="33"/>
  <c r="A289" i="33"/>
  <c r="A290" i="33"/>
  <c r="A279" i="33"/>
  <c r="A280" i="33"/>
  <c r="A281" i="33"/>
  <c r="A282" i="33"/>
  <c r="A283" i="33"/>
  <c r="A284" i="33"/>
  <c r="A285" i="33"/>
  <c r="A286" i="33"/>
  <c r="A287" i="33"/>
  <c r="A288" i="33"/>
  <c r="A278" i="33"/>
  <c r="A270" i="33"/>
  <c r="A271" i="33"/>
  <c r="A272" i="33"/>
  <c r="A273" i="33"/>
  <c r="A274" i="33"/>
  <c r="A275" i="33"/>
  <c r="A276" i="33"/>
  <c r="A277" i="33"/>
  <c r="A263" i="33"/>
  <c r="A264" i="33"/>
  <c r="A265" i="33"/>
  <c r="A266" i="33"/>
  <c r="A267" i="33"/>
  <c r="A268" i="33"/>
  <c r="A269" i="33"/>
  <c r="C10" i="2" l="1"/>
  <c r="A256" i="33" l="1"/>
  <c r="A257" i="33"/>
  <c r="A258" i="33"/>
  <c r="A259" i="33"/>
  <c r="A260" i="33"/>
  <c r="A261" i="33"/>
  <c r="A262" i="33"/>
  <c r="A253" i="33"/>
  <c r="A254" i="33"/>
  <c r="A255" i="33"/>
  <c r="A248" i="33"/>
  <c r="A249" i="33"/>
  <c r="A250" i="33"/>
  <c r="A251" i="33"/>
  <c r="A252" i="33"/>
  <c r="A244" i="33"/>
  <c r="A245" i="33"/>
  <c r="A246" i="33"/>
  <c r="A247" i="33"/>
  <c r="A231" i="33"/>
  <c r="A232" i="33"/>
  <c r="A233" i="33"/>
  <c r="A234" i="33"/>
  <c r="A235" i="33"/>
  <c r="A236" i="33"/>
  <c r="A237" i="33"/>
  <c r="A238" i="33"/>
  <c r="A239" i="33"/>
  <c r="A240" i="33"/>
  <c r="A241" i="33"/>
  <c r="A242" i="33"/>
  <c r="A243" i="33"/>
  <c r="A230" i="33"/>
  <c r="A227" i="33"/>
  <c r="A228" i="33"/>
  <c r="A229" i="33"/>
  <c r="A222" i="33"/>
  <c r="A223" i="33"/>
  <c r="A224" i="33"/>
  <c r="A225" i="33"/>
  <c r="A226" i="33"/>
  <c r="A219" i="33"/>
  <c r="A220" i="33"/>
  <c r="A221" i="33"/>
  <c r="A215" i="33"/>
  <c r="A216" i="33"/>
  <c r="A217" i="33"/>
  <c r="A218" i="33"/>
  <c r="A209" i="33" l="1"/>
  <c r="A210" i="33"/>
  <c r="A211" i="33"/>
  <c r="A212" i="33"/>
  <c r="A213" i="33"/>
  <c r="A214" i="33"/>
  <c r="A205" i="33"/>
  <c r="A206" i="33"/>
  <c r="A207" i="33"/>
  <c r="A208" i="33"/>
  <c r="A37" i="33"/>
  <c r="A38" i="33"/>
  <c r="A39" i="33"/>
  <c r="A40" i="33"/>
  <c r="A41" i="33"/>
  <c r="A42" i="33"/>
  <c r="A43" i="33"/>
  <c r="A44" i="33"/>
  <c r="A45" i="33"/>
  <c r="A46" i="33"/>
  <c r="A47" i="33"/>
  <c r="A48" i="33"/>
  <c r="A49" i="33"/>
  <c r="A50" i="33"/>
  <c r="A51" i="33"/>
  <c r="A52" i="33"/>
  <c r="A53" i="33"/>
  <c r="A54" i="33"/>
  <c r="A55" i="33"/>
  <c r="A56" i="33"/>
  <c r="A57" i="33"/>
  <c r="A58" i="33"/>
  <c r="A59" i="33"/>
  <c r="A60" i="33"/>
  <c r="A61" i="33"/>
  <c r="A62" i="33"/>
  <c r="A63" i="33"/>
  <c r="A64" i="33"/>
  <c r="A65" i="33"/>
  <c r="A66" i="33"/>
  <c r="A67" i="33"/>
  <c r="A68" i="33"/>
  <c r="A69" i="33"/>
  <c r="A70" i="33"/>
  <c r="A71" i="33"/>
  <c r="A72" i="33"/>
  <c r="A73" i="33"/>
  <c r="A74" i="33"/>
  <c r="A75" i="33"/>
  <c r="A76" i="33"/>
  <c r="A77" i="33"/>
  <c r="A78" i="33"/>
  <c r="A79" i="33"/>
  <c r="A80" i="33"/>
  <c r="A81" i="33"/>
  <c r="A82" i="33"/>
  <c r="A83" i="33"/>
  <c r="A84" i="33"/>
  <c r="A85" i="33"/>
  <c r="A86" i="33"/>
  <c r="A87" i="33"/>
  <c r="A88" i="33"/>
  <c r="A89" i="33"/>
  <c r="A90" i="33"/>
  <c r="A91" i="33"/>
  <c r="A92" i="33"/>
  <c r="A93" i="33"/>
  <c r="A94" i="33"/>
  <c r="A95" i="33"/>
  <c r="A96" i="33"/>
  <c r="A97" i="33"/>
  <c r="A98" i="33"/>
  <c r="A99" i="33"/>
  <c r="A100" i="33"/>
  <c r="A101" i="33"/>
  <c r="A102" i="33"/>
  <c r="A103" i="33"/>
  <c r="A104" i="33"/>
  <c r="A105" i="33"/>
  <c r="A106" i="33"/>
  <c r="A107" i="33"/>
  <c r="A108" i="33"/>
  <c r="A109" i="33"/>
  <c r="A110" i="33"/>
  <c r="A111" i="33"/>
  <c r="A112" i="33"/>
  <c r="A113" i="33"/>
  <c r="A114" i="33"/>
  <c r="A115" i="33"/>
  <c r="A116" i="33"/>
  <c r="A117" i="33"/>
  <c r="A118" i="33"/>
  <c r="A119" i="33"/>
  <c r="A120" i="33"/>
  <c r="A121" i="33"/>
  <c r="A122" i="33"/>
  <c r="A123" i="33"/>
  <c r="A124" i="33"/>
  <c r="A125" i="33"/>
  <c r="A126" i="33"/>
  <c r="A127" i="33"/>
  <c r="A128" i="33"/>
  <c r="A129" i="33"/>
  <c r="A130" i="33"/>
  <c r="A131" i="33"/>
  <c r="A132" i="33"/>
  <c r="A133" i="33"/>
  <c r="A134" i="33"/>
  <c r="A135" i="33"/>
  <c r="A136" i="33"/>
  <c r="A137" i="33"/>
  <c r="A138" i="33"/>
  <c r="A139" i="33"/>
  <c r="A140" i="33"/>
  <c r="A141" i="33"/>
  <c r="A142" i="33"/>
  <c r="A143" i="33"/>
  <c r="A144" i="33"/>
  <c r="A145" i="33"/>
  <c r="A146" i="33"/>
  <c r="A147" i="33"/>
  <c r="A148" i="33"/>
  <c r="A149" i="33"/>
  <c r="A150" i="33"/>
  <c r="A151" i="33"/>
  <c r="A152" i="33"/>
  <c r="A153" i="33"/>
  <c r="A154" i="33"/>
  <c r="A155" i="33"/>
  <c r="A156" i="33"/>
  <c r="A157" i="33"/>
  <c r="A158" i="33"/>
  <c r="A159" i="33"/>
  <c r="A160" i="33"/>
  <c r="A161" i="33"/>
  <c r="A162" i="33"/>
  <c r="A163" i="33"/>
  <c r="A164" i="33"/>
  <c r="A165" i="33"/>
  <c r="A166" i="33"/>
  <c r="A167" i="33"/>
  <c r="A168" i="33"/>
  <c r="A169" i="33"/>
  <c r="A170" i="33"/>
  <c r="A171" i="33"/>
  <c r="A172" i="33"/>
  <c r="A173" i="33"/>
  <c r="A174" i="33"/>
  <c r="A175" i="33"/>
  <c r="A176" i="33"/>
  <c r="A177" i="33"/>
  <c r="A178" i="33"/>
  <c r="A179" i="33"/>
  <c r="A180" i="33"/>
  <c r="A181" i="33"/>
  <c r="A182" i="33"/>
  <c r="A183" i="33"/>
  <c r="A184" i="33"/>
  <c r="A185" i="33"/>
  <c r="A186" i="33"/>
  <c r="A187" i="33"/>
  <c r="A188" i="33"/>
  <c r="A189" i="33"/>
  <c r="A190" i="33"/>
  <c r="A191" i="33"/>
  <c r="A192" i="33"/>
  <c r="A193" i="33"/>
  <c r="A194" i="33"/>
  <c r="A195" i="33"/>
  <c r="A196" i="33"/>
  <c r="A197" i="33"/>
  <c r="A198" i="33"/>
  <c r="A199" i="33"/>
  <c r="A200" i="33"/>
  <c r="A201" i="33"/>
  <c r="A202" i="33"/>
  <c r="A203" i="33"/>
  <c r="A204" i="33"/>
  <c r="L109" i="33" l="1"/>
  <c r="L110" i="33"/>
  <c r="L111" i="33"/>
  <c r="L112" i="33"/>
  <c r="L113" i="33"/>
  <c r="L114" i="33"/>
  <c r="L115" i="33"/>
  <c r="L116" i="33"/>
  <c r="L117" i="33"/>
  <c r="L118" i="33"/>
  <c r="L119" i="33"/>
  <c r="L120" i="33"/>
  <c r="L121" i="33"/>
  <c r="L122" i="33"/>
  <c r="L123" i="33"/>
  <c r="L124" i="33"/>
  <c r="L125" i="33"/>
  <c r="L126" i="33"/>
  <c r="L127" i="33"/>
  <c r="L108" i="33"/>
  <c r="L107" i="33"/>
  <c r="L100" i="33"/>
  <c r="L101" i="33"/>
  <c r="L102" i="33"/>
  <c r="L103" i="33"/>
  <c r="L104" i="33"/>
  <c r="L105" i="33"/>
  <c r="L106" i="33"/>
  <c r="L99" i="33"/>
  <c r="L94" i="33"/>
  <c r="L95" i="33"/>
  <c r="L96" i="33"/>
  <c r="L97" i="33"/>
  <c r="L98" i="33"/>
  <c r="L93" i="33"/>
  <c r="L92" i="33"/>
  <c r="L91" i="33"/>
  <c r="L89" i="33" l="1"/>
  <c r="L90" i="33"/>
  <c r="L88" i="33"/>
  <c r="L86" i="33"/>
  <c r="L87" i="33"/>
  <c r="L85" i="33"/>
  <c r="L83" i="33"/>
  <c r="L84" i="33"/>
  <c r="L82" i="33"/>
  <c r="L81" i="33"/>
  <c r="L80" i="33"/>
  <c r="L79" i="33"/>
  <c r="L78" i="33"/>
  <c r="L77" i="33" l="1"/>
  <c r="L76" i="33"/>
  <c r="L75" i="33"/>
  <c r="L74" i="33"/>
  <c r="L61" i="33" l="1"/>
  <c r="L62" i="33"/>
  <c r="L63" i="33"/>
  <c r="L64" i="33"/>
  <c r="L65" i="33"/>
  <c r="L66" i="33"/>
  <c r="L67" i="33"/>
  <c r="L68" i="33"/>
  <c r="L69" i="33"/>
  <c r="L70" i="33"/>
  <c r="L71" i="33"/>
  <c r="L72" i="33"/>
  <c r="L73" i="33"/>
  <c r="L60" i="33" l="1"/>
  <c r="L59" i="33"/>
  <c r="L57" i="33"/>
  <c r="L58" i="33"/>
  <c r="L56" i="33"/>
  <c r="L54" i="33"/>
  <c r="L55" i="33"/>
  <c r="F51" i="33"/>
  <c r="L51" i="33"/>
  <c r="F52" i="33"/>
  <c r="L52" i="33"/>
  <c r="F53" i="33"/>
  <c r="L53" i="33"/>
  <c r="F50" i="33"/>
  <c r="L50" i="33"/>
  <c r="L49" i="33"/>
  <c r="F49" i="33"/>
  <c r="F48" i="33"/>
  <c r="G48" i="33"/>
  <c r="E48" i="33" s="1"/>
  <c r="L48" i="33"/>
  <c r="F47" i="33"/>
  <c r="G47" i="33"/>
  <c r="E47" i="33" s="1"/>
  <c r="L47" i="33"/>
  <c r="E7" i="28"/>
  <c r="A12" i="33"/>
  <c r="A13" i="33"/>
  <c r="A14" i="33"/>
  <c r="A15" i="33"/>
  <c r="A16" i="33"/>
  <c r="A17" i="33"/>
  <c r="A18" i="33"/>
  <c r="A19" i="33"/>
  <c r="A20" i="33"/>
  <c r="A21" i="33"/>
  <c r="A22" i="33"/>
  <c r="A23" i="33"/>
  <c r="A24" i="33"/>
  <c r="A25" i="33"/>
  <c r="A26" i="33"/>
  <c r="A27" i="33"/>
  <c r="A28" i="33"/>
  <c r="A29" i="33"/>
  <c r="A30" i="33"/>
  <c r="A31" i="33"/>
  <c r="A32" i="33"/>
  <c r="A33" i="33"/>
  <c r="A34" i="33"/>
  <c r="A35" i="33"/>
  <c r="A36" i="33"/>
  <c r="G45" i="33"/>
  <c r="E45" i="33" s="1"/>
  <c r="L45" i="33"/>
  <c r="G46" i="33"/>
  <c r="E46" i="33" s="1"/>
  <c r="L46" i="33"/>
  <c r="G44" i="33"/>
  <c r="E44" i="33" s="1"/>
  <c r="L44" i="33"/>
  <c r="G35" i="33"/>
  <c r="E35" i="33" s="1"/>
  <c r="G36" i="33"/>
  <c r="E36" i="33" s="1"/>
  <c r="G37" i="33"/>
  <c r="E37" i="33" s="1"/>
  <c r="G39" i="33"/>
  <c r="E39" i="33" s="1"/>
  <c r="G40" i="33"/>
  <c r="E40" i="33" s="1"/>
  <c r="G41" i="33"/>
  <c r="E41" i="33" s="1"/>
  <c r="G42" i="33"/>
  <c r="E42" i="33" s="1"/>
  <c r="G43" i="33"/>
  <c r="E43" i="33" s="1"/>
  <c r="L43" i="33"/>
  <c r="L36" i="33"/>
  <c r="L37" i="33"/>
  <c r="L39" i="33"/>
  <c r="L40" i="33"/>
  <c r="L41" i="33"/>
  <c r="L42" i="33"/>
  <c r="L35" i="33"/>
  <c r="L38" i="33"/>
  <c r="L34" i="33" l="1"/>
  <c r="L33" i="33"/>
  <c r="L32" i="33" l="1"/>
  <c r="L31" i="33"/>
  <c r="L29" i="33" l="1"/>
  <c r="L30" i="33"/>
  <c r="L27" i="33"/>
  <c r="E10" i="28" l="1"/>
  <c r="L25" i="33" l="1"/>
  <c r="L28" i="33"/>
  <c r="L26" i="33"/>
  <c r="L24" i="33"/>
  <c r="L23" i="33"/>
  <c r="L22" i="33"/>
  <c r="L20" i="33" l="1"/>
  <c r="L21" i="33"/>
  <c r="L16" i="33"/>
  <c r="L18" i="33"/>
  <c r="L19" i="33"/>
  <c r="L17" i="33"/>
  <c r="A5" i="33"/>
  <c r="A6" i="33"/>
  <c r="A7" i="33"/>
  <c r="A8" i="33"/>
  <c r="A9" i="33"/>
  <c r="A10" i="33"/>
  <c r="A11" i="33"/>
  <c r="L15" i="33"/>
  <c r="L14" i="33"/>
  <c r="L13" i="33"/>
  <c r="L12" i="33" l="1"/>
  <c r="A4" i="33" l="1"/>
  <c r="L10" i="33"/>
  <c r="L11" i="33"/>
  <c r="L9" i="33"/>
  <c r="L6" i="33"/>
  <c r="L7" i="33"/>
  <c r="L5" i="33"/>
  <c r="L8" i="33"/>
  <c r="L4" i="33"/>
  <c r="M4" i="33"/>
  <c r="E9" i="28" l="1"/>
  <c r="E8" i="28"/>
  <c r="E11" i="28"/>
  <c r="R31" i="28" l="1"/>
  <c r="R32" i="28"/>
  <c r="R30" i="28"/>
  <c r="D38" i="28"/>
  <c r="B30" i="28"/>
  <c r="B31" i="28"/>
  <c r="B32" i="28"/>
  <c r="B33" i="28"/>
  <c r="B29" i="28"/>
  <c r="E12" i="28"/>
  <c r="E13" i="28"/>
  <c r="P75" i="18"/>
  <c r="P72" i="18"/>
  <c r="P71" i="18"/>
  <c r="P70" i="18"/>
  <c r="P69" i="18"/>
  <c r="P68" i="18"/>
  <c r="P67" i="18"/>
  <c r="P66" i="18"/>
  <c r="P65" i="18"/>
  <c r="P64" i="18"/>
  <c r="P63" i="18"/>
  <c r="P62" i="18"/>
  <c r="P61" i="18"/>
  <c r="P60" i="18"/>
  <c r="P59" i="18"/>
  <c r="P58" i="18"/>
  <c r="P57" i="18"/>
  <c r="P56" i="18"/>
  <c r="P55" i="18"/>
  <c r="P54" i="18"/>
  <c r="P53" i="18"/>
  <c r="P52" i="18"/>
  <c r="P51" i="18"/>
  <c r="P50" i="18"/>
  <c r="P49" i="18"/>
  <c r="P48" i="18"/>
  <c r="P47" i="18"/>
  <c r="P46" i="18"/>
  <c r="P45" i="18"/>
  <c r="P44" i="18"/>
  <c r="P43" i="18"/>
  <c r="P42" i="18"/>
  <c r="P41" i="18"/>
  <c r="P40" i="18"/>
  <c r="P39" i="18"/>
  <c r="P38" i="18"/>
  <c r="P37" i="18"/>
  <c r="P36" i="18"/>
  <c r="P35" i="18"/>
  <c r="P34" i="18"/>
  <c r="P33" i="18"/>
  <c r="P32" i="18"/>
  <c r="P31" i="18"/>
  <c r="P30" i="18"/>
  <c r="P29" i="18"/>
  <c r="P28" i="18"/>
  <c r="P27" i="18"/>
  <c r="P26" i="18"/>
  <c r="P25" i="18"/>
  <c r="P24" i="18"/>
  <c r="P23" i="18"/>
  <c r="P22" i="18"/>
  <c r="P21" i="18"/>
  <c r="P20" i="18"/>
  <c r="P19" i="18"/>
  <c r="P18" i="18"/>
  <c r="P17" i="18"/>
  <c r="P16" i="18"/>
  <c r="P15" i="18"/>
  <c r="P14" i="18"/>
  <c r="P13" i="18"/>
  <c r="P12" i="18"/>
  <c r="P11" i="18"/>
  <c r="P10" i="18"/>
  <c r="P9" i="18"/>
  <c r="P8" i="18"/>
  <c r="P7" i="18"/>
  <c r="P6" i="18"/>
  <c r="P5" i="18"/>
  <c r="P4" i="18"/>
  <c r="P3" i="18"/>
  <c r="P2" i="18"/>
  <c r="AO3" i="33"/>
  <c r="J5" i="28"/>
  <c r="K6" i="28" s="1"/>
  <c r="C3" i="2" l="1"/>
  <c r="C12" i="2"/>
  <c r="C27" i="2"/>
  <c r="C9" i="2" s="1"/>
  <c r="C28" i="2"/>
  <c r="C15" i="2"/>
  <c r="C19" i="2"/>
  <c r="C13" i="2"/>
  <c r="C29" i="2"/>
  <c r="C26" i="2"/>
  <c r="C23" i="2"/>
  <c r="K5" i="28"/>
  <c r="C4" i="2" l="1"/>
  <c r="C11" i="2"/>
  <c r="B34" i="2" s="1"/>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Maira Oliveira</author>
    <author>Katia De Fatima Boaventura De Souza</author>
    <author>Italo Azevedo</author>
  </authors>
  <commentList>
    <comment ref="G3" authorId="0" shapeId="0" xr:uid="{17E2572A-E488-40A9-8659-465967E5D056}">
      <text>
        <r>
          <rPr>
            <b/>
            <sz val="9"/>
            <color indexed="81"/>
            <rFont val="Segoe UI"/>
            <family val="2"/>
          </rPr>
          <t>Incluir data manual, para refletir apenas uma data sem horários nos graficos</t>
        </r>
        <r>
          <rPr>
            <sz val="9"/>
            <color indexed="81"/>
            <rFont val="Segoe UI"/>
            <family val="2"/>
          </rPr>
          <t xml:space="preserve">
</t>
        </r>
      </text>
    </comment>
    <comment ref="B4" authorId="1" shapeId="0" xr:uid="{4F8E0B1E-D11B-47B8-A27E-FEFD6A52225D}">
      <text>
        <r>
          <rPr>
            <sz val="9"/>
            <color indexed="81"/>
            <rFont val="Segoe UI"/>
            <family val="2"/>
          </rPr>
          <t xml:space="preserve">CUCO
</t>
        </r>
      </text>
    </comment>
    <comment ref="B8" authorId="1" shapeId="0" xr:uid="{81F0A3C9-E03D-4684-B387-8D8175F3AC2A}">
      <text>
        <r>
          <rPr>
            <sz val="9"/>
            <color indexed="81"/>
            <rFont val="Segoe UI"/>
            <family val="2"/>
          </rPr>
          <t xml:space="preserve">CUCO
</t>
        </r>
      </text>
    </comment>
    <comment ref="B12" authorId="1" shapeId="0" xr:uid="{058B4DE4-FB50-4A1A-AB04-FDD0927821BB}">
      <text>
        <r>
          <rPr>
            <b/>
            <sz val="9"/>
            <color indexed="81"/>
            <rFont val="Segoe UI"/>
            <family val="2"/>
          </rPr>
          <t xml:space="preserve"> sem desconto aplicado na fadel </t>
        </r>
      </text>
    </comment>
    <comment ref="B35" authorId="1" shapeId="0" xr:uid="{A93132A4-44BF-4AE3-9B72-C2C163181F61}">
      <text>
        <r>
          <rPr>
            <sz val="9"/>
            <color indexed="81"/>
            <rFont val="Segoe UI"/>
            <family val="2"/>
          </rPr>
          <t xml:space="preserve">sem desconto 
</t>
        </r>
      </text>
    </comment>
    <comment ref="B41" authorId="1" shapeId="0" xr:uid="{B7DDA9A3-1951-4D46-8B46-1B799DA7E6BB}">
      <text>
        <r>
          <rPr>
            <sz val="9"/>
            <color indexed="81"/>
            <rFont val="Segoe UI"/>
            <family val="2"/>
          </rPr>
          <t xml:space="preserve">MOTORISTA ACHOU NO CARRO 
</t>
        </r>
      </text>
    </comment>
    <comment ref="B48" authorId="1" shapeId="0" xr:uid="{1A9C80CC-1655-49BF-A5D1-D40F30A8E8A6}">
      <text>
        <r>
          <rPr>
            <b/>
            <sz val="9"/>
            <color indexed="81"/>
            <rFont val="Segoe UI"/>
            <family val="2"/>
          </rPr>
          <t xml:space="preserve">MOTORISTA ENCONTROU O PRODUTO
</t>
        </r>
      </text>
    </comment>
    <comment ref="B54" authorId="1" shapeId="0" xr:uid="{3E3AF773-F912-4C81-9847-5F746FAB5C5D}">
      <text>
        <r>
          <rPr>
            <b/>
            <sz val="9"/>
            <color indexed="81"/>
            <rFont val="Segoe UI"/>
            <family val="2"/>
          </rPr>
          <t xml:space="preserve">vendedor achou os produtos </t>
        </r>
      </text>
    </comment>
    <comment ref="B56" authorId="1" shapeId="0" xr:uid="{3A90A58D-5C72-4FEF-A3DF-CDDDBC2077CD}">
      <text>
        <r>
          <rPr>
            <b/>
            <sz val="9"/>
            <color indexed="81"/>
            <rFont val="Segoe UI"/>
            <family val="2"/>
          </rPr>
          <t xml:space="preserve">vendedor achou os produtos </t>
        </r>
      </text>
    </comment>
    <comment ref="B62" authorId="1" shapeId="0" xr:uid="{91080853-6C45-4784-9BD8-856DE3F8C4AD}">
      <text>
        <r>
          <rPr>
            <b/>
            <sz val="9"/>
            <color indexed="81"/>
            <rFont val="Segoe UI"/>
            <family val="2"/>
          </rPr>
          <t>CUCO</t>
        </r>
      </text>
    </comment>
    <comment ref="B64" authorId="1" shapeId="0" xr:uid="{6041F4BF-EE0D-402D-9817-989D55D12F1E}">
      <text>
        <r>
          <rPr>
            <sz val="9"/>
            <color indexed="81"/>
            <rFont val="Segoe UI"/>
            <family val="2"/>
          </rPr>
          <t xml:space="preserve">produto encontrado e devolvido sem gerar descontos pra fadel 
</t>
        </r>
      </text>
    </comment>
    <comment ref="B67" authorId="1" shapeId="0" xr:uid="{4F5D28B7-60DD-4B6F-8D36-958F6B53C337}">
      <text>
        <r>
          <rPr>
            <sz val="9"/>
            <color indexed="81"/>
            <rFont val="Segoe UI"/>
            <family val="2"/>
          </rPr>
          <t xml:space="preserve">possivel erro de cuco 
</t>
        </r>
      </text>
    </comment>
    <comment ref="B68" authorId="1" shapeId="0" xr:uid="{659D0258-E65B-4D35-A765-33A0793255A3}">
      <text>
        <r>
          <rPr>
            <sz val="9"/>
            <color indexed="81"/>
            <rFont val="Segoe UI"/>
            <family val="2"/>
          </rPr>
          <t xml:space="preserve">vendedor achou as caixas 
</t>
        </r>
      </text>
    </comment>
    <comment ref="B92" authorId="1" shapeId="0" xr:uid="{AF25E46E-5C55-4C86-8E95-1D17F3CFB8C5}">
      <text>
        <r>
          <rPr>
            <sz val="9"/>
            <color indexed="81"/>
            <rFont val="Segoe UI"/>
            <family val="2"/>
          </rPr>
          <t xml:space="preserve">produto foi encontrado e devolvido no mesmo dia 
</t>
        </r>
      </text>
    </comment>
    <comment ref="B109" authorId="1" shapeId="0" xr:uid="{3E519F7D-F2DB-4182-B4F0-DCB9AE633BEA}">
      <text>
        <r>
          <rPr>
            <b/>
            <sz val="9"/>
            <color indexed="81"/>
            <rFont val="Segoe UI"/>
            <family val="2"/>
          </rPr>
          <t xml:space="preserve">• OC 478 Desconsiderada pois não solicita na nota DUNHILL CARLTON
</t>
        </r>
      </text>
    </comment>
    <comment ref="B111" authorId="1" shapeId="0" xr:uid="{CD86ED14-2997-4E4E-8019-9E0E800C0D56}">
      <text>
        <r>
          <rPr>
            <sz val="9"/>
            <color indexed="81"/>
            <rFont val="Segoe UI"/>
            <family val="2"/>
          </rPr>
          <t xml:space="preserve">• OC 480 Desconsiderada pois falta informação correta, código sku repassado na  ocorrência não existe em nosso sistema.
</t>
        </r>
      </text>
    </comment>
    <comment ref="B193" authorId="2" shapeId="0" xr:uid="{358421AB-FD57-43A1-ABDD-1CF6B5CFEE02}">
      <text>
        <r>
          <rPr>
            <b/>
            <sz val="9"/>
            <color indexed="81"/>
            <rFont val="Segoe UI"/>
            <family val="2"/>
          </rPr>
          <t>Italo Azevedo:</t>
        </r>
        <r>
          <rPr>
            <sz val="9"/>
            <color indexed="81"/>
            <rFont val="Segoe UI"/>
            <family val="2"/>
          </rPr>
          <t xml:space="preserve">
Cuco de Flata de fabrica</t>
        </r>
      </text>
    </comment>
    <comment ref="B196" authorId="1" shapeId="0" xr:uid="{009386F8-082F-454A-A88A-27D58DA1D578}">
      <text>
        <r>
          <rPr>
            <sz val="9"/>
            <color indexed="81"/>
            <rFont val="Segoe UI"/>
            <family val="2"/>
          </rPr>
          <t xml:space="preserve">ABERTURA DE CUCO
</t>
        </r>
      </text>
    </comment>
    <comment ref="B200" authorId="2" shapeId="0" xr:uid="{CDB1AC0D-FC0B-4E2C-B967-34DA1B640E31}">
      <text>
        <r>
          <rPr>
            <b/>
            <sz val="9"/>
            <color indexed="81"/>
            <rFont val="Segoe UI"/>
            <family val="2"/>
          </rPr>
          <t>Italo Azevedo:</t>
        </r>
        <r>
          <rPr>
            <sz val="9"/>
            <color indexed="81"/>
            <rFont val="Segoe UI"/>
            <family val="2"/>
          </rPr>
          <t xml:space="preserve">
nf tpe que n foi puxado</t>
        </r>
      </text>
    </comment>
    <comment ref="B230" authorId="2" shapeId="0" xr:uid="{ED18197B-280A-44C8-9822-56F556B86D84}">
      <text>
        <r>
          <rPr>
            <b/>
            <sz val="9"/>
            <color indexed="81"/>
            <rFont val="Segoe UI"/>
            <family val="2"/>
          </rPr>
          <t>Italo Azevedo:</t>
        </r>
        <r>
          <rPr>
            <sz val="9"/>
            <color indexed="81"/>
            <rFont val="Segoe UI"/>
            <family val="2"/>
          </rPr>
          <t xml:space="preserve">
O vendedor encontrou os produtos
</t>
        </r>
      </text>
    </comment>
    <comment ref="B231" authorId="2" shapeId="0" xr:uid="{128277FD-FEAD-47BF-9917-F810755986E9}">
      <text>
        <r>
          <rPr>
            <b/>
            <sz val="9"/>
            <color indexed="81"/>
            <rFont val="Segoe UI"/>
            <family val="2"/>
          </rPr>
          <t>Italo Azevedo:</t>
        </r>
        <r>
          <rPr>
            <sz val="9"/>
            <color indexed="81"/>
            <rFont val="Segoe UI"/>
            <family val="2"/>
          </rPr>
          <t xml:space="preserve">
Vendedor achou os produtos</t>
        </r>
      </text>
    </comment>
    <comment ref="B234" authorId="2" shapeId="0" xr:uid="{BD66AA3F-09C5-4661-9D0A-20D1EF79ED57}">
      <text>
        <r>
          <rPr>
            <b/>
            <sz val="9"/>
            <color indexed="81"/>
            <rFont val="Segoe UI"/>
            <family val="2"/>
          </rPr>
          <t>Italo Azevedo:</t>
        </r>
        <r>
          <rPr>
            <sz val="9"/>
            <color indexed="81"/>
            <rFont val="Segoe UI"/>
            <family val="2"/>
          </rPr>
          <t xml:space="preserve">
foi erro da parte da Bat, Mandou arquivo errado </t>
        </r>
      </text>
    </comment>
    <comment ref="B235" authorId="2" shapeId="0" xr:uid="{B0070D48-926B-44DF-A45E-A394F6F8EE8F}">
      <text>
        <r>
          <rPr>
            <b/>
            <sz val="9"/>
            <color indexed="81"/>
            <rFont val="Segoe UI"/>
            <family val="2"/>
          </rPr>
          <t>Italo Azevedo:</t>
        </r>
        <r>
          <rPr>
            <sz val="9"/>
            <color indexed="81"/>
            <rFont val="Segoe UI"/>
            <family val="2"/>
          </rPr>
          <t xml:space="preserve">
foi erro da parte da Bat, Mandou arquivo errado </t>
        </r>
      </text>
    </comment>
    <comment ref="B236" authorId="2" shapeId="0" xr:uid="{E0FD9DC3-F640-4ECD-A77C-194A2724AB30}">
      <text>
        <r>
          <rPr>
            <b/>
            <sz val="9"/>
            <color indexed="81"/>
            <rFont val="Segoe UI"/>
            <family val="2"/>
          </rPr>
          <t>Italo Azevedo:</t>
        </r>
        <r>
          <rPr>
            <sz val="9"/>
            <color indexed="81"/>
            <rFont val="Segoe UI"/>
            <family val="2"/>
          </rPr>
          <t xml:space="preserve">
foi erro da parte da Bat, Mandou arquivo errado </t>
        </r>
      </text>
    </comment>
    <comment ref="B237" authorId="2" shapeId="0" xr:uid="{4F75FE4D-B2FD-4D0B-82B2-A94248BC3E9E}">
      <text>
        <r>
          <rPr>
            <b/>
            <sz val="9"/>
            <color indexed="81"/>
            <rFont val="Segoe UI"/>
            <family val="2"/>
          </rPr>
          <t>Italo Azevedo:</t>
        </r>
        <r>
          <rPr>
            <sz val="9"/>
            <color indexed="81"/>
            <rFont val="Segoe UI"/>
            <family val="2"/>
          </rPr>
          <t xml:space="preserve">
foi erro da parte da Bat, Mandou arquivo errado </t>
        </r>
      </text>
    </comment>
    <comment ref="B238" authorId="2" shapeId="0" xr:uid="{32728F49-C19A-4114-B747-6EB3AC56056D}">
      <text>
        <r>
          <rPr>
            <b/>
            <sz val="9"/>
            <color indexed="81"/>
            <rFont val="Segoe UI"/>
            <family val="2"/>
          </rPr>
          <t>Italo Azevedo:</t>
        </r>
        <r>
          <rPr>
            <sz val="9"/>
            <color indexed="81"/>
            <rFont val="Segoe UI"/>
            <family val="2"/>
          </rPr>
          <t xml:space="preserve">
foi erro da parte da Bat, Mandou arquivo errado </t>
        </r>
      </text>
    </comment>
    <comment ref="B239" authorId="2" shapeId="0" xr:uid="{028D10DE-0070-44C4-9026-0F12F3610827}">
      <text>
        <r>
          <rPr>
            <b/>
            <sz val="9"/>
            <color indexed="81"/>
            <rFont val="Segoe UI"/>
            <family val="2"/>
          </rPr>
          <t>Italo Azevedo:</t>
        </r>
        <r>
          <rPr>
            <sz val="9"/>
            <color indexed="81"/>
            <rFont val="Segoe UI"/>
            <family val="2"/>
          </rPr>
          <t xml:space="preserve">
foi erro da parte da Bat, Mandou arquivo errado </t>
        </r>
      </text>
    </comment>
    <comment ref="B240" authorId="2" shapeId="0" xr:uid="{3434613E-8B3D-4E74-8451-D8819122A091}">
      <text>
        <r>
          <rPr>
            <b/>
            <sz val="9"/>
            <color indexed="81"/>
            <rFont val="Segoe UI"/>
            <family val="2"/>
          </rPr>
          <t>Italo Azevedo:</t>
        </r>
        <r>
          <rPr>
            <sz val="9"/>
            <color indexed="81"/>
            <rFont val="Segoe UI"/>
            <family val="2"/>
          </rPr>
          <t xml:space="preserve">
FEITO A TROCA DO PRODUTO</t>
        </r>
      </text>
    </comment>
    <comment ref="B256" authorId="2" shapeId="0" xr:uid="{46A0F032-A9F5-456F-BF4D-808977441612}">
      <text>
        <r>
          <rPr>
            <b/>
            <sz val="9"/>
            <color indexed="81"/>
            <rFont val="Segoe UI"/>
            <family val="2"/>
          </rPr>
          <t>Italo Azevedo:</t>
        </r>
        <r>
          <rPr>
            <sz val="9"/>
            <color indexed="81"/>
            <rFont val="Segoe UI"/>
            <family val="2"/>
          </rPr>
          <t xml:space="preserve">
Cuco de falta Fabrica</t>
        </r>
      </text>
    </comment>
    <comment ref="B263" authorId="2" shapeId="0" xr:uid="{AE7B082A-705C-4781-833A-C86722BE12DE}">
      <text>
        <r>
          <rPr>
            <b/>
            <sz val="9"/>
            <color indexed="81"/>
            <rFont val="Segoe UI"/>
            <family val="2"/>
          </rPr>
          <t>Italo Azevedo:</t>
        </r>
        <r>
          <rPr>
            <sz val="9"/>
            <color indexed="81"/>
            <rFont val="Segoe UI"/>
            <family val="2"/>
          </rPr>
          <t xml:space="preserve">
NF e Produto foi enviado no redespacho</t>
        </r>
      </text>
    </comment>
    <comment ref="B264" authorId="2" shapeId="0" xr:uid="{F22364BE-37DB-49E4-89EB-3FB9D37F406B}">
      <text>
        <r>
          <rPr>
            <b/>
            <sz val="9"/>
            <color indexed="81"/>
            <rFont val="Segoe UI"/>
            <family val="2"/>
          </rPr>
          <t>Italo Azevedo:</t>
        </r>
        <r>
          <rPr>
            <sz val="9"/>
            <color indexed="81"/>
            <rFont val="Segoe UI"/>
            <family val="2"/>
          </rPr>
          <t xml:space="preserve">
NF e Produto foi enviado no redespacho</t>
        </r>
      </text>
    </comment>
    <comment ref="B265" authorId="2" shapeId="0" xr:uid="{B5C0582C-A65E-48E7-9395-73F6296EF49F}">
      <text>
        <r>
          <rPr>
            <b/>
            <sz val="9"/>
            <color indexed="81"/>
            <rFont val="Segoe UI"/>
            <family val="2"/>
          </rPr>
          <t>Italo Azevedo:</t>
        </r>
        <r>
          <rPr>
            <sz val="9"/>
            <color indexed="81"/>
            <rFont val="Segoe UI"/>
            <family val="2"/>
          </rPr>
          <t xml:space="preserve">
NF e Produto foi enviado no redespacho</t>
        </r>
      </text>
    </comment>
    <comment ref="B266" authorId="2" shapeId="0" xr:uid="{48EE3E62-AB33-42BC-BB3E-F3471D368ADE}">
      <text>
        <r>
          <rPr>
            <b/>
            <sz val="9"/>
            <color indexed="81"/>
            <rFont val="Segoe UI"/>
            <family val="2"/>
          </rPr>
          <t>Italo Azevedo:</t>
        </r>
        <r>
          <rPr>
            <sz val="9"/>
            <color indexed="81"/>
            <rFont val="Segoe UI"/>
            <family val="2"/>
          </rPr>
          <t xml:space="preserve">
NF e Produto foi enviado no redespacho</t>
        </r>
      </text>
    </comment>
    <comment ref="B277" authorId="2" shapeId="0" xr:uid="{73C1BE65-B225-457D-9C65-8736E82A420E}">
      <text>
        <r>
          <rPr>
            <b/>
            <sz val="9"/>
            <color indexed="81"/>
            <rFont val="Segoe UI"/>
            <family val="2"/>
          </rPr>
          <t>Italo Azevedo:</t>
        </r>
        <r>
          <rPr>
            <sz val="9"/>
            <color indexed="81"/>
            <rFont val="Segoe UI"/>
            <family val="2"/>
          </rPr>
          <t xml:space="preserve">
Faltaou 2 unidades dentro da caixa de paçoquita</t>
        </r>
      </text>
    </comment>
  </commentList>
</comments>
</file>

<file path=xl/sharedStrings.xml><?xml version="1.0" encoding="utf-8"?>
<sst xmlns="http://schemas.openxmlformats.org/spreadsheetml/2006/main" count="5675" uniqueCount="814">
  <si>
    <t>Ocorrências de Pré-Separação</t>
  </si>
  <si>
    <t>Pendente</t>
  </si>
  <si>
    <t>Procedente</t>
  </si>
  <si>
    <t>Improcedente</t>
  </si>
  <si>
    <t>Ocorrências Recebidas no Mês</t>
  </si>
  <si>
    <t>Falta de Fábrica</t>
  </si>
  <si>
    <t>Erro de Abertura</t>
  </si>
  <si>
    <t>Desconsiderada</t>
  </si>
  <si>
    <t>Pendente Campo</t>
  </si>
  <si>
    <t>Falta na Entrega</t>
  </si>
  <si>
    <t>Inversão na Entrega</t>
  </si>
  <si>
    <t>TD Curitiba</t>
  </si>
  <si>
    <t>Falta de todos os produtos da nota fiscal</t>
  </si>
  <si>
    <t>TV Curitiba 2</t>
  </si>
  <si>
    <t>Sobra na Entrega</t>
  </si>
  <si>
    <t>TV Cascavel</t>
  </si>
  <si>
    <t>Avaria na Entrega</t>
  </si>
  <si>
    <t>Ocorrências TD Curitiba</t>
  </si>
  <si>
    <t>Ocorrências Prompt Sales</t>
  </si>
  <si>
    <t>Ocorrências</t>
  </si>
  <si>
    <t>3PL</t>
  </si>
  <si>
    <t>Rótulos de Linha</t>
  </si>
  <si>
    <t>Ocs</t>
  </si>
  <si>
    <t>Contagem de ID</t>
  </si>
  <si>
    <t>Rótulos de Coluna</t>
  </si>
  <si>
    <t>DESCONSIDERADA</t>
  </si>
  <si>
    <t>Entrega Terceirizada (PSL)</t>
  </si>
  <si>
    <t>Data</t>
  </si>
  <si>
    <t>Pronta Entrega (VDC/TPE)</t>
  </si>
  <si>
    <t>Total Geral</t>
  </si>
  <si>
    <t>IMPROCEDENTE</t>
  </si>
  <si>
    <t>PENDENTE</t>
  </si>
  <si>
    <t>Falta de todos os produtos da Nota Fiscal</t>
  </si>
  <si>
    <t>PROCEDENTE</t>
  </si>
  <si>
    <t>Inversão de Produto</t>
  </si>
  <si>
    <t>Falta</t>
  </si>
  <si>
    <t>Sobra</t>
  </si>
  <si>
    <t>Julho</t>
  </si>
  <si>
    <t>Janeiro</t>
  </si>
  <si>
    <t>Fevereiro</t>
  </si>
  <si>
    <t>Março</t>
  </si>
  <si>
    <t>Abril</t>
  </si>
  <si>
    <t>Maio</t>
  </si>
  <si>
    <t>Junho</t>
  </si>
  <si>
    <t>Agosto</t>
  </si>
  <si>
    <t>Setembro</t>
  </si>
  <si>
    <t>Outubro</t>
  </si>
  <si>
    <t>Novembro</t>
  </si>
  <si>
    <t>Dezembro</t>
  </si>
  <si>
    <t xml:space="preserve">Título E-mail: </t>
  </si>
  <si>
    <t>Para:</t>
  </si>
  <si>
    <t>CC:</t>
  </si>
  <si>
    <t>Prezados(a),                                                                                                                                                                                                                                                                                                                                                               Segue análise realizada pela Comfrio em relação a ocorrência aberta no Forms:</t>
  </si>
  <si>
    <t>Minuta de Análise de Ocorrências</t>
  </si>
  <si>
    <t>Nº da Ocorrência:</t>
  </si>
  <si>
    <t>Classificação Ocorrência:</t>
  </si>
  <si>
    <t>Carro de Entrega</t>
  </si>
  <si>
    <t>Empresa</t>
  </si>
  <si>
    <t>Tipo de Ocorrência:</t>
  </si>
  <si>
    <t>Data de Abertura da Ocorrência:</t>
  </si>
  <si>
    <t>Reclamação:</t>
  </si>
  <si>
    <t>Sobras/ Inversões</t>
  </si>
  <si>
    <t>Faltas/ Inversões</t>
  </si>
  <si>
    <t>Avaria:</t>
  </si>
  <si>
    <t>Ação:</t>
  </si>
  <si>
    <t>Nota Fiscal</t>
  </si>
  <si>
    <t>Remessa</t>
  </si>
  <si>
    <t>nº Etiqueta</t>
  </si>
  <si>
    <t>COMPROVANTE DE ENTREGA PRODUTOS DE ORIGEM PROCEDENTE</t>
  </si>
  <si>
    <t>RESPONSÁVEL PELA ENTREGA DOS PRODUTOS COMFRIO</t>
  </si>
  <si>
    <t>NOME:</t>
  </si>
  <si>
    <t>ASSINATURA:</t>
  </si>
  <si>
    <t>ASSINATURA:                                                                                      DATA:____/____/____</t>
  </si>
  <si>
    <t/>
  </si>
  <si>
    <t>NF</t>
  </si>
  <si>
    <t xml:space="preserve">Procedência </t>
  </si>
  <si>
    <t>Status OC</t>
  </si>
  <si>
    <t>Mês</t>
  </si>
  <si>
    <t>Semana</t>
  </si>
  <si>
    <t>Dt envio p Emergent</t>
  </si>
  <si>
    <t>Dt da abertura</t>
  </si>
  <si>
    <t>Dt Prazo Retorno ao Campo</t>
  </si>
  <si>
    <t>Dt de Retorno da analise</t>
  </si>
  <si>
    <t xml:space="preserve">Dt da Reavaliação </t>
  </si>
  <si>
    <t>Tipo SKU</t>
  </si>
  <si>
    <t>Território</t>
  </si>
  <si>
    <t>Data de pagamento</t>
  </si>
  <si>
    <t>Sede</t>
  </si>
  <si>
    <t>ID</t>
  </si>
  <si>
    <t>Data de Abertura Chamado</t>
  </si>
  <si>
    <t>Por qual deposito você é atendido.</t>
  </si>
  <si>
    <t>E-mail</t>
  </si>
  <si>
    <t>Qual sua modalidade de Entrega</t>
  </si>
  <si>
    <t>Qual seu Carro de Entrega</t>
  </si>
  <si>
    <t>Qual data de Entrega ?</t>
  </si>
  <si>
    <t>Qual a Numeração da Nota Fiscal com divergência ?</t>
  </si>
  <si>
    <t>Qual a Remessa da Nota Fiscal com divergência ?</t>
  </si>
  <si>
    <t>Qual o motivo da ocorrência ?</t>
  </si>
  <si>
    <t>Quais são os Produtos com Falta</t>
  </si>
  <si>
    <t>Quais são os Produtos com Sobra</t>
  </si>
  <si>
    <t>Quais são os Produtos com Avaria</t>
  </si>
  <si>
    <t>Quais são os Produtos com Sobra2</t>
  </si>
  <si>
    <t>Quais são os Produtos com Falta2</t>
  </si>
  <si>
    <t xml:space="preserve">informação adcional </t>
  </si>
  <si>
    <t>Número Etiqueta</t>
  </si>
  <si>
    <t>Qual ação foi tomada ?</t>
  </si>
  <si>
    <t>Procedência 2</t>
  </si>
  <si>
    <t>Motivo</t>
  </si>
  <si>
    <t>Ação do Estoque</t>
  </si>
  <si>
    <t>Incluir imagens </t>
  </si>
  <si>
    <t>Obs</t>
  </si>
  <si>
    <t>No prazo</t>
  </si>
  <si>
    <t xml:space="preserve">Janeiro   </t>
  </si>
  <si>
    <t> </t>
  </si>
  <si>
    <t>MIL</t>
  </si>
  <si>
    <t>CID Curitiba</t>
  </si>
  <si>
    <t>Curitiba</t>
  </si>
  <si>
    <t>carlos.araujo@fadeltransportes.com.br</t>
  </si>
  <si>
    <t>BR0075494</t>
  </si>
  <si>
    <t>1514564-9</t>
  </si>
  <si>
    <t>5094945 ISQ BIC MAX C/6, 6 CARTELAS  50055233 LAMINA BARB D. FIO WILKINSON 2 CARTELAS</t>
  </si>
  <si>
    <t>Nota Fiscal será retornada ao estoque</t>
  </si>
  <si>
    <t>FALTA NA PRÉ SEPARAÇÃO DE ISQUEIRO E LÂMINA DE BARBEAR</t>
  </si>
  <si>
    <t>gi.omega@hotmail.com</t>
  </si>
  <si>
    <t>BR0442243</t>
  </si>
  <si>
    <t>25 pc cod 10224293 - Dunhill IN Blue Box Eg</t>
  </si>
  <si>
    <t>Nota Fiscal será pendenciada</t>
  </si>
  <si>
    <t xml:space="preserve">Falta </t>
  </si>
  <si>
    <t>francisco8511bat@gmail.com</t>
  </si>
  <si>
    <t>BR0442240</t>
  </si>
  <si>
    <t xml:space="preserve">5 carteiras de luck strike red box </t>
  </si>
  <si>
    <t>Nota Fiscal será entregue com falta.</t>
  </si>
  <si>
    <t>Carga tpe</t>
  </si>
  <si>
    <t>nedson.reis@fadeltransportes.com.br</t>
  </si>
  <si>
    <t>BR0219603</t>
  </si>
  <si>
    <t>10226374 falta 1 PCT roth double click, inversão com lucky strike red mix</t>
  </si>
  <si>
    <t>Inversão de produto. Faltou 1 pct de rothmans inter double click box. E foi enviado 1 pct de lucky strike red mix.</t>
  </si>
  <si>
    <t>vendedorsilvio@gmail.com</t>
  </si>
  <si>
    <t>BR0442186</t>
  </si>
  <si>
    <t>10226396 DUNHILL ON RED BOX</t>
  </si>
  <si>
    <t>NA</t>
  </si>
  <si>
    <t>Falta de 4 carteiras (0,080 cigarros)</t>
  </si>
  <si>
    <t>BR0219562</t>
  </si>
  <si>
    <t>10226374 Roth london intern double click box 1 pct</t>
  </si>
  <si>
    <t>Foi faltando 1 pacote de roth double click</t>
  </si>
  <si>
    <t>DUPLICADA</t>
  </si>
  <si>
    <t>BR0075802</t>
  </si>
  <si>
    <t>10226372 DUNHILL BLUE BLEND 2.0 BOX (FALTA 1 PACOTE)</t>
  </si>
  <si>
    <t xml:space="preserve">falta 1 pacote de dunhill blue blend box </t>
  </si>
  <si>
    <t xml:space="preserve">caroline.machado@fadeltransportes .com </t>
  </si>
  <si>
    <t>10226372 DUNHILL BLUE BLEND 2.0 BOX (falta 1 pacote)</t>
  </si>
  <si>
    <t>Falta 1 pacote de dunhil blue blend</t>
  </si>
  <si>
    <t>BR0075488</t>
  </si>
  <si>
    <t xml:space="preserve">10223112 DUNHILL OF LONDON CARLTON BLEND BOX ( falta 1 PACOTE) 10223657 DUNHILL IN RED BOX EG ( sobra 1 PACOTE) </t>
  </si>
  <si>
    <t xml:space="preserve">não possuo o número </t>
  </si>
  <si>
    <t>Produtos invertidos</t>
  </si>
  <si>
    <t>Alessandropedroso21@gmail.com</t>
  </si>
  <si>
    <t>BR0442233</t>
  </si>
  <si>
    <t>Nao veio  na carga do dia 16.12</t>
  </si>
  <si>
    <t xml:space="preserve">Sso percebi quando fui conferir pois e produto que nao vende um minha região </t>
  </si>
  <si>
    <t>BR0219599</t>
  </si>
  <si>
    <t>Era para ter ido 1 Global Blue Box e foi no lugar um Lucky Fresh Ice</t>
  </si>
  <si>
    <t xml:space="preserve">Inversao </t>
  </si>
  <si>
    <t>vilczak@hotmail.com</t>
  </si>
  <si>
    <t>BR0442234</t>
  </si>
  <si>
    <t>1 10223112 Dunhill of london carlton  4 50066993 Ap barb gillete preto3 champions c/12  12 10208004 rothmans cores blue  1 10165171 dunhill on kent Red  6 10208167 rothmans global blue</t>
  </si>
  <si>
    <t xml:space="preserve">Nao veio </t>
  </si>
  <si>
    <t>Veio a nota e nao veio os produtos.</t>
  </si>
  <si>
    <t>BR0219601</t>
  </si>
  <si>
    <t>10224293  DUNHILL IN BLUE BOX 0.5 UNIDADES</t>
  </si>
  <si>
    <t xml:space="preserve">Faltou na separação </t>
  </si>
  <si>
    <t>reservatvlondrina@gmail.com</t>
  </si>
  <si>
    <t>BR0442242</t>
  </si>
  <si>
    <t>10227309 rothmans London white Classic blue</t>
  </si>
  <si>
    <t>Dionewaleski22@gmail.com</t>
  </si>
  <si>
    <t>BR0442251</t>
  </si>
  <si>
    <t>Faltando 1 Display Mais Mu</t>
  </si>
  <si>
    <t>Na</t>
  </si>
  <si>
    <t>Produto foi retirado de outra nota fiscal.</t>
  </si>
  <si>
    <t>BR0075727</t>
  </si>
  <si>
    <t xml:space="preserve">10223112 DUNHILL OF LONDON CARLTON BLEND BOX (FALTA 0.6) </t>
  </si>
  <si>
    <t xml:space="preserve">FALTA 0.6 DUNHILL CARLTON </t>
  </si>
  <si>
    <t>BR0075865</t>
  </si>
  <si>
    <t xml:space="preserve">1022636 Roth inter click sense falta 5 Pacotes </t>
  </si>
  <si>
    <t>Sobra 5 kent pro Red e falta 5 roth click sense</t>
  </si>
  <si>
    <t>BR0075485</t>
  </si>
  <si>
    <t>Inversão entre Isqueiro Bic MAX e Bic mini</t>
  </si>
  <si>
    <t>A NF solicita 2 bic max c/6 e 1 bic min c/6 Mas foi enviado 1 bic max c/6 e 2 bic min c/6</t>
  </si>
  <si>
    <t>50065260 BIC COMFORT3 C/12</t>
  </si>
  <si>
    <t xml:space="preserve">faltando bic comfort 3 </t>
  </si>
  <si>
    <t>BR0219600</t>
  </si>
  <si>
    <t xml:space="preserve">Era para ter sido enviado Dunhill carlton blend e foi enviado Dunhill blue </t>
  </si>
  <si>
    <t xml:space="preserve">Falta 25 Dunhill voyage ice  refresh </t>
  </si>
  <si>
    <t>Valde.souzacruz@hotmail.com</t>
  </si>
  <si>
    <t>BR0442230</t>
  </si>
  <si>
    <t>Ainda não consegui identificar qual o cigarro  E uma cx tpe de acordo com a minuta seria 101 cx tpe e só veio 100</t>
  </si>
  <si>
    <t>Tpe</t>
  </si>
  <si>
    <t xml:space="preserve">Faltou uma cx tpe era pra ser 101 só veio 100 conforme a minuta  Conferido junto com o motorista </t>
  </si>
  <si>
    <t xml:space="preserve">Falta de todos os produtos </t>
  </si>
  <si>
    <t xml:space="preserve">10226372 DUNHILL BLUE BLEND 2.0 BOX </t>
  </si>
  <si>
    <t>9545842  9545879</t>
  </si>
  <si>
    <t xml:space="preserve">Era para ter sido enviado 3 pacotes foi enviado apenas 2 </t>
  </si>
  <si>
    <t>joigg2010@hotmail.com</t>
  </si>
  <si>
    <t>BR0442252</t>
  </si>
  <si>
    <t xml:space="preserve">Lucky strike American original Blue </t>
  </si>
  <si>
    <t xml:space="preserve">Não tem </t>
  </si>
  <si>
    <t>Ena nota eram 15 pacotes veio apenas 10</t>
  </si>
  <si>
    <t>BR0422999</t>
  </si>
  <si>
    <t xml:space="preserve">Era pra ser enviado white azul e foi enviado kent azul </t>
  </si>
  <si>
    <t xml:space="preserve">Sobra 1 pacote dunhill on blue e falta 1 pacote dunhill double refresh </t>
  </si>
  <si>
    <t>BR0423000</t>
  </si>
  <si>
    <t>10226422 rothmans hand select core blue maço 2 pct</t>
  </si>
  <si>
    <t xml:space="preserve">Falta 2 pacotes </t>
  </si>
  <si>
    <t>1511610-9</t>
  </si>
  <si>
    <t xml:space="preserve">10 pc cod 10226427 Luck blue original Box 15 pc cod 10226359 kent prata Box 25 pc cod 10224294 dunhill in blue box </t>
  </si>
  <si>
    <t>BR0075564</t>
  </si>
  <si>
    <t>Dunhill On blue 2 pacotes</t>
  </si>
  <si>
    <t>Faltou 2 pacotes de Dunhill On blue</t>
  </si>
  <si>
    <t>maira_oliveira@bat.com</t>
  </si>
  <si>
    <t>varejista informa que solicitou DUNHILL CARLTON BOX 200s e recebeu DUNHILL BLEND .</t>
  </si>
  <si>
    <t>Sem informação</t>
  </si>
  <si>
    <t>Varejo abriu o SAV 01712152</t>
  </si>
  <si>
    <t>DUNHILL ON RED 1.0</t>
  </si>
  <si>
    <t>sem etiqueta</t>
  </si>
  <si>
    <t>foi invertido dunhill on red com dunhill on blue 1.0</t>
  </si>
  <si>
    <t>Faltou 1 rothmans double click e sobrou um Lucky strike red mix</t>
  </si>
  <si>
    <t>Inversão na separação 1 pacote</t>
  </si>
  <si>
    <t>BR0075517</t>
  </si>
  <si>
    <t xml:space="preserve">Falta 1 pacote de dunhill on blue </t>
  </si>
  <si>
    <t>01 pc cod 10223112 Dunhill OF London carlton blend box 23 pc cod 10224435 Dunhill of London Carlton Blend box</t>
  </si>
  <si>
    <t>may.mattoso@gmail.com</t>
  </si>
  <si>
    <t>BR0442246</t>
  </si>
  <si>
    <t xml:space="preserve">Bonificação </t>
  </si>
  <si>
    <t xml:space="preserve">Veio a nota e não veio bonificações </t>
  </si>
  <si>
    <t>Fernando.frank1@hotmail.com</t>
  </si>
  <si>
    <t>10198819 Dunhill Voyage Mix refresh</t>
  </si>
  <si>
    <t xml:space="preserve">Faltando 2 pacotes na carga </t>
  </si>
  <si>
    <t xml:space="preserve">Não veio 25 pacotes do Lucky  blue América original box  Falta 3 caixas de rothmans Blue box </t>
  </si>
  <si>
    <t>Felype_r@live.com</t>
  </si>
  <si>
    <t>BR0442237</t>
  </si>
  <si>
    <t>50 pacotes  10226445   rothmans global blue box</t>
  </si>
  <si>
    <t xml:space="preserve">Sem itiqueta </t>
  </si>
  <si>
    <t xml:space="preserve">50065401 pilha alc ray aa2 72 cart 2 </t>
  </si>
  <si>
    <t xml:space="preserve">faltou na entrega a pilha, 1 cartela com 8 </t>
  </si>
  <si>
    <t>9592541</t>
  </si>
  <si>
    <t xml:space="preserve">Fevereiro </t>
  </si>
  <si>
    <t>01 cod 10223112 Dunhill of London Carlton blend box ,16 cod 10208004 rothmans  hand selected core blue box bfc</t>
  </si>
  <si>
    <t>10226405 roth blue box 1 pct (falta). kent pro blue 1 pct (sobra)</t>
  </si>
  <si>
    <t>Produto invertido Faltando roth core blue box 1 unidade. Sobrando Kent pro blue 1 unidade</t>
  </si>
  <si>
    <t>59994931 isqueiro bic min c/6 2 cartelas</t>
  </si>
  <si>
    <t>Faltou na separação 2 cartelas de isqueiro bic mini com 6 unidades</t>
  </si>
  <si>
    <t>Falta 1 cx rothmans internacional Blue box Sobra 1 cx rothmans Intern double click</t>
  </si>
  <si>
    <t>Falta 3 roth classic blue e sobra 3 roth select red</t>
  </si>
  <si>
    <t xml:space="preserve">Produto invertido era para ser entregue 3 roth classic blue e foram entregues 3 roth select red box </t>
  </si>
  <si>
    <t>fabiopast.bat@gmail.com</t>
  </si>
  <si>
    <t>BR0442245</t>
  </si>
  <si>
    <t>.</t>
  </si>
  <si>
    <t xml:space="preserve">Faltou 50 pct de  Rothmans London Int Blue box, no caso faltou uma caixa </t>
  </si>
  <si>
    <t xml:space="preserve">Juliano savagin </t>
  </si>
  <si>
    <t>BR0442232</t>
  </si>
  <si>
    <t>50063718 AP BARB PROBAKII  4 DISPLAYS. 50062495 AP BAR PRESTO UG MOVEL 4 DISPLAYS . 50063694 AP BARB PRESTO 2 FIXO 24+ 2PB3 CHAMP 5 DISPLAYS . 50055233 LAMINA BARB D FIO WILKINSON 3 DISPLAYS. 50065260 BIC COMFORT 3 C/12 4 DISPLAYS. 50065250 BIC COMFORT 2 C/12 4 DISPLAYS.</t>
  </si>
  <si>
    <t>Faltou todos esses itens mencionados, carro ficará com essa falta até mandarem oque faltou.</t>
  </si>
  <si>
    <t xml:space="preserve">4 pacotes de dunhil tabaco  1 pacote de luck red mix </t>
  </si>
  <si>
    <t>Faltou 1 cartelas de Bic max com 12</t>
  </si>
  <si>
    <t>...</t>
  </si>
  <si>
    <t>3 cartelas ultragrip fixo</t>
  </si>
  <si>
    <t>44. 50994945 bic max c/6</t>
  </si>
  <si>
    <t xml:space="preserve">Não veio caixa, quem dirá etiqueta </t>
  </si>
  <si>
    <t>Falta de produto</t>
  </si>
  <si>
    <t xml:space="preserve">Falta 0.600 Lucky Strike Caps e sobra 0.600 Rothmans clicl sense </t>
  </si>
  <si>
    <t>Falta 24 mais mu de capucino</t>
  </si>
  <si>
    <t>..</t>
  </si>
  <si>
    <t xml:space="preserve">Falta 1 pacote de roth white classic blue </t>
  </si>
  <si>
    <t>BR0219605</t>
  </si>
  <si>
    <t>Foi enviado 1 pacote de rothmans white classic blue no lugar de 1 kent pro blue</t>
  </si>
  <si>
    <t>Falta Isq bic max 2 c/6  Falta Isq bic mini 2c/6</t>
  </si>
  <si>
    <t xml:space="preserve">Isqueiro coletado no estoque e entregue no cliente. </t>
  </si>
  <si>
    <t>BR0075512</t>
  </si>
  <si>
    <t>Falta Isq bic mini 2/6, Falta Fini dentadura 1, Falta Fini Pinta lingua 1 , Falta Fini Tubes morango 1, Falta Trevo tabaco 1, Falta lâmina , Falta Gillete</t>
  </si>
  <si>
    <t>Faltou todas as parcerias na separação</t>
  </si>
  <si>
    <t>50065406 PILHA ZN AA4 RAY CART 4 SM 192 10842</t>
  </si>
  <si>
    <t>FALTOU PILHA ZN AA4 RAY CART 4 SM 192 10842</t>
  </si>
  <si>
    <t>Falta 0.5 pacotes de rothmans blue maço</t>
  </si>
  <si>
    <t>Caixa fechada de fábrica com falta. Foi feita devolução parcial para voltar só a falta.</t>
  </si>
  <si>
    <t>0.5 cod 10208167 Rothmans  lond 1890 global boue box bfc</t>
  </si>
  <si>
    <t>BR0075785</t>
  </si>
  <si>
    <t>1 Cartela de isqueiro bic mini c/6</t>
  </si>
  <si>
    <t>BR0219549</t>
  </si>
  <si>
    <t xml:space="preserve">50065430 TUBES MORANGO CITRICO 1 UNIDADE </t>
  </si>
  <si>
    <t xml:space="preserve">FALTANDO 50065430 TUBES MORANGO CITRICO 1 UNIDADE </t>
  </si>
  <si>
    <t xml:space="preserve">nedson.reis@fadeltransportes.com.br </t>
  </si>
  <si>
    <t>BR0075882</t>
  </si>
  <si>
    <t xml:space="preserve">10227309 ROTHMANS LONDON WHITE CLASSIC BLUE BOX 7 UNIDADES </t>
  </si>
  <si>
    <t xml:space="preserve">FALTOU UM PACOTE (ERAM 7 FOI ENVIADO 6) 10227309 ROTHMANS LONDON WHITE CLASSIC BLUE BOX 7 UNIDADES </t>
  </si>
  <si>
    <t xml:space="preserve">Dunhill carlton blend 2.0 box  Faltou 50 pacotes </t>
  </si>
  <si>
    <t xml:space="preserve">Dunhil carlton blend 2.0 box Faltou 50 pacotes </t>
  </si>
  <si>
    <t>BR0219544</t>
  </si>
  <si>
    <t>Falta 3 pacotes de rothmans global blue  Sobra 3 pacotes de lucky strike fresh ice</t>
  </si>
  <si>
    <t>Inversão na separação</t>
  </si>
  <si>
    <t xml:space="preserve">1- 50065431 tubes morango 15g </t>
  </si>
  <si>
    <t xml:space="preserve">Nao tem </t>
  </si>
  <si>
    <t xml:space="preserve">Veio faltando </t>
  </si>
  <si>
    <t>1 pacote de kent pro blue</t>
  </si>
  <si>
    <t>BR0075781</t>
  </si>
  <si>
    <t>1534520/9</t>
  </si>
  <si>
    <t xml:space="preserve">Falta 0.5 roth blue maço. </t>
  </si>
  <si>
    <t>Mercado assai. Caixa fechada com falta.</t>
  </si>
  <si>
    <t>fernando.frank1@hotmail.com</t>
  </si>
  <si>
    <t xml:space="preserve">01cx (10 milheiros) 10226463 Rothmans London Global Blue box </t>
  </si>
  <si>
    <t xml:space="preserve">Não tenho </t>
  </si>
  <si>
    <t>Era pra ter vindo 04cx e recebi apenas 03 cx</t>
  </si>
  <si>
    <t>1 pacote kent prata maço 1 papel trevo</t>
  </si>
  <si>
    <t>Produto retirado no estoque e entregue no cliente</t>
  </si>
  <si>
    <t>Sobra 1 cx bic maxi, e falta 1 caixa Bic mini</t>
  </si>
  <si>
    <t>CP5: 9849136</t>
  </si>
  <si>
    <t>Enviado fotos e vídeo para o Italo</t>
  </si>
  <si>
    <t>BR0075598</t>
  </si>
  <si>
    <t xml:space="preserve">Falta Isq bic max c/6 4 cartelas </t>
  </si>
  <si>
    <t xml:space="preserve">Falta Isq bic max c/6. 2 cartelas </t>
  </si>
  <si>
    <t>Produto retirado de outro pedido para realizar a entrega</t>
  </si>
  <si>
    <t>LUCKY STRIKE FRESH  ICE BOX</t>
  </si>
  <si>
    <t xml:space="preserve">ESTÁ FALTANDO UM PACOTE DE LUCKY STRIKE FRESH ICE </t>
  </si>
  <si>
    <t xml:space="preserve">0,1 (05 carteiras) 10226463 Rothmans Global blue box </t>
  </si>
  <si>
    <t>Cx veio deslacrada faltando meio pacote</t>
  </si>
  <si>
    <t>BR0075950</t>
  </si>
  <si>
    <t>10227309 ROTHMANS LONDON WHITE CLASSIC BLUE BOX 2 (Faltando 1 pacote de Rothmans White classic blue)</t>
  </si>
  <si>
    <t>Faltando 1 pacote de Rothmans White classic blue</t>
  </si>
  <si>
    <t>10226399 ROTHMANS HAND SELECTED SILVER BOX</t>
  </si>
  <si>
    <t>Falta 50 pacotes de ROTHMANS SILVER BOX</t>
  </si>
  <si>
    <t xml:space="preserve">Era para ter sido enviado lucky strike fresh double ice e foi enviado o lucky strike  wild </t>
  </si>
  <si>
    <t>10226431 LUCK STRIKE FRESH DOUBLE ICE 1 (faltando 1 pacote)</t>
  </si>
  <si>
    <t>Faltou 1 pacote de  LUCK STRIKE FRESH DOUBLE ICE</t>
  </si>
  <si>
    <t xml:space="preserve">10223108 DUNHILL VOYAGE DOUBLE REFRESH BOX 1 (falta meio pacote) </t>
  </si>
  <si>
    <t xml:space="preserve">falta meio pacote de DUNHILL VOYAGE DOUBLE REFRESH BOX </t>
  </si>
  <si>
    <t xml:space="preserve">caroline.machado@fadeltransportes.com.br </t>
  </si>
  <si>
    <t xml:space="preserve">Falta um pacote de trevo tabaco e inversão de papel (foi o colomy no lugar do papel trevo) </t>
  </si>
  <si>
    <t xml:space="preserve">sem etiqueta </t>
  </si>
  <si>
    <t>Era para ser enviado lucky strike double e foi enviado dunhill full red</t>
  </si>
  <si>
    <t xml:space="preserve">pediu meio lucky strike double ice e foi enviado dunhill infull red </t>
  </si>
  <si>
    <t>caroline.machado@fadltransportes.com.br</t>
  </si>
  <si>
    <t>KENT PRO SILVER BOX 4</t>
  </si>
  <si>
    <t xml:space="preserve">FALTOU 1 PACOTE DE KENT PRO SILVER BOX </t>
  </si>
  <si>
    <t xml:space="preserve">FALTA 1 PACOTE DE KENT PRO SILVER BOX </t>
  </si>
  <si>
    <t xml:space="preserve">10226374 ROTHMANS LONDON INTER DOUBLE CLICK BOX 4 (FALTANDO 4 PACOTES) </t>
  </si>
  <si>
    <t>FALTANDO 4 PACOTES DE ROTHMANS LONDON INTER DOUBLE CLICK BOX</t>
  </si>
  <si>
    <t>falta de kent acess azul maço 3 falta de kent acess vermelho maço 1</t>
  </si>
  <si>
    <t>Sem acesso a etiqueta</t>
  </si>
  <si>
    <t xml:space="preserve">Cliente recebeu a mercadoria e assinou o canhoto, porém abriu um SAV informando que teve falta.  Vale ressaltar que o cliente recebeu dois pedidos nesse dia </t>
  </si>
  <si>
    <t xml:space="preserve">nedson.reis@fadeltransportes.com </t>
  </si>
  <si>
    <t>BR0075522</t>
  </si>
  <si>
    <t xml:space="preserve">10215641 DUNHILL BLUE BEND 2.0 BOX 10X1 (FALTOU 1 PACOTE ERAM PRA SER 11 FOI 10) </t>
  </si>
  <si>
    <t>FALTOU 1 PACOTE DUNHILL BLUE BEND 2.0 BOX 10X1</t>
  </si>
  <si>
    <t>Era para ter sido enviado 2 KENT PRATA MAÇO e foi enviado 2 LUCKY STRIKE SOUBLE CLICK</t>
  </si>
  <si>
    <t>caroline.machado@fadeltransportes.com.br</t>
  </si>
  <si>
    <t xml:space="preserve">50066153 MAIS MU CHOCO WHEYFER CHOCOLATE 25G (NÃO FOI ENVIADO) </t>
  </si>
  <si>
    <t>NÃO FOI ENVIADO  MAIS MU CHOCO WHEYFER CHOCOLATE 25G</t>
  </si>
  <si>
    <t xml:space="preserve">10226405 ROTHMANS HAND SELEC CORE BLUE BOX (FALTANDO 4 PACOTES) </t>
  </si>
  <si>
    <t>FALTANDO 4 PACOTES DE ROTHMANS HAND SELEC CORE BLUE BOX</t>
  </si>
  <si>
    <t xml:space="preserve">10223123 DUNHILL OFF LONDON BLUE BLEND BOX (FALTA 4 PACOTES) </t>
  </si>
  <si>
    <t xml:space="preserve">FALTA 4 PACOTES DUNHILL OFF LONDON BLUE BLEND BOX </t>
  </si>
  <si>
    <t xml:space="preserve">50065430 TUBES MORANGO CITRICO 15G 10 (FALTA OS 10) </t>
  </si>
  <si>
    <t>FALTA OS 10 TUBES MORANGO CITRICO 15G</t>
  </si>
  <si>
    <t>faltou 2 probak 28 uni faltou 2 presto ug fixo c/24 faltou 2 presto ug movel c/24</t>
  </si>
  <si>
    <t xml:space="preserve">sem informação </t>
  </si>
  <si>
    <t>faltou 2 probak 28 uni faltou 2 presto ug fixo c/24Faltou 2 presto ug movel c/24</t>
  </si>
  <si>
    <t>Julianosavagin@gmail.com</t>
  </si>
  <si>
    <t>50994945 isq bic max 24 unidades  10208167 rothmans Londrina global blue 2 pcts</t>
  </si>
  <si>
    <t>Nota ficará pendente de entrega.</t>
  </si>
  <si>
    <t xml:space="preserve">50067094 mais mu bebida baunilha 12 unidades  50067083 mais mu bebida morango 12 unidades 10223435 dunhill of london 34 pcts  10208004 rothmans hand select cores blue bfc 2 pcts </t>
  </si>
  <si>
    <t xml:space="preserve">Nota ficará pendente de entrega </t>
  </si>
  <si>
    <t xml:space="preserve">50994945 isq bic max 24 unidades  50994931 isq bic mini 24 unidades  10208004 rothmans hand select blue bfc 11 pacotes  10224472 dunhill insígnia red box 1 pacotes </t>
  </si>
  <si>
    <t>50994945 isq bic max 24 unidades  50066599 seda ocb mix slin 1 display  10223112 dunhill of london 1 pacote 10208004 rothmans select blue bfc 14 pacotes  10224472 dunhill insignia red box 1 pacote</t>
  </si>
  <si>
    <t xml:space="preserve">Faltando todos os produtos </t>
  </si>
  <si>
    <t>Foi enviado lucky strike peterson maço no lugar do lucky strike blue american original</t>
  </si>
  <si>
    <t>Era para ser enviado lucky strike red mix e  no lugar foi enviado rothmans tropical boost</t>
  </si>
  <si>
    <t>Cliente informou que recebeu 50 dunhill In red no Lugar de 50 Dunhill Carlton blend</t>
  </si>
  <si>
    <t xml:space="preserve">Sem etiqueta </t>
  </si>
  <si>
    <t>BR0219606</t>
  </si>
  <si>
    <t>Rothmans signature blue box 1 unidade enviada no lugar de 1 Dunhill Blue blend</t>
  </si>
  <si>
    <t xml:space="preserve">PRODUTO AMAÇADO </t>
  </si>
  <si>
    <t xml:space="preserve">Foi enviado Rothmans no lugar de Dunhill of london blue blend box </t>
  </si>
  <si>
    <t>Foi enviado rothmans no lugar de dunhill blue</t>
  </si>
  <si>
    <t xml:space="preserve">Foi enviado rothmans no lugar de dunhill blue </t>
  </si>
  <si>
    <t>eram 8 pacotes de luck strike red e foi enviado 7</t>
  </si>
  <si>
    <t xml:space="preserve">faltando um pacote Dunhill voyage double refresh </t>
  </si>
  <si>
    <t xml:space="preserve">Falta de 2 rotmans Purple Boost 10226388 </t>
  </si>
  <si>
    <t>BR</t>
  </si>
  <si>
    <t>May.mattoso@gmail.com</t>
  </si>
  <si>
    <t>Falta de 6 pares de unidades de prestobarba Fixo 24 unidades  50062694</t>
  </si>
  <si>
    <t>Br</t>
  </si>
  <si>
    <t>Falta na cartela</t>
  </si>
  <si>
    <t>BR0075703</t>
  </si>
  <si>
    <t>03/31/2026</t>
  </si>
  <si>
    <t xml:space="preserve">Faltando 4 pacotes Faltando os 4 pacotes de Lucky strike fresh Double Ice </t>
  </si>
  <si>
    <t xml:space="preserve">Faltando 1 pacote de Lucky Strike Fresh Wild </t>
  </si>
  <si>
    <t>50994945 ISQ BIC MAX C/6</t>
  </si>
  <si>
    <t>faLta 1 lucky blue box</t>
  </si>
  <si>
    <t>03/27/2026</t>
  </si>
  <si>
    <t>lucky red patterson falta 1 pacote</t>
  </si>
  <si>
    <t>BT0442230</t>
  </si>
  <si>
    <t>50994945 isq bic maxi c/6</t>
  </si>
  <si>
    <t xml:space="preserve">Abril </t>
  </si>
  <si>
    <t>Faltou a cx inteira</t>
  </si>
  <si>
    <t>Faltou na carga tpe era pra ser duas cx veio apenas 1</t>
  </si>
  <si>
    <t>Enviado 2 pacotes de dunhill Ice refresh no lugar de dunhill double refresh</t>
  </si>
  <si>
    <t>Inversão de 2 pacotes</t>
  </si>
  <si>
    <t>Rothmans global blue 2 pacotes</t>
  </si>
  <si>
    <t>Nao veio o produto,  somente a nf</t>
  </si>
  <si>
    <t>Cascavel502865@gmail.com</t>
  </si>
  <si>
    <t>BR0442702</t>
  </si>
  <si>
    <t xml:space="preserve">Veio sobrando 10 kent asc.azul 20 lucky Patterson MAÇO Faltando 10 lucky puple mix 20 lucky red MAÇO 5 bolinho laranja </t>
  </si>
  <si>
    <t xml:space="preserve">Nao veio produto,  so nf </t>
  </si>
  <si>
    <t>TV Curitiba 3</t>
  </si>
  <si>
    <t>paulo-bassani@hotmail.com</t>
  </si>
  <si>
    <t>BR0442235</t>
  </si>
  <si>
    <t>Rothmans Global 1 pct</t>
  </si>
  <si>
    <t xml:space="preserve">Dei falta nessa mercadoria </t>
  </si>
  <si>
    <t>TV Curitiba 4</t>
  </si>
  <si>
    <t>Paulo-bassani@hotmail.com</t>
  </si>
  <si>
    <t xml:space="preserve">Rothmans global azul 4 pct </t>
  </si>
  <si>
    <t>TV Curitiba 5</t>
  </si>
  <si>
    <t xml:space="preserve">Falta 50 luck blu Patterson </t>
  </si>
  <si>
    <t>BR7005522</t>
  </si>
  <si>
    <t xml:space="preserve">Faltou 1 pacote Rothmans Hand Selected silver box </t>
  </si>
  <si>
    <t xml:space="preserve">0,5 (25 carteiras) 10208167 Rothmans London Global blue box </t>
  </si>
  <si>
    <t>CP1: 9996139</t>
  </si>
  <si>
    <t>Tinha outras notas com Bonificação junto e essa não veio</t>
  </si>
  <si>
    <t>isq bic max c/6 6 cartelas</t>
  </si>
  <si>
    <t>Brunofdahmerpsouzac@gmail.com</t>
  </si>
  <si>
    <t>BR0442185</t>
  </si>
  <si>
    <t>50994945 ISQ BIC MAX C/6 44 UNIDADES</t>
  </si>
  <si>
    <t xml:space="preserve">Falta de 1 cx de isqueiros bic max </t>
  </si>
  <si>
    <t>BR0075542</t>
  </si>
  <si>
    <t xml:space="preserve">faltando 1 unidades bolinho balduco </t>
  </si>
  <si>
    <t xml:space="preserve">11pcts Rothmans core Blue box Bonificação </t>
  </si>
  <si>
    <t xml:space="preserve">Falta Bonificação </t>
  </si>
  <si>
    <t xml:space="preserve">32 pcts ROTHMANS core Blue box bonificados </t>
  </si>
  <si>
    <t xml:space="preserve">Falta de Bonificação </t>
  </si>
  <si>
    <t>01 pct Rothmans Global blue box bonificado</t>
  </si>
  <si>
    <t>04 pcts ROTHMANS core Blue box bonificados 01 pct dunhill insigna red box bonificado</t>
  </si>
  <si>
    <t>BR0075774</t>
  </si>
  <si>
    <t xml:space="preserve">Falta 1 pacote de  Rothmans global Red </t>
  </si>
  <si>
    <t>falta 1 pacote de rothmans double click</t>
  </si>
  <si>
    <t>(veio 4cartelas de isqueiro Bic mini e 1cartela de bic Max.)  cliente pediu 5 cartelas de bic Max</t>
  </si>
  <si>
    <t>Enviado um roth global red no lugar de um lucky strike azul</t>
  </si>
  <si>
    <t>Inversão de 1 pacote</t>
  </si>
  <si>
    <t xml:space="preserve">era para ser 1 isqueiro mini e 3 isqueiro max </t>
  </si>
  <si>
    <t>era 5 isqueiro max e tem 4 e 1 isqueiro mini</t>
  </si>
  <si>
    <t xml:space="preserve">Eram 5 isqueiros MAX foi enviado 3 e mais 2 MINI no lugar </t>
  </si>
  <si>
    <t xml:space="preserve">Nao recebi nfe </t>
  </si>
  <si>
    <t>.....</t>
  </si>
  <si>
    <t xml:space="preserve">NAO RECIBI A NFE NEM OS PRODUTOS </t>
  </si>
  <si>
    <t>....</t>
  </si>
  <si>
    <t xml:space="preserve">Nao veio a Nfe nem os produtos </t>
  </si>
  <si>
    <t>Falta 2 pacotes de roth global blue</t>
  </si>
  <si>
    <t xml:space="preserve">10226429 1 kent red/ 10226398 1rot red box </t>
  </si>
  <si>
    <t>10208004 rothmans hand select cores blue box bfc 1 pacote.</t>
  </si>
  <si>
    <t xml:space="preserve">Nota ficará pendente </t>
  </si>
  <si>
    <t xml:space="preserve">10208004 rothmans hand select core blue box bfc 1 pacote </t>
  </si>
  <si>
    <t>Nota ficará pendente.</t>
  </si>
  <si>
    <t>10208004 rothmans hand select core blue box bfc 1 pacotes.</t>
  </si>
  <si>
    <t>faltando um Lucky Strike red mix</t>
  </si>
  <si>
    <t>Falta 5 carteiras de dunhill double refresh</t>
  </si>
  <si>
    <t>TV Curitiba 7</t>
  </si>
  <si>
    <t>Solismarmoraes@hotmail.com</t>
  </si>
  <si>
    <t>BR0442231</t>
  </si>
  <si>
    <t>10226445
10223435</t>
  </si>
  <si>
    <t>Sem etiqueta</t>
  </si>
  <si>
    <t>falta 3 roth globlal blue</t>
  </si>
  <si>
    <t>28/65</t>
  </si>
  <si>
    <t>Foi enviado 3 roth core blue no lugar de 3 lucky double ice</t>
  </si>
  <si>
    <t xml:space="preserve">Falta 5 carteiras de roth doble click </t>
  </si>
  <si>
    <t>BR0075549</t>
  </si>
  <si>
    <t xml:space="preserve">Kent pro red falta 5 pacotes </t>
  </si>
  <si>
    <t>Enviado 1 pacote de roth red box no lugar de 1 pacote roth blue white classic</t>
  </si>
  <si>
    <t>Falta 2 pacotes de lucky strike blue patterson</t>
  </si>
  <si>
    <t>2 pacotes de lucky strike invertido. Mandaram 2 fresh mint no lugar de 2 fresh double</t>
  </si>
  <si>
    <t xml:space="preserve">1 cartela com 6 unidades de isqueiro  BIC DECOR TREND </t>
  </si>
  <si>
    <t>Enviado 6 pacotes de dunhill in red no lugar de 6 pacotes de kent pro red</t>
  </si>
  <si>
    <t>falta 1 cartela com 6 unidades de isqueiro decor</t>
  </si>
  <si>
    <t>Era pra vir lucky red mix mandaram lucky blue paterson</t>
  </si>
  <si>
    <t>Inversão foi enviado dunhill double no lugar de lucky strike double</t>
  </si>
  <si>
    <t>10226405 rotmans hand select cor blue box
10227896 Lucky STRIKE double click box</t>
  </si>
  <si>
    <t>5065432 tubes pinta lingua</t>
  </si>
  <si>
    <t>Enviado 0.5 dunhill evoque tabaco no lugar de 0.5 roth double click</t>
  </si>
  <si>
    <t xml:space="preserve">7 cartelas prestobarba ultragrip Fixo </t>
  </si>
  <si>
    <t>Faltou uma cx na carga tpe 
Carga foi enviada faltando um palete inteiro
Depois veio o restante junto com parceria</t>
  </si>
  <si>
    <t xml:space="preserve">Faltou uma cx rotmans  blue box
Na terça dia 12 veio a carga faltando um palete da carga
Foi enviado dia 14 o restante da carga aí conferido e houve a falta do rotmans e das fini </t>
  </si>
  <si>
    <t>Enviado roth inter blue no lugar de roth click sense . 1 pacote invertido</t>
  </si>
  <si>
    <t>Enviado um pacote de roth blue white no lugar de roth select red</t>
  </si>
  <si>
    <t>10215610 Dunhill carlton/  Solicitado 500 Dunhill carlton blend, chegou 450, faltando uma caixa, aguardo a reposição desta caixa</t>
  </si>
  <si>
    <t>50994931 isqueiro bic mini / Faltou 12 unidades Bic mini</t>
  </si>
  <si>
    <t>CP1:10429217</t>
  </si>
  <si>
    <t xml:space="preserve">10226425-LUCKY BLUE PATTERSONFOUND1871 BOX HW25/ Caixa lacrada faltando 1 pacote </t>
  </si>
  <si>
    <t>21/27</t>
  </si>
  <si>
    <t>85111623@bat.com</t>
  </si>
  <si>
    <t xml:space="preserve"> 1 pacote 10226455 Kent prata maço 
1 pacote 10226374 roth London Inter click sense </t>
  </si>
  <si>
    <t>Cp5:10456677. Cp5: 10456688 cp5:10456689 cp5:10456678</t>
  </si>
  <si>
    <t xml:space="preserve">Falta de 50 pacotes de rothmans double click 
Sobra de 50 pacotes de rothmans click sense </t>
  </si>
  <si>
    <t xml:space="preserve">Caixa fechada </t>
  </si>
  <si>
    <t>Faltou 1 pacote de dunhill double refresh</t>
  </si>
  <si>
    <t xml:space="preserve">Falta 2 cx bolinho duplo chocolate bauduco </t>
  </si>
  <si>
    <t xml:space="preserve">Falta 2.5 rothmans lond 1890 global blue boc bfc </t>
  </si>
  <si>
    <t xml:space="preserve">Falta 7.5 rothmans lond 1890 global blue box bfc </t>
  </si>
  <si>
    <t>50063694- BARB PRESTO 2 FIXO 24UNID + 2PB3 CHAM - 260UN/  -50066993- AP BARB GILLETTE PRESTO3 CHAMPIONS C/12 - 120UN</t>
  </si>
  <si>
    <t>Falta 2 pacotes de rothmans core blue box</t>
  </si>
  <si>
    <t xml:space="preserve">Dunhill woiage reflesh Falta 4 pacotes </t>
  </si>
  <si>
    <t>Sobrou 01milheiro (50 carteiras) 10226447 Kent azul sc Access 
Faltou 01milheiro (50 carteiras) 10226422 Rothmans core Blue maco</t>
  </si>
  <si>
    <t xml:space="preserve">Uma caixa de mini balduco estava aberta e ao invés de 16, foram enviado 11 </t>
  </si>
  <si>
    <t>50067282 SEDA OCB ULT. 1/4 C/25, 50066590 SEDA OCB SLIM UNB. C/50, 50066589 SEDA OCB SLIM PREMI C/50, 50066588 SEDA OCB PREMIUM 1/4 C/25, 50066622 SEDA OCB UNB. 1/4 C/25, 50067206 SEDA OCB  SLIM ULTI. C/ 50, 50066599 SEDA OCB MIX SLIM C/50, 50066598 SEDA OCB MIX 1/4 C/50, 50065408 PILHA ZN AAA RAY cart. C/4</t>
  </si>
  <si>
    <t>Iversao de pilha  50065401 Falta 1 cartela AA  50065409 SOBRA 1 cartela AAA</t>
  </si>
  <si>
    <t>Falta 1 pacote de dunhill blend</t>
  </si>
  <si>
    <t>5 unidades de bolinho laranja</t>
  </si>
  <si>
    <t>1 pacote de kent prata maço</t>
  </si>
  <si>
    <t xml:space="preserve">50066862 bolinho duplo chocolate bauduco -9 unidades 1 cx </t>
  </si>
  <si>
    <t xml:space="preserve">50055233 LÂMINA BARB D. FIO WILKINSON </t>
  </si>
  <si>
    <t>1 pacote dunhill blend</t>
  </si>
  <si>
    <t>Falta 1 caixa de tubes morango</t>
  </si>
  <si>
    <t>Falta 1 tubes morango 15g</t>
  </si>
  <si>
    <t xml:space="preserve">Faltando 5 pct dunhil voyage mix refresh 
5 pct lucky blue Patterson </t>
  </si>
  <si>
    <t>Falta 1 pacote de dunhill red box</t>
  </si>
  <si>
    <t xml:space="preserve">Foi enviado um pacote de roth white classic blue no lugar de um roth silver </t>
  </si>
  <si>
    <t>(Faltando: 5 cartelas Proback  e  1 cartela Bic confort 3),  (Inversão caixa de Fini Dentadura  faltando  1 cx Fini Beijos sobrando.)</t>
  </si>
  <si>
    <t>Falta meio pacote de dunhill blue blend</t>
  </si>
  <si>
    <t>Falta 1 tubes morango, 6 fini gelatina beijos, 3 caixa de bolinho duplo chocolate bauduco</t>
  </si>
  <si>
    <t>10208004,10224472/ Ao comparar o balanço do dia 12 com o dia 15 faltou 1 pacote de dunhill in red bonificado e 4 pacotes de rothmans blue core bonificado conferindo com o estoque do carro está faltando.</t>
  </si>
  <si>
    <t>74/149</t>
  </si>
  <si>
    <t>Falta Isq BIC maxi c/6. 4 cartelas</t>
  </si>
  <si>
    <t>Faltando 
10 dunhill insigna red
 Sobrando
10 kent pro red</t>
  </si>
  <si>
    <t>Faltou 3 kent pro silver e foi enviado 3 roth red white no lugar</t>
  </si>
  <si>
    <t>Falta 1 pacote de rothmans core blue</t>
  </si>
  <si>
    <t>Faltou 1 caixa de seda ocb slim c/50 unidades e foi enviado uma caixa de filtro</t>
  </si>
  <si>
    <t xml:space="preserve">Chamado para conferência </t>
  </si>
  <si>
    <t>Faltou todos os produtos da nota  / Veio a nota fiscal, mas sem produto.</t>
  </si>
  <si>
    <t xml:space="preserve">Não veio caixa </t>
  </si>
  <si>
    <t xml:space="preserve">Não houve inversão, apenas falta dos mesmos. Falta de 3 pacotes de rothmans core Blue Box </t>
  </si>
  <si>
    <t xml:space="preserve">Não veio a caixa </t>
  </si>
  <si>
    <t xml:space="preserve">Faltando: 30 pcts Rothmans double clic  </t>
  </si>
  <si>
    <t xml:space="preserve">Faltando: 30 pcts Rothmans double clic </t>
  </si>
  <si>
    <t xml:space="preserve">Falta 
Roth London 1890 purple boost box 10 pacotes 
Luky strike red mix box 10 pacotes 
Lucky purple mix 10 pacotes 
Dunhill  yoiage ice reflesh 10 pacotes 
Dunhil viagem mix reflesh 10 pacotes 
</t>
  </si>
  <si>
    <t>BR0075507</t>
  </si>
  <si>
    <t>Enviado um kent prata maço e faltou um luck strike red patterson</t>
  </si>
  <si>
    <t>Enviado um roth silver maço no lugar de roth silver box</t>
  </si>
  <si>
    <t>Faltou a separação da caixa toda</t>
  </si>
  <si>
    <t>Faltou a separação da caixa</t>
  </si>
  <si>
    <t>falta a separação da caixa</t>
  </si>
  <si>
    <t>Falta a separação da caixa</t>
  </si>
  <si>
    <t>BR0075562</t>
  </si>
  <si>
    <t>Caixa de bolinho balduco danificado</t>
  </si>
  <si>
    <t>Falta 1 cartela de isqueiro</t>
  </si>
  <si>
    <t>Ficou trocado no carro</t>
  </si>
  <si>
    <t>Br00442233</t>
  </si>
  <si>
    <t>Falta 6 carteiras de kent prata box</t>
  </si>
  <si>
    <t>brunofdahmerpsouzac@gmail.com</t>
  </si>
  <si>
    <t xml:space="preserve">10215641 dunhill Blue blend- 1,000 milheiro / Faltou 1milheiro de dunhill blue </t>
  </si>
  <si>
    <t>Cp5: 10682599</t>
  </si>
  <si>
    <t>10224293 Dunhill in blue 25 pct 
10223108 Dunhill Voyage Doble 20 pct</t>
  </si>
  <si>
    <t>1 pacote de lucky fresh double ice</t>
  </si>
  <si>
    <t>BIC Isqueiro decor fun Un 1c/6 / Entregue e feito nota de devolução parcial sem o produto</t>
  </si>
  <si>
    <t xml:space="preserve">50055233 lâmina wilkinson 24 displays-Faltou 1cx de lâmina </t>
  </si>
  <si>
    <t>falta 5 carteiras de dunhill voyage double refresh</t>
  </si>
  <si>
    <t>Reservatvlondrina@gmail.com</t>
  </si>
  <si>
    <t>10226415 25 lucky red box- 10226392 1 rot red white - 10231474 4 kent Red mix - 10226447 21 kent azul mc</t>
  </si>
  <si>
    <t>50066820 bolinho duplo bauduco 2
50066862 rool chocolate bauduco 3</t>
  </si>
  <si>
    <t xml:space="preserve">Enviado 2 lucky mint no lugar de 2 lucky double </t>
  </si>
  <si>
    <t>Falta 5 pacotes de dunhill carlton blend</t>
  </si>
  <si>
    <t>faltou Isqueiro bic maxi berço c/50</t>
  </si>
  <si>
    <t>Falta 1 pacote do novo kent sabor</t>
  </si>
  <si>
    <t>sem produto</t>
  </si>
  <si>
    <t>Caixa lacrada faltando 1 pacote / '10224293</t>
  </si>
  <si>
    <t>62/91</t>
  </si>
  <si>
    <t xml:space="preserve">Aguradar chegar as mercadorias </t>
  </si>
  <si>
    <t>So veio as notas e nao os.produtos</t>
  </si>
  <si>
    <t>10227896 Lucky strike double click box
50065431 tubes morango 12x12x15G</t>
  </si>
  <si>
    <t>05 milheiros (25 pacotes) 10226425 Lucky Blue Patterson box
09 cartelas 50063718 Barbeador proback 
21 cartelas 50055233 Lâminas Wilkinson 
01 display 50066153 Mais Mu Wheyfer chocolate 
06 kit (24 cartelas) 50065406 Pilha zinco AA cartela c/4</t>
  </si>
  <si>
    <t xml:space="preserve">10226399 rothmans hand select silver boxe - 5milheiros
50065405 pilha zinco AA4 28 TUBO - 3 DISPLAYS </t>
  </si>
  <si>
    <t>Falta 4 Mais Mu barra muke paoquita 60g
Sobra 4 mais mu wafer pacoquita</t>
  </si>
  <si>
    <t xml:space="preserve">Falta meio pacote de kent red box </t>
  </si>
  <si>
    <t>Nf com o produto não veio</t>
  </si>
  <si>
    <t>Reagendada</t>
  </si>
  <si>
    <t>Produtos em falta   1pct  kent azul Box  1 pct luck strick red box</t>
  </si>
  <si>
    <t>Foi retirado da carga tpe a falta .</t>
  </si>
  <si>
    <t xml:space="preserve">50063028 Bic Decor Trend-50067285 Papel Trevo Prc/ Falta NF 1584248/   22 Isqueiros Bic decor trend /   5 papel trevo </t>
  </si>
  <si>
    <t>Enviado um pacote roth red maço no lugar de um kent red maço</t>
  </si>
  <si>
    <t>Veio 50 kent pro blue
Era 
50 rothmans White blue</t>
  </si>
  <si>
    <t>tv503.zv336@gmail.com</t>
  </si>
  <si>
    <t>BR0442236</t>
  </si>
  <si>
    <t>10226415 - LUCKY STRIKE AMERICAN ORIGINAL  BOX HM25 - 50 PACOTES</t>
  </si>
  <si>
    <t>CXG: 226362</t>
  </si>
  <si>
    <t xml:space="preserve">10226435 - LUCKY STRIKE RED MIX BOX HW25 - 50 PACOTES </t>
  </si>
  <si>
    <t xml:space="preserve">30 CARTEIRAS 10226435 LUCKY STRIK  RED MIX 
20 CARTEIRAS 10226418 LUCKY STRIK PURPLE </t>
  </si>
  <si>
    <t xml:space="preserve">Falta 1 caixa de bic mini </t>
  </si>
  <si>
    <t xml:space="preserve">Falta 2 unidades de mais mu paçoquita </t>
  </si>
  <si>
    <t>nedson.reis@fadeltransportes.com</t>
  </si>
  <si>
    <t>falta 1 pacote de roth double click</t>
  </si>
  <si>
    <t>Falta 5 carteiras de roth double click</t>
  </si>
  <si>
    <t xml:space="preserve">1,8 (09 pacotes) 10226428 Lucky Blue Original Box
12 display 50066135 Fini banana
12 display 50066133 Fini  beijo
12 display 50066125 Fini dentadura 
04 cx 50057346 Bobina Premium </t>
  </si>
  <si>
    <t>50065250 BIC COMFORT 2 C/12</t>
  </si>
  <si>
    <t>foi enviado 50 pacotes de Kent pro Silver no lugar de 50 Dunhill</t>
  </si>
  <si>
    <t>Veio a nota 168 porém faltou 12 unidades de + mu cappuccino</t>
  </si>
  <si>
    <t>Faltou 1 caixa kent azul box</t>
  </si>
  <si>
    <t>Faltas totais</t>
  </si>
  <si>
    <t>1 rothmans global blue</t>
  </si>
  <si>
    <t>Isqueiro bic maxi c/6</t>
  </si>
  <si>
    <t xml:space="preserve">Faltou a cx </t>
  </si>
  <si>
    <t>Isqueiro bic maxi c/6
Isqueiro bic mini c/6</t>
  </si>
  <si>
    <t xml:space="preserve">Luck strike red mix  5 pacotes em 
Vês de  luck strike blu Patterson .
</t>
  </si>
  <si>
    <t>Carlosaparecidomelo@gmail.com</t>
  </si>
  <si>
    <t>Faltou uma caixa de dunhil on red</t>
  </si>
  <si>
    <t>Bro0442185 001 20/07/001</t>
  </si>
  <si>
    <t>Não recebi nota nem produtos ate o momento.</t>
  </si>
  <si>
    <t>Entrega reagendada ate o envio dos produtos e nota.</t>
  </si>
  <si>
    <t>05 pacotes cod 10226402 luck strike fresh double ice box</t>
  </si>
  <si>
    <t>Enviado um pacote de roth click sense no lugar de um pacote kent azul maço</t>
  </si>
  <si>
    <t>Falta 3 pacotes de Dunhill In Blue</t>
  </si>
  <si>
    <t>Enviado uma caixa com 50 pacotes de dunhill carlton no lugar de 50 pacotes kent pro silver</t>
  </si>
  <si>
    <t xml:space="preserve">Enviado um pacote de kent azul maço no lugar de um rothmans click sense </t>
  </si>
  <si>
    <t xml:space="preserve">Falta 1 pacote de rothmans blue box </t>
  </si>
  <si>
    <t xml:space="preserve">Feito uma nota de devolução parcial </t>
  </si>
  <si>
    <t xml:space="preserve">Dunhill carton blend 48 pacotes  Rothmans hand core blu Box 2 pacotes </t>
  </si>
  <si>
    <t>Veio somente a nota e faltou os produtos  Nf 1588576</t>
  </si>
  <si>
    <t xml:space="preserve">Kent blue box Faltou 2 pacotes  Dunhil carton blen blu Box 5 pacotes </t>
  </si>
  <si>
    <t>Nota entregue , tirado da carga tpe Nf 1590528</t>
  </si>
  <si>
    <t>Veio somente a nota e os produtos não veio 11pacotes faltando bonificacão rothmans core blu Box</t>
  </si>
  <si>
    <t>Falta um pacote de Rothmans Blue Box</t>
  </si>
  <si>
    <t xml:space="preserve">Feito nota parcial de devolução </t>
  </si>
  <si>
    <t xml:space="preserve">Recebi s carga na sexta feira quando estava fazendo conferência marca a marca constatei que estava faltando produtos </t>
  </si>
  <si>
    <t xml:space="preserve">Faltou  2 caixa bic maxi 1 caixa bic mini 10 fumo trevo 10 kent asces prata 9 bolinho bauduco chocolate </t>
  </si>
  <si>
    <t>paeskruger@gmail.com</t>
  </si>
  <si>
    <t>10 caixas de isqueiro BIC MAXI</t>
  </si>
  <si>
    <t>Falta 1 pacote de rothmans purple boost</t>
  </si>
  <si>
    <t xml:space="preserve">Carlosaparecidomelo@gmail.com </t>
  </si>
  <si>
    <t xml:space="preserve">Faltou 2 caixas de cigarro uma de dunhil blu blend e a outra dunhil on red e os prestobarba  Bic confort 2 c/12 Bic confortável 3 c/12 Prestobarba 5fixo c/24 </t>
  </si>
  <si>
    <t>Não veio na carga</t>
  </si>
  <si>
    <t>10 pacotes de dunhil voragem duble refresh</t>
  </si>
  <si>
    <t>Van</t>
  </si>
  <si>
    <t>Código Unique</t>
  </si>
  <si>
    <t>Código Sap BR</t>
  </si>
  <si>
    <t>PK</t>
  </si>
  <si>
    <t>ZV</t>
  </si>
  <si>
    <t>Base</t>
  </si>
  <si>
    <t>Sistema BR</t>
  </si>
  <si>
    <t>Modelo Carro</t>
  </si>
  <si>
    <t xml:space="preserve">Sede </t>
  </si>
  <si>
    <t>Responsáveis</t>
  </si>
  <si>
    <t>Rota</t>
  </si>
  <si>
    <t>Hieraquia</t>
  </si>
  <si>
    <t>Tipo</t>
  </si>
  <si>
    <t>Concatenar</t>
  </si>
  <si>
    <t>E-mail Para:</t>
  </si>
  <si>
    <t>E-mail CC:</t>
  </si>
  <si>
    <t>C470741</t>
  </si>
  <si>
    <t>-</t>
  </si>
  <si>
    <t>FADEL</t>
  </si>
  <si>
    <t>FIXA</t>
  </si>
  <si>
    <t>M1</t>
  </si>
  <si>
    <t>FIORINO</t>
  </si>
  <si>
    <t>Alessandro Rangel / Douglas Lima</t>
  </si>
  <si>
    <t>Distribuição</t>
  </si>
  <si>
    <t>Atual</t>
  </si>
  <si>
    <t>nedson.reis@fadeltransportes.com.br;caroline.machado@fadeltransportes.com.br ; alessandro.rangel@bat.com; 85198527@bat.com; maira_oliveira@bat.com</t>
  </si>
  <si>
    <t>EstoqueCDCuritiba@bat.onmicrosoft.com; diogo.deus@emergentcold.com; felipe.aguiar@emergentcold.com ; james.balbino@emergentcold.com ; celso.oliveira@emergentcold.com; juan.pereira@emergentcold.com</t>
  </si>
  <si>
    <t>C470038</t>
  </si>
  <si>
    <t>VAN</t>
  </si>
  <si>
    <t>C470024</t>
  </si>
  <si>
    <t>C470866</t>
  </si>
  <si>
    <t>GROCERY-M1</t>
  </si>
  <si>
    <t>C470831</t>
  </si>
  <si>
    <t>C470906</t>
  </si>
  <si>
    <t>C470911</t>
  </si>
  <si>
    <t>C470740</t>
  </si>
  <si>
    <t>C470749</t>
  </si>
  <si>
    <t>C470905</t>
  </si>
  <si>
    <t>C470903</t>
  </si>
  <si>
    <t>C470746</t>
  </si>
  <si>
    <t>BR0075816</t>
  </si>
  <si>
    <t>C470744</t>
  </si>
  <si>
    <t>M1A</t>
  </si>
  <si>
    <t>C470901</t>
  </si>
  <si>
    <t>BR0075595</t>
  </si>
  <si>
    <t>C470912</t>
  </si>
  <si>
    <t>BAT</t>
  </si>
  <si>
    <t>C470808</t>
  </si>
  <si>
    <t>MOTO</t>
  </si>
  <si>
    <t>C470809</t>
  </si>
  <si>
    <t>C470810</t>
  </si>
  <si>
    <t>C470823</t>
  </si>
  <si>
    <t>C470824</t>
  </si>
  <si>
    <t>C470825</t>
  </si>
  <si>
    <t>BR0219609</t>
  </si>
  <si>
    <t>C470827</t>
  </si>
  <si>
    <t>BR0219610</t>
  </si>
  <si>
    <t>C470828</t>
  </si>
  <si>
    <t>BR0219554</t>
  </si>
  <si>
    <t>C470025</t>
  </si>
  <si>
    <t>SPOT</t>
  </si>
  <si>
    <t>C470026</t>
  </si>
  <si>
    <t>BR0075813</t>
  </si>
  <si>
    <t>C470750</t>
  </si>
  <si>
    <t>C470003</t>
  </si>
  <si>
    <t>BR0219545</t>
  </si>
  <si>
    <t>C470010</t>
  </si>
  <si>
    <t>C470021</t>
  </si>
  <si>
    <t>C470742</t>
  </si>
  <si>
    <t>C470745</t>
  </si>
  <si>
    <t>BR0075849</t>
  </si>
  <si>
    <t>C470900</t>
  </si>
  <si>
    <t>C470902</t>
  </si>
  <si>
    <t>BR0075841</t>
  </si>
  <si>
    <t>C470743</t>
  </si>
  <si>
    <t>C470904</t>
  </si>
  <si>
    <t>C470868</t>
  </si>
  <si>
    <t>BR0422998</t>
  </si>
  <si>
    <t>BR0423001</t>
  </si>
  <si>
    <t>BR0423002</t>
  </si>
  <si>
    <t>C470870</t>
  </si>
  <si>
    <t>BR0219552</t>
  </si>
  <si>
    <t>C470023</t>
  </si>
  <si>
    <t>BR0219546</t>
  </si>
  <si>
    <t>C470014</t>
  </si>
  <si>
    <t>BR0219608</t>
  </si>
  <si>
    <t>C470826</t>
  </si>
  <si>
    <t>C470022</t>
  </si>
  <si>
    <t>BR0075652</t>
  </si>
  <si>
    <t>C470751</t>
  </si>
  <si>
    <t>BR0075684</t>
  </si>
  <si>
    <t>C470739</t>
  </si>
  <si>
    <t>BR0075712</t>
  </si>
  <si>
    <t>C470844</t>
  </si>
  <si>
    <t>C470752</t>
  </si>
  <si>
    <t>BR0075783</t>
  </si>
  <si>
    <t>C470867</t>
  </si>
  <si>
    <t>BR0075798</t>
  </si>
  <si>
    <t>C470748</t>
  </si>
  <si>
    <t>BR0075807</t>
  </si>
  <si>
    <t>C470747</t>
  </si>
  <si>
    <t>C470976</t>
  </si>
  <si>
    <t>1594_503_336</t>
  </si>
  <si>
    <t>PROMPT</t>
  </si>
  <si>
    <t>Matinhos</t>
  </si>
  <si>
    <t>Greice Kelli/ Anelise Brusamolin</t>
  </si>
  <si>
    <t>Rotal Litoral</t>
  </si>
  <si>
    <t>Vendas</t>
  </si>
  <si>
    <t xml:space="preserve">anelise_brusamolin@bat.com ; EstoqueCDCuritiba@bat.onmicrosoft.com ; </t>
  </si>
  <si>
    <t>C470980</t>
  </si>
  <si>
    <t>1594_503_338</t>
  </si>
  <si>
    <t>Paranaguá</t>
  </si>
  <si>
    <t>C470999</t>
  </si>
  <si>
    <t>1594_503_341</t>
  </si>
  <si>
    <t>Pontal do Paraná</t>
  </si>
  <si>
    <t xml:space="preserve">anelise_brusamolin@bat.com ; EstoqueCDCuritiba@bat.onmicrosoft.com </t>
  </si>
  <si>
    <t>C470909</t>
  </si>
  <si>
    <t>1594_503_330</t>
  </si>
  <si>
    <t>Castro</t>
  </si>
  <si>
    <t>Rota Ponta Grossa</t>
  </si>
  <si>
    <t>tatiana.miranda@bat.com; maria_eduarda_mizidio_teixeira_dos_santos1@bat.com</t>
  </si>
  <si>
    <t>C470977</t>
  </si>
  <si>
    <t>1594_503_339</t>
  </si>
  <si>
    <t>Ponta Grossa</t>
  </si>
  <si>
    <t>C470958</t>
  </si>
  <si>
    <t>1594_503_340</t>
  </si>
  <si>
    <t>C470924</t>
  </si>
  <si>
    <t>1594_502_228</t>
  </si>
  <si>
    <t>Francisco Beltrão</t>
  </si>
  <si>
    <t>Jefferson Caris / Henrique Tonete</t>
  </si>
  <si>
    <t>Rota Sudoeste</t>
  </si>
  <si>
    <t>PAULO.LUCIANO@bat.com; henrique_tonete_michelao@bat.com</t>
  </si>
  <si>
    <t>C470907</t>
  </si>
  <si>
    <t>1594_502_229</t>
  </si>
  <si>
    <t>Laranjeiras do Sul</t>
  </si>
  <si>
    <t>C470908</t>
  </si>
  <si>
    <t>1594_502_231</t>
  </si>
  <si>
    <t>Pato Branco</t>
  </si>
  <si>
    <t>C470910</t>
  </si>
  <si>
    <t>1594_503_331</t>
  </si>
  <si>
    <t>Guarapuava</t>
  </si>
  <si>
    <t>Rota Guarapauva</t>
  </si>
  <si>
    <t>C470915</t>
  </si>
  <si>
    <t>1594_503_332</t>
  </si>
  <si>
    <t>C470920</t>
  </si>
  <si>
    <t>1594_503_334</t>
  </si>
  <si>
    <t>Irati</t>
  </si>
  <si>
    <t>C470759</t>
  </si>
  <si>
    <t>1594_503_342</t>
  </si>
  <si>
    <t>Prudentópolis</t>
  </si>
  <si>
    <t>C470760</t>
  </si>
  <si>
    <t>1594_503_344</t>
  </si>
  <si>
    <t>União da Vitória</t>
  </si>
  <si>
    <t>C470801</t>
  </si>
  <si>
    <t>1594_504_446</t>
  </si>
  <si>
    <t>Lapa</t>
  </si>
  <si>
    <t>C470923</t>
  </si>
  <si>
    <t>1594_502_225</t>
  </si>
  <si>
    <t>Dois Vizinhos</t>
  </si>
  <si>
    <t>C470803</t>
  </si>
  <si>
    <t>1594_502_232</t>
  </si>
  <si>
    <t>Realeza</t>
  </si>
  <si>
    <t>C470802</t>
  </si>
  <si>
    <t>1594_504_447</t>
  </si>
  <si>
    <t>S. J. dos Pinhais</t>
  </si>
  <si>
    <t>Sede TPE</t>
  </si>
  <si>
    <t>BR0347315</t>
  </si>
  <si>
    <t>Litoral P.V</t>
  </si>
  <si>
    <t>BR0347316</t>
  </si>
  <si>
    <t>BR0075567</t>
  </si>
  <si>
    <t>CM  TRANSPORTES</t>
  </si>
  <si>
    <t>SPOR</t>
  </si>
  <si>
    <t>cairo.silva@fadeltransportes.com.br; carlos.araujo@fadeltransportes.com.br; alessandro.rangel@bat.com; 85198527@bat.com; maira_oliveira@bat.com</t>
  </si>
  <si>
    <t>1590171-9</t>
  </si>
  <si>
    <t>10215610 - DUNHILL CARLTON BLEND 2.0 BOX 10X1 - 2 CARTEIRAS</t>
  </si>
  <si>
    <t>CAIXA FECHADA VEIO FALTANDO DUAS CARTEIRAS NO PACOTE QUE TAMBEM VEIO LACRADO.</t>
  </si>
  <si>
    <t>Caixa não foi carregada no veículo</t>
  </si>
  <si>
    <t>2907/2026</t>
  </si>
  <si>
    <t>(Vários itens)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</si>
</sst>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F800]dddd\,\ mmmm\ dd\,\ yyyy"/>
    <numFmt numFmtId="165" formatCode="mmmm"/>
    <numFmt numFmtId="166" formatCode="m/d/yyyy"/>
  </numFmts>
  <fonts count="60" x14ac:knownFonts="1">
    <font>
      <sz val="11"/>
      <color theme="1"/>
      <name val="Calibri"/>
      <family val="2"/>
      <scheme val="minor"/>
    </font>
    <font>
      <b/>
      <sz val="9"/>
      <color theme="0"/>
      <name val="Calibri Light"/>
      <family val="2"/>
      <scheme val="major"/>
    </font>
    <font>
      <sz val="9"/>
      <color theme="1"/>
      <name val="Calibri"/>
      <family val="2"/>
      <scheme val="minor"/>
    </font>
    <font>
      <sz val="10"/>
      <name val="Arial"/>
      <family val="2"/>
    </font>
    <font>
      <sz val="8"/>
      <name val="Calibri"/>
      <family val="2"/>
      <scheme val="minor"/>
    </font>
    <font>
      <sz val="10"/>
      <color theme="1"/>
      <name val="Calibri"/>
      <family val="2"/>
      <scheme val="minor"/>
    </font>
    <font>
      <b/>
      <sz val="12"/>
      <color rgb="FF000000"/>
      <name val="Calibri"/>
      <family val="2"/>
      <scheme val="minor"/>
    </font>
    <font>
      <sz val="10"/>
      <name val="Calibri"/>
      <family val="2"/>
      <scheme val="minor"/>
    </font>
    <font>
      <b/>
      <sz val="10"/>
      <color rgb="FFFFFFFF"/>
      <name val="Calibri"/>
      <family val="2"/>
      <scheme val="minor"/>
    </font>
    <font>
      <b/>
      <sz val="10"/>
      <color rgb="FF000000"/>
      <name val="Calibri"/>
      <family val="2"/>
      <scheme val="minor"/>
    </font>
    <font>
      <b/>
      <sz val="10"/>
      <color theme="1"/>
      <name val="Calibri"/>
      <family val="2"/>
      <scheme val="minor"/>
    </font>
    <font>
      <sz val="10"/>
      <color rgb="FF000000"/>
      <name val="Calibri"/>
      <family val="2"/>
      <scheme val="minor"/>
    </font>
    <font>
      <b/>
      <sz val="10"/>
      <name val="Calibri"/>
      <family val="2"/>
      <scheme val="minor"/>
    </font>
    <font>
      <b/>
      <sz val="10"/>
      <color rgb="FFFF0000"/>
      <name val="Calibri"/>
      <family val="2"/>
      <scheme val="minor"/>
    </font>
    <font>
      <u/>
      <sz val="11"/>
      <color theme="10"/>
      <name val="Calibri"/>
      <family val="2"/>
      <scheme val="minor"/>
    </font>
    <font>
      <b/>
      <sz val="11"/>
      <color theme="1"/>
      <name val="Calibri"/>
      <family val="2"/>
      <scheme val="minor"/>
    </font>
    <font>
      <b/>
      <sz val="9"/>
      <color theme="0"/>
      <name val="Aptos Narrow"/>
      <family val="2"/>
    </font>
    <font>
      <sz val="9"/>
      <color theme="0" tint="-0.14999847407452621"/>
      <name val="Aptos Narrow"/>
      <family val="2"/>
    </font>
    <font>
      <sz val="9"/>
      <color theme="0"/>
      <name val="Aptos Narrow"/>
      <family val="2"/>
    </font>
    <font>
      <sz val="11"/>
      <color theme="1"/>
      <name val="Aptos Narrow"/>
      <family val="2"/>
    </font>
    <font>
      <sz val="28"/>
      <color theme="3" tint="0.79998168889431442"/>
      <name val="Aptos Narrow"/>
      <family val="2"/>
    </font>
    <font>
      <sz val="11"/>
      <color theme="3" tint="0.79998168889431442"/>
      <name val="Aptos Narrow"/>
      <family val="2"/>
    </font>
    <font>
      <sz val="8"/>
      <color rgb="FF00235C"/>
      <name val="Aptos Narrow"/>
      <family val="2"/>
    </font>
    <font>
      <u/>
      <sz val="36"/>
      <color rgb="FFFF0000"/>
      <name val="Aptos Narrow"/>
      <family val="2"/>
    </font>
    <font>
      <sz val="9"/>
      <color rgb="FF00235C"/>
      <name val="Aptos Narrow"/>
      <family val="2"/>
    </font>
    <font>
      <sz val="11"/>
      <color theme="3" tint="-0.499984740745262"/>
      <name val="Aptos Narrow"/>
      <family val="2"/>
    </font>
    <font>
      <u/>
      <sz val="22"/>
      <color theme="0"/>
      <name val="Aptos Narrow"/>
      <family val="2"/>
    </font>
    <font>
      <b/>
      <u/>
      <sz val="9"/>
      <color rgb="FFFFC000"/>
      <name val="Aptos Narrow"/>
      <family val="2"/>
    </font>
    <font>
      <u/>
      <sz val="42"/>
      <color theme="3" tint="-0.249977111117893"/>
      <name val="Aptos Narrow"/>
      <family val="2"/>
    </font>
    <font>
      <b/>
      <sz val="9"/>
      <color theme="2"/>
      <name val="Aptos Narrow"/>
      <family val="2"/>
    </font>
    <font>
      <sz val="9"/>
      <color theme="2"/>
      <name val="Aptos Narrow"/>
      <family val="2"/>
    </font>
    <font>
      <sz val="8"/>
      <color theme="4" tint="0.79998168889431442"/>
      <name val="Aptos Narrow"/>
      <family val="2"/>
    </font>
    <font>
      <b/>
      <sz val="10"/>
      <color theme="0"/>
      <name val="Aptos Narrow"/>
      <family val="2"/>
    </font>
    <font>
      <b/>
      <sz val="9"/>
      <color theme="3" tint="-0.249977111117893"/>
      <name val="Aptos Narrow"/>
      <family val="2"/>
    </font>
    <font>
      <sz val="11"/>
      <color theme="0"/>
      <name val="Aptos Narrow"/>
      <family val="2"/>
    </font>
    <font>
      <b/>
      <i/>
      <sz val="16"/>
      <color theme="5"/>
      <name val="Aptos Narrow"/>
      <family val="2"/>
    </font>
    <font>
      <i/>
      <sz val="11"/>
      <color theme="5" tint="0.59999389629810485"/>
      <name val="Aptos Narrow"/>
      <family val="2"/>
    </font>
    <font>
      <b/>
      <sz val="10"/>
      <color theme="3" tint="-0.249977111117893"/>
      <name val="Aptos Narrow"/>
      <family val="2"/>
    </font>
    <font>
      <b/>
      <sz val="9"/>
      <color theme="4" tint="0.59999389629810485"/>
      <name val="Aptos Narrow"/>
      <family val="2"/>
    </font>
    <font>
      <sz val="9"/>
      <color theme="4" tint="0.79998168889431442"/>
      <name val="Aptos Narrow"/>
      <family val="2"/>
    </font>
    <font>
      <b/>
      <i/>
      <sz val="12"/>
      <color theme="5"/>
      <name val="Aptos Narrow"/>
      <family val="2"/>
    </font>
    <font>
      <b/>
      <i/>
      <sz val="20"/>
      <color theme="5"/>
      <name val="Aptos Narrow"/>
      <family val="2"/>
    </font>
    <font>
      <i/>
      <sz val="14"/>
      <color theme="5" tint="0.59999389629810485"/>
      <name val="Aptos Narrow"/>
      <family val="2"/>
    </font>
    <font>
      <sz val="14"/>
      <color theme="0"/>
      <name val="Aptos Narrow"/>
      <family val="2"/>
    </font>
    <font>
      <sz val="12"/>
      <color theme="1"/>
      <name val="Aptos Narrow"/>
      <family val="2"/>
    </font>
    <font>
      <b/>
      <sz val="20"/>
      <color rgb="FFFFC000"/>
      <name val="Aptos Narrow"/>
      <family val="2"/>
    </font>
    <font>
      <i/>
      <sz val="12"/>
      <color theme="5" tint="0.59999389629810485"/>
      <name val="Aptos Narrow"/>
      <family val="2"/>
    </font>
    <font>
      <b/>
      <u/>
      <sz val="26"/>
      <color theme="0"/>
      <name val="Aptos Narrow"/>
      <family val="2"/>
    </font>
    <font>
      <b/>
      <sz val="20"/>
      <color theme="0" tint="-0.14999847407452621"/>
      <name val="Montserrat"/>
    </font>
    <font>
      <b/>
      <sz val="14"/>
      <color theme="0"/>
      <name val="Montserrat"/>
    </font>
    <font>
      <sz val="9"/>
      <color indexed="81"/>
      <name val="Segoe UI"/>
      <family val="2"/>
    </font>
    <font>
      <b/>
      <sz val="9"/>
      <color indexed="81"/>
      <name val="Segoe UI"/>
      <family val="2"/>
    </font>
    <font>
      <sz val="12"/>
      <color theme="1"/>
      <name val="Arial"/>
      <family val="2"/>
    </font>
    <font>
      <b/>
      <sz val="12"/>
      <color theme="0" tint="-0.14999847407452621"/>
      <name val="Arial"/>
      <family val="2"/>
    </font>
    <font>
      <sz val="12"/>
      <color rgb="FF000000"/>
      <name val="Arial"/>
      <family val="2"/>
    </font>
    <font>
      <sz val="12"/>
      <color theme="0" tint="-0.14999847407452621"/>
      <name val="Arial"/>
      <family val="2"/>
    </font>
    <font>
      <b/>
      <sz val="12"/>
      <color theme="0"/>
      <name val="Arial"/>
      <family val="2"/>
    </font>
    <font>
      <sz val="12"/>
      <color theme="0"/>
      <name val="Arial"/>
      <family val="2"/>
    </font>
    <font>
      <sz val="12"/>
      <name val="Arial"/>
      <family val="2"/>
    </font>
    <font>
      <sz val="11"/>
      <color rgb="FF000000"/>
      <name val="Calibri"/>
      <family val="2"/>
    </font>
  </fonts>
  <fills count="17">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1"/>
        <bgColor indexed="64"/>
      </patternFill>
    </fill>
    <fill>
      <patternFill patternType="solid">
        <fgColor rgb="FF00235C"/>
        <bgColor indexed="64"/>
      </patternFill>
    </fill>
    <fill>
      <patternFill patternType="solid">
        <fgColor theme="0"/>
        <bgColor theme="4" tint="-0.24994659260841701"/>
      </patternFill>
    </fill>
    <fill>
      <patternFill patternType="solid">
        <fgColor theme="0" tint="-0.14999847407452621"/>
        <bgColor indexed="64"/>
      </patternFill>
    </fill>
  </fills>
  <borders count="51">
    <border>
      <left/>
      <right/>
      <top/>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thin">
        <color theme="0" tint="-0.14999847407452621"/>
      </left>
      <right style="thin">
        <color theme="0" tint="-0.14996795556505021"/>
      </right>
      <top style="thin">
        <color theme="0" tint="-0.14999847407452621"/>
      </top>
      <bottom style="thin">
        <color theme="0" tint="-0.14996795556505021"/>
      </bottom>
      <diagonal/>
    </border>
    <border>
      <left style="thin">
        <color theme="0" tint="-0.14996795556505021"/>
      </left>
      <right style="thin">
        <color theme="0" tint="-0.14999847407452621"/>
      </right>
      <top style="thin">
        <color theme="0" tint="-0.14999847407452621"/>
      </top>
      <bottom style="thin">
        <color theme="0" tint="-0.14996795556505021"/>
      </bottom>
      <diagonal/>
    </border>
    <border>
      <left style="thin">
        <color theme="0" tint="-0.149998474074526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9847407452621"/>
      </right>
      <top style="thin">
        <color theme="0" tint="-0.14996795556505021"/>
      </top>
      <bottom style="thin">
        <color theme="0" tint="-0.14996795556505021"/>
      </bottom>
      <diagonal/>
    </border>
    <border>
      <left style="thin">
        <color theme="0" tint="-0.14999847407452621"/>
      </left>
      <right style="thin">
        <color theme="0" tint="-0.14996795556505021"/>
      </right>
      <top style="thin">
        <color theme="0" tint="-0.14996795556505021"/>
      </top>
      <bottom/>
      <diagonal/>
    </border>
    <border>
      <left style="thin">
        <color theme="0" tint="-0.14999847407452621"/>
      </left>
      <right style="thin">
        <color theme="0" tint="-0.14996795556505021"/>
      </right>
      <top/>
      <bottom/>
      <diagonal/>
    </border>
    <border>
      <left style="thin">
        <color theme="0" tint="-0.14996795556505021"/>
      </left>
      <right style="thin">
        <color theme="0" tint="-0.14999847407452621"/>
      </right>
      <top style="thin">
        <color theme="0" tint="-0.14996795556505021"/>
      </top>
      <bottom/>
      <diagonal/>
    </border>
    <border>
      <left style="thin">
        <color theme="0" tint="-0.14996795556505021"/>
      </left>
      <right style="thin">
        <color theme="0" tint="-0.14999847407452621"/>
      </right>
      <top/>
      <bottom/>
      <diagonal/>
    </border>
    <border>
      <left style="thin">
        <color theme="0" tint="-0.14996795556505021"/>
      </left>
      <right style="thin">
        <color theme="0" tint="-0.14999847407452621"/>
      </right>
      <top/>
      <bottom style="thin">
        <color theme="0" tint="-0.14996795556505021"/>
      </bottom>
      <diagonal/>
    </border>
    <border>
      <left style="thin">
        <color theme="0" tint="-0.14999847407452621"/>
      </left>
      <right style="thin">
        <color theme="0" tint="-0.14996795556505021"/>
      </right>
      <top/>
      <bottom style="thin">
        <color theme="0" tint="-0.149967955565050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style="thin">
        <color theme="0" tint="-0.14999847407452621"/>
      </bottom>
      <diagonal/>
    </border>
    <border>
      <left/>
      <right style="thin">
        <color theme="0" tint="-0.14999847407452621"/>
      </right>
      <top/>
      <bottom style="thin">
        <color theme="0" tint="-0.14999847407452621"/>
      </bottom>
      <diagonal/>
    </border>
    <border>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style="medium">
        <color rgb="FF00B1EB"/>
      </left>
      <right/>
      <top style="medium">
        <color rgb="FF00B1EB"/>
      </top>
      <bottom/>
      <diagonal/>
    </border>
    <border>
      <left/>
      <right/>
      <top style="medium">
        <color rgb="FF00B1EB"/>
      </top>
      <bottom/>
      <diagonal/>
    </border>
    <border>
      <left/>
      <right style="medium">
        <color rgb="FF00B1EB"/>
      </right>
      <top style="medium">
        <color rgb="FF00B1EB"/>
      </top>
      <bottom/>
      <diagonal/>
    </border>
    <border>
      <left style="medium">
        <color rgb="FF00B1EB"/>
      </left>
      <right/>
      <top/>
      <bottom/>
      <diagonal/>
    </border>
    <border>
      <left/>
      <right style="medium">
        <color rgb="FF00B1EB"/>
      </right>
      <top/>
      <bottom/>
      <diagonal/>
    </border>
    <border>
      <left style="medium">
        <color rgb="FF00B1EB"/>
      </left>
      <right/>
      <top/>
      <bottom style="medium">
        <color rgb="FF00B1EB"/>
      </bottom>
      <diagonal/>
    </border>
    <border>
      <left/>
      <right/>
      <top/>
      <bottom style="medium">
        <color rgb="FF00B1EB"/>
      </bottom>
      <diagonal/>
    </border>
    <border>
      <left/>
      <right style="medium">
        <color rgb="FF00B1EB"/>
      </right>
      <top/>
      <bottom style="medium">
        <color rgb="FF00B1EB"/>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indexed="64"/>
      </left>
      <right/>
      <top style="medium">
        <color indexed="64"/>
      </top>
      <bottom style="medium">
        <color indexed="64"/>
      </bottom>
      <diagonal/>
    </border>
    <border>
      <left/>
      <right/>
      <top style="thin">
        <color theme="0" tint="-0.1499984740745262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3">
    <xf numFmtId="0" fontId="0" fillId="0" borderId="0"/>
    <xf numFmtId="0" fontId="3" fillId="0" borderId="0"/>
    <xf numFmtId="0" fontId="14" fillId="0" borderId="0" applyNumberFormat="0" applyFill="0" applyBorder="0" applyAlignment="0" applyProtection="0"/>
  </cellStyleXfs>
  <cellXfs count="206">
    <xf numFmtId="0" fontId="0" fillId="0" borderId="0" xfId="0"/>
    <xf numFmtId="0" fontId="2" fillId="0" borderId="0" xfId="0" applyFont="1"/>
    <xf numFmtId="0" fontId="2" fillId="0" borderId="0" xfId="0" applyFont="1" applyAlignment="1">
      <alignment horizontal="center"/>
    </xf>
    <xf numFmtId="0" fontId="1" fillId="2" borderId="1" xfId="0" applyFont="1" applyFill="1" applyBorder="1" applyAlignment="1">
      <alignment horizontal="center" vertical="center" wrapText="1"/>
    </xf>
    <xf numFmtId="0" fontId="2" fillId="0" borderId="1" xfId="0" applyFont="1" applyBorder="1" applyAlignment="1">
      <alignment horizontal="center"/>
    </xf>
    <xf numFmtId="0" fontId="2" fillId="0" borderId="1" xfId="0" quotePrefix="1" applyFont="1" applyBorder="1" applyAlignment="1">
      <alignment horizontal="center"/>
    </xf>
    <xf numFmtId="0" fontId="5" fillId="0" borderId="0" xfId="0" applyFont="1"/>
    <xf numFmtId="0" fontId="6" fillId="0" borderId="5" xfId="0" applyFont="1" applyBorder="1" applyAlignment="1">
      <alignment horizontal="center" vertical="center" wrapText="1"/>
    </xf>
    <xf numFmtId="0" fontId="7" fillId="3" borderId="0" xfId="0" applyFont="1" applyFill="1"/>
    <xf numFmtId="0" fontId="8" fillId="2" borderId="4" xfId="0" applyFont="1" applyFill="1" applyBorder="1" applyAlignment="1">
      <alignment horizontal="left" vertical="center" wrapText="1"/>
    </xf>
    <xf numFmtId="0" fontId="8" fillId="2" borderId="4" xfId="0" applyFont="1" applyFill="1" applyBorder="1" applyAlignment="1">
      <alignment horizontal="left" vertical="center"/>
    </xf>
    <xf numFmtId="0" fontId="9" fillId="0" borderId="5" xfId="0" applyFont="1" applyBorder="1" applyAlignment="1">
      <alignment horizontal="center" vertical="center"/>
    </xf>
    <xf numFmtId="14" fontId="10" fillId="0" borderId="5" xfId="0" applyNumberFormat="1" applyFont="1" applyBorder="1" applyAlignment="1">
      <alignment horizontal="center" vertical="center"/>
    </xf>
    <xf numFmtId="0" fontId="10" fillId="7" borderId="5" xfId="0" applyFont="1" applyFill="1" applyBorder="1" applyAlignment="1">
      <alignment horizontal="left" vertical="center"/>
    </xf>
    <xf numFmtId="0" fontId="10" fillId="5" borderId="5" xfId="0" applyFont="1" applyFill="1" applyBorder="1" applyAlignment="1">
      <alignment horizontal="left" vertical="center"/>
    </xf>
    <xf numFmtId="0" fontId="10" fillId="10" borderId="5" xfId="0" applyFont="1" applyFill="1" applyBorder="1" applyAlignment="1">
      <alignment horizontal="left" vertical="center"/>
    </xf>
    <xf numFmtId="0" fontId="11" fillId="0" borderId="5" xfId="0" applyFont="1" applyBorder="1" applyAlignment="1">
      <alignment horizontal="center" vertical="center"/>
    </xf>
    <xf numFmtId="0" fontId="5" fillId="0" borderId="5" xfId="0" applyFont="1" applyBorder="1" applyAlignment="1">
      <alignment horizontal="center" vertical="center"/>
    </xf>
    <xf numFmtId="0" fontId="12" fillId="3" borderId="17" xfId="0" applyFont="1" applyFill="1" applyBorder="1" applyAlignment="1">
      <alignment horizontal="center"/>
    </xf>
    <xf numFmtId="0" fontId="7" fillId="3" borderId="17" xfId="0" applyFont="1" applyFill="1" applyBorder="1" applyAlignment="1">
      <alignment wrapText="1"/>
    </xf>
    <xf numFmtId="0" fontId="7" fillId="3" borderId="17" xfId="0" applyFont="1" applyFill="1" applyBorder="1"/>
    <xf numFmtId="0" fontId="12" fillId="3" borderId="17" xfId="0" applyFont="1" applyFill="1" applyBorder="1"/>
    <xf numFmtId="0" fontId="5" fillId="0" borderId="5" xfId="0" quotePrefix="1" applyFont="1" applyBorder="1" applyAlignment="1">
      <alignment horizontal="center" vertical="center" wrapText="1"/>
    </xf>
    <xf numFmtId="0" fontId="14" fillId="0" borderId="1" xfId="2" applyBorder="1" applyAlignment="1">
      <alignment horizontal="center"/>
    </xf>
    <xf numFmtId="0" fontId="0" fillId="15" borderId="27" xfId="0" applyFill="1" applyBorder="1" applyAlignment="1">
      <alignment horizontal="center" vertical="center"/>
    </xf>
    <xf numFmtId="0" fontId="0" fillId="0" borderId="18" xfId="0" applyBorder="1"/>
    <xf numFmtId="0" fontId="15" fillId="16" borderId="28" xfId="0" applyFont="1" applyFill="1" applyBorder="1"/>
    <xf numFmtId="0" fontId="15" fillId="16" borderId="28" xfId="0" applyFont="1" applyFill="1" applyBorder="1" applyAlignment="1">
      <alignment horizontal="right"/>
    </xf>
    <xf numFmtId="0" fontId="19" fillId="14" borderId="0" xfId="0" applyFont="1" applyFill="1"/>
    <xf numFmtId="0" fontId="19" fillId="3" borderId="0" xfId="0" applyFont="1" applyFill="1"/>
    <xf numFmtId="0" fontId="19" fillId="14" borderId="0" xfId="0" applyFont="1" applyFill="1" applyAlignment="1">
      <alignment horizontal="center"/>
    </xf>
    <xf numFmtId="0" fontId="20" fillId="14" borderId="0" xfId="0" applyFont="1" applyFill="1" applyAlignment="1">
      <alignment vertical="center"/>
    </xf>
    <xf numFmtId="0" fontId="19" fillId="13" borderId="0" xfId="0" applyFont="1" applyFill="1"/>
    <xf numFmtId="0" fontId="20" fillId="14" borderId="0" xfId="0" applyFont="1" applyFill="1" applyAlignment="1">
      <alignment horizontal="center" vertical="center"/>
    </xf>
    <xf numFmtId="0" fontId="21" fillId="14" borderId="0" xfId="0" applyFont="1" applyFill="1"/>
    <xf numFmtId="165" fontId="21" fillId="14" borderId="0" xfId="0" applyNumberFormat="1" applyFont="1" applyFill="1"/>
    <xf numFmtId="14" fontId="22" fillId="14" borderId="0" xfId="0" applyNumberFormat="1" applyFont="1" applyFill="1"/>
    <xf numFmtId="0" fontId="23" fillId="14" borderId="0" xfId="0" applyFont="1" applyFill="1"/>
    <xf numFmtId="0" fontId="25" fillId="12" borderId="30" xfId="0" applyFont="1" applyFill="1" applyBorder="1"/>
    <xf numFmtId="0" fontId="27" fillId="12" borderId="31" xfId="0" applyFont="1" applyFill="1" applyBorder="1" applyAlignment="1">
      <alignment horizontal="center" vertical="center"/>
    </xf>
    <xf numFmtId="0" fontId="27" fillId="12" borderId="32" xfId="0" applyFont="1" applyFill="1" applyBorder="1" applyAlignment="1">
      <alignment vertical="center"/>
    </xf>
    <xf numFmtId="0" fontId="25" fillId="12" borderId="31" xfId="0" applyFont="1" applyFill="1" applyBorder="1"/>
    <xf numFmtId="0" fontId="25" fillId="12" borderId="32" xfId="0" applyFont="1" applyFill="1" applyBorder="1"/>
    <xf numFmtId="0" fontId="28" fillId="12" borderId="33" xfId="0" applyFont="1" applyFill="1" applyBorder="1" applyAlignment="1">
      <alignment vertical="center"/>
    </xf>
    <xf numFmtId="0" fontId="29" fillId="12" borderId="0" xfId="0" applyFont="1" applyFill="1" applyAlignment="1">
      <alignment horizontal="center"/>
    </xf>
    <xf numFmtId="0" fontId="30" fillId="12" borderId="34" xfId="0" applyFont="1" applyFill="1" applyBorder="1"/>
    <xf numFmtId="0" fontId="25" fillId="12" borderId="33" xfId="0" applyFont="1" applyFill="1" applyBorder="1"/>
    <xf numFmtId="0" fontId="25" fillId="12" borderId="0" xfId="0" applyFont="1" applyFill="1"/>
    <xf numFmtId="0" fontId="25" fillId="12" borderId="34" xfId="0" applyFont="1" applyFill="1" applyBorder="1"/>
    <xf numFmtId="0" fontId="31" fillId="12" borderId="0" xfId="0" applyFont="1" applyFill="1" applyAlignment="1">
      <alignment vertical="center"/>
    </xf>
    <xf numFmtId="0" fontId="31" fillId="12" borderId="34" xfId="0" applyFont="1" applyFill="1" applyBorder="1" applyAlignment="1">
      <alignment vertical="center"/>
    </xf>
    <xf numFmtId="0" fontId="33" fillId="12" borderId="35" xfId="0" applyFont="1" applyFill="1" applyBorder="1" applyAlignment="1">
      <alignment vertical="top" wrapText="1"/>
    </xf>
    <xf numFmtId="0" fontId="29" fillId="12" borderId="36" xfId="0" applyFont="1" applyFill="1" applyBorder="1" applyAlignment="1">
      <alignment horizontal="center"/>
    </xf>
    <xf numFmtId="0" fontId="30" fillId="12" borderId="37" xfId="0" applyFont="1" applyFill="1" applyBorder="1"/>
    <xf numFmtId="0" fontId="25" fillId="12" borderId="35" xfId="0" applyFont="1" applyFill="1" applyBorder="1"/>
    <xf numFmtId="0" fontId="25" fillId="12" borderId="36" xfId="0" applyFont="1" applyFill="1" applyBorder="1"/>
    <xf numFmtId="0" fontId="25" fillId="12" borderId="37" xfId="0" applyFont="1" applyFill="1" applyBorder="1"/>
    <xf numFmtId="0" fontId="19" fillId="14" borderId="0" xfId="0" applyFont="1" applyFill="1" applyAlignment="1">
      <alignment textRotation="45"/>
    </xf>
    <xf numFmtId="0" fontId="32" fillId="12" borderId="33" xfId="0" applyFont="1" applyFill="1" applyBorder="1" applyAlignment="1">
      <alignment horizontal="center" vertical="center"/>
    </xf>
    <xf numFmtId="0" fontId="18" fillId="12" borderId="0" xfId="0" applyFont="1" applyFill="1" applyAlignment="1">
      <alignment horizontal="left" vertical="center"/>
    </xf>
    <xf numFmtId="0" fontId="34" fillId="12" borderId="0" xfId="0" applyFont="1" applyFill="1" applyAlignment="1">
      <alignment horizontal="left" vertical="center"/>
    </xf>
    <xf numFmtId="0" fontId="19" fillId="12" borderId="19" xfId="0" applyFont="1" applyFill="1" applyBorder="1"/>
    <xf numFmtId="0" fontId="19" fillId="12" borderId="20" xfId="0" applyFont="1" applyFill="1" applyBorder="1"/>
    <xf numFmtId="0" fontId="19" fillId="12" borderId="20" xfId="0" applyFont="1" applyFill="1" applyBorder="1" applyAlignment="1">
      <alignment horizontal="center"/>
    </xf>
    <xf numFmtId="0" fontId="35" fillId="12" borderId="20" xfId="0" applyFont="1" applyFill="1" applyBorder="1" applyAlignment="1">
      <alignment vertical="center"/>
    </xf>
    <xf numFmtId="0" fontId="36" fillId="12" borderId="20" xfId="0" applyFont="1" applyFill="1" applyBorder="1" applyAlignment="1">
      <alignment vertical="center"/>
    </xf>
    <xf numFmtId="0" fontId="19" fillId="12" borderId="21" xfId="0" applyFont="1" applyFill="1" applyBorder="1"/>
    <xf numFmtId="0" fontId="19" fillId="12" borderId="22" xfId="0" applyFont="1" applyFill="1" applyBorder="1"/>
    <xf numFmtId="0" fontId="19" fillId="12" borderId="0" xfId="0" applyFont="1" applyFill="1"/>
    <xf numFmtId="0" fontId="19" fillId="12" borderId="0" xfId="0" applyFont="1" applyFill="1" applyAlignment="1">
      <alignment horizontal="center"/>
    </xf>
    <xf numFmtId="0" fontId="35" fillId="12" borderId="0" xfId="0" applyFont="1" applyFill="1" applyAlignment="1">
      <alignment vertical="center"/>
    </xf>
    <xf numFmtId="0" fontId="36" fillId="12" borderId="0" xfId="0" applyFont="1" applyFill="1" applyAlignment="1">
      <alignment vertical="center"/>
    </xf>
    <xf numFmtId="0" fontId="19" fillId="12" borderId="23" xfId="0" applyFont="1" applyFill="1" applyBorder="1"/>
    <xf numFmtId="0" fontId="19" fillId="12" borderId="24" xfId="0" applyFont="1" applyFill="1" applyBorder="1"/>
    <xf numFmtId="0" fontId="19" fillId="12" borderId="25" xfId="0" applyFont="1" applyFill="1" applyBorder="1"/>
    <xf numFmtId="0" fontId="19" fillId="12" borderId="25" xfId="0" applyFont="1" applyFill="1" applyBorder="1" applyAlignment="1">
      <alignment horizontal="center"/>
    </xf>
    <xf numFmtId="0" fontId="35" fillId="12" borderId="25" xfId="0" applyFont="1" applyFill="1" applyBorder="1" applyAlignment="1">
      <alignment vertical="center"/>
    </xf>
    <xf numFmtId="0" fontId="36" fillId="12" borderId="25" xfId="0" applyFont="1" applyFill="1" applyBorder="1" applyAlignment="1">
      <alignment vertical="center"/>
    </xf>
    <xf numFmtId="0" fontId="19" fillId="12" borderId="26" xfId="0" applyFont="1" applyFill="1" applyBorder="1"/>
    <xf numFmtId="0" fontId="19" fillId="12" borderId="30" xfId="0" applyFont="1" applyFill="1" applyBorder="1"/>
    <xf numFmtId="0" fontId="19" fillId="12" borderId="31" xfId="0" applyFont="1" applyFill="1" applyBorder="1"/>
    <xf numFmtId="0" fontId="19" fillId="12" borderId="31" xfId="0" applyFont="1" applyFill="1" applyBorder="1" applyAlignment="1">
      <alignment horizontal="center"/>
    </xf>
    <xf numFmtId="0" fontId="19" fillId="12" borderId="32" xfId="0" applyFont="1" applyFill="1" applyBorder="1"/>
    <xf numFmtId="0" fontId="37" fillId="12" borderId="30" xfId="0" applyFont="1" applyFill="1" applyBorder="1" applyAlignment="1">
      <alignment horizontal="center"/>
    </xf>
    <xf numFmtId="0" fontId="38" fillId="12" borderId="31" xfId="0" applyFont="1" applyFill="1" applyBorder="1" applyAlignment="1">
      <alignment horizontal="center"/>
    </xf>
    <xf numFmtId="0" fontId="39" fillId="12" borderId="31" xfId="0" applyFont="1" applyFill="1" applyBorder="1" applyAlignment="1">
      <alignment horizontal="left"/>
    </xf>
    <xf numFmtId="0" fontId="32" fillId="12" borderId="33" xfId="0" applyFont="1" applyFill="1" applyBorder="1" applyAlignment="1">
      <alignment horizontal="center"/>
    </xf>
    <xf numFmtId="0" fontId="19" fillId="12" borderId="34" xfId="0" applyFont="1" applyFill="1" applyBorder="1"/>
    <xf numFmtId="0" fontId="37" fillId="12" borderId="33" xfId="0" applyFont="1" applyFill="1" applyBorder="1" applyAlignment="1">
      <alignment horizontal="center"/>
    </xf>
    <xf numFmtId="0" fontId="38" fillId="12" borderId="0" xfId="0" applyFont="1" applyFill="1" applyAlignment="1">
      <alignment horizontal="center"/>
    </xf>
    <xf numFmtId="0" fontId="39" fillId="12" borderId="0" xfId="0" applyFont="1" applyFill="1" applyAlignment="1">
      <alignment horizontal="left"/>
    </xf>
    <xf numFmtId="0" fontId="36" fillId="12" borderId="0" xfId="0" applyFont="1" applyFill="1"/>
    <xf numFmtId="0" fontId="16" fillId="12" borderId="0" xfId="0" applyFont="1" applyFill="1" applyAlignment="1">
      <alignment horizontal="center"/>
    </xf>
    <xf numFmtId="0" fontId="40" fillId="12" borderId="0" xfId="0" applyFont="1" applyFill="1" applyAlignment="1">
      <alignment horizontal="center" vertical="center"/>
    </xf>
    <xf numFmtId="0" fontId="41" fillId="12" borderId="33" xfId="0" applyFont="1" applyFill="1" applyBorder="1" applyAlignment="1">
      <alignment vertical="center"/>
    </xf>
    <xf numFmtId="0" fontId="19" fillId="12" borderId="33" xfId="0" applyFont="1" applyFill="1" applyBorder="1"/>
    <xf numFmtId="0" fontId="19" fillId="12" borderId="36" xfId="0" applyFont="1" applyFill="1" applyBorder="1"/>
    <xf numFmtId="0" fontId="19" fillId="12" borderId="37" xfId="0" applyFont="1" applyFill="1" applyBorder="1"/>
    <xf numFmtId="0" fontId="19" fillId="12" borderId="35" xfId="0" applyFont="1" applyFill="1" applyBorder="1"/>
    <xf numFmtId="0" fontId="43" fillId="12" borderId="31" xfId="0" applyFont="1" applyFill="1" applyBorder="1" applyAlignment="1">
      <alignment vertical="center"/>
    </xf>
    <xf numFmtId="0" fontId="43" fillId="12" borderId="32" xfId="0" applyFont="1" applyFill="1" applyBorder="1" applyAlignment="1">
      <alignment vertical="center"/>
    </xf>
    <xf numFmtId="0" fontId="43" fillId="12" borderId="30" xfId="0" applyFont="1" applyFill="1" applyBorder="1" applyAlignment="1">
      <alignment vertical="center"/>
    </xf>
    <xf numFmtId="0" fontId="19" fillId="13" borderId="0" xfId="0" applyFont="1" applyFill="1" applyAlignment="1">
      <alignment horizontal="center"/>
    </xf>
    <xf numFmtId="0" fontId="44" fillId="14" borderId="0" xfId="0" applyFont="1" applyFill="1" applyAlignment="1">
      <alignment vertical="center"/>
    </xf>
    <xf numFmtId="0" fontId="45" fillId="12" borderId="33" xfId="0" applyFont="1" applyFill="1" applyBorder="1" applyAlignment="1">
      <alignment vertical="center"/>
    </xf>
    <xf numFmtId="0" fontId="44" fillId="12" borderId="0" xfId="0" applyFont="1" applyFill="1" applyAlignment="1">
      <alignment horizontal="center" vertical="center"/>
    </xf>
    <xf numFmtId="0" fontId="46" fillId="12" borderId="0" xfId="0" applyFont="1" applyFill="1" applyAlignment="1">
      <alignment vertical="center"/>
    </xf>
    <xf numFmtId="0" fontId="44" fillId="12" borderId="0" xfId="0" applyFont="1" applyFill="1" applyAlignment="1">
      <alignment vertical="center"/>
    </xf>
    <xf numFmtId="0" fontId="44" fillId="12" borderId="34" xfId="0" applyFont="1" applyFill="1" applyBorder="1" applyAlignment="1">
      <alignment vertical="center"/>
    </xf>
    <xf numFmtId="0" fontId="44" fillId="12" borderId="33" xfId="0" applyFont="1" applyFill="1" applyBorder="1" applyAlignment="1">
      <alignment vertical="center"/>
    </xf>
    <xf numFmtId="0" fontId="44" fillId="13" borderId="0" xfId="0" applyFont="1" applyFill="1" applyAlignment="1">
      <alignment vertical="center"/>
    </xf>
    <xf numFmtId="0" fontId="42" fillId="12" borderId="0" xfId="0" applyFont="1" applyFill="1"/>
    <xf numFmtId="0" fontId="40" fillId="12" borderId="33" xfId="0" applyFont="1" applyFill="1" applyBorder="1" applyAlignment="1">
      <alignment horizontal="center" vertical="center"/>
    </xf>
    <xf numFmtId="0" fontId="19" fillId="12" borderId="36" xfId="0" applyFont="1" applyFill="1" applyBorder="1" applyAlignment="1">
      <alignment horizontal="center"/>
    </xf>
    <xf numFmtId="0" fontId="49" fillId="12" borderId="31" xfId="0" applyFont="1" applyFill="1" applyBorder="1" applyAlignment="1">
      <alignment vertical="center"/>
    </xf>
    <xf numFmtId="0" fontId="34" fillId="12" borderId="0" xfId="0" applyFont="1" applyFill="1" applyAlignment="1">
      <alignment vertical="top" wrapText="1"/>
    </xf>
    <xf numFmtId="0" fontId="2" fillId="0" borderId="18" xfId="0" applyFont="1" applyBorder="1" applyAlignment="1">
      <alignment horizontal="center"/>
    </xf>
    <xf numFmtId="0" fontId="2" fillId="0" borderId="42" xfId="0" applyFont="1" applyBorder="1" applyAlignment="1">
      <alignment horizontal="center"/>
    </xf>
    <xf numFmtId="0" fontId="2" fillId="0" borderId="41" xfId="0" applyFont="1" applyBorder="1" applyAlignment="1">
      <alignment horizontal="center"/>
    </xf>
    <xf numFmtId="0" fontId="18" fillId="12" borderId="0" xfId="0" applyFont="1" applyFill="1" applyAlignment="1">
      <alignment horizontal="left"/>
    </xf>
    <xf numFmtId="0" fontId="36" fillId="12" borderId="0" xfId="0" applyFont="1" applyFill="1" applyAlignment="1">
      <alignment horizontal="left"/>
    </xf>
    <xf numFmtId="0" fontId="18" fillId="12" borderId="0" xfId="0" applyFont="1" applyFill="1"/>
    <xf numFmtId="0" fontId="47" fillId="12" borderId="31" xfId="0" applyFont="1" applyFill="1" applyBorder="1"/>
    <xf numFmtId="0" fontId="47" fillId="12" borderId="0" xfId="0" applyFont="1" applyFill="1"/>
    <xf numFmtId="165" fontId="24" fillId="14" borderId="0" xfId="0" applyNumberFormat="1" applyFont="1" applyFill="1"/>
    <xf numFmtId="0" fontId="48" fillId="14" borderId="0" xfId="0" applyFont="1" applyFill="1" applyAlignment="1">
      <alignment vertical="center"/>
    </xf>
    <xf numFmtId="0" fontId="26" fillId="12" borderId="31" xfId="0" applyFont="1" applyFill="1" applyBorder="1" applyAlignment="1">
      <alignment vertical="center"/>
    </xf>
    <xf numFmtId="0" fontId="26" fillId="12" borderId="0" xfId="0" applyFont="1" applyFill="1" applyAlignment="1">
      <alignment vertical="center"/>
    </xf>
    <xf numFmtId="0" fontId="32" fillId="12" borderId="0" xfId="0" applyFont="1" applyFill="1" applyAlignment="1">
      <alignment vertical="top" wrapText="1"/>
    </xf>
    <xf numFmtId="0" fontId="32" fillId="12" borderId="36" xfId="0" applyFont="1" applyFill="1" applyBorder="1" applyAlignment="1">
      <alignment vertical="top" wrapText="1"/>
    </xf>
    <xf numFmtId="0" fontId="41" fillId="12" borderId="35" xfId="0" applyFont="1" applyFill="1" applyBorder="1" applyAlignment="1">
      <alignment vertical="center"/>
    </xf>
    <xf numFmtId="0" fontId="42" fillId="12" borderId="36" xfId="0" applyFont="1" applyFill="1" applyBorder="1"/>
    <xf numFmtId="164" fontId="17" fillId="14" borderId="0" xfId="0" applyNumberFormat="1" applyFont="1" applyFill="1"/>
    <xf numFmtId="0" fontId="52" fillId="0" borderId="0" xfId="0" applyFont="1" applyAlignment="1">
      <alignment horizontal="center"/>
    </xf>
    <xf numFmtId="1" fontId="52" fillId="0" borderId="0" xfId="0" applyNumberFormat="1" applyFont="1" applyAlignment="1">
      <alignment horizontal="center"/>
    </xf>
    <xf numFmtId="14" fontId="52" fillId="0" borderId="0" xfId="0" applyNumberFormat="1" applyFont="1" applyAlignment="1">
      <alignment horizontal="center"/>
    </xf>
    <xf numFmtId="0" fontId="53" fillId="0" borderId="0" xfId="0" quotePrefix="1" applyFont="1" applyAlignment="1">
      <alignment horizontal="center" vertical="center" wrapText="1"/>
    </xf>
    <xf numFmtId="0" fontId="52" fillId="0" borderId="0" xfId="0" applyFont="1" applyAlignment="1">
      <alignment horizontal="center" vertical="center" wrapText="1"/>
    </xf>
    <xf numFmtId="0" fontId="54" fillId="0" borderId="0" xfId="0" applyFont="1" applyAlignment="1">
      <alignment horizontal="center"/>
    </xf>
    <xf numFmtId="0" fontId="55" fillId="0" borderId="0" xfId="0" applyFont="1" applyAlignment="1">
      <alignment horizontal="center"/>
    </xf>
    <xf numFmtId="0" fontId="56" fillId="2" borderId="0" xfId="0" applyFont="1" applyFill="1" applyAlignment="1">
      <alignment horizontal="center" vertical="center" wrapText="1"/>
    </xf>
    <xf numFmtId="14" fontId="56" fillId="2" borderId="0" xfId="0" applyNumberFormat="1" applyFont="1" applyFill="1" applyAlignment="1">
      <alignment horizontal="center" vertical="center" wrapText="1"/>
    </xf>
    <xf numFmtId="49" fontId="56" fillId="2" borderId="0" xfId="0" applyNumberFormat="1" applyFont="1" applyFill="1" applyAlignment="1">
      <alignment horizontal="center" vertical="center" wrapText="1"/>
    </xf>
    <xf numFmtId="1" fontId="56" fillId="2" borderId="0" xfId="0" applyNumberFormat="1" applyFont="1" applyFill="1" applyAlignment="1">
      <alignment horizontal="center" vertical="center" wrapText="1"/>
    </xf>
    <xf numFmtId="0" fontId="57" fillId="2" borderId="0" xfId="0" applyFont="1" applyFill="1" applyAlignment="1">
      <alignment horizontal="center" vertical="center" wrapText="1"/>
    </xf>
    <xf numFmtId="14" fontId="57" fillId="2" borderId="0" xfId="0" applyNumberFormat="1" applyFont="1" applyFill="1" applyAlignment="1">
      <alignment horizontal="center" vertical="center" wrapText="1"/>
    </xf>
    <xf numFmtId="0" fontId="58" fillId="0" borderId="0" xfId="0" applyFont="1" applyAlignment="1">
      <alignment horizontal="center"/>
    </xf>
    <xf numFmtId="14" fontId="58" fillId="6" borderId="0" xfId="0" applyNumberFormat="1" applyFont="1" applyFill="1" applyAlignment="1">
      <alignment horizontal="center"/>
    </xf>
    <xf numFmtId="1" fontId="58" fillId="6" borderId="0" xfId="0" applyNumberFormat="1" applyFont="1" applyFill="1" applyAlignment="1">
      <alignment horizontal="center"/>
    </xf>
    <xf numFmtId="0" fontId="58" fillId="6" borderId="0" xfId="0" applyFont="1" applyFill="1" applyAlignment="1">
      <alignment horizontal="center"/>
    </xf>
    <xf numFmtId="14" fontId="14" fillId="0" borderId="0" xfId="2" applyNumberFormat="1" applyFill="1" applyAlignment="1">
      <alignment horizontal="center"/>
    </xf>
    <xf numFmtId="14" fontId="14" fillId="0" borderId="0" xfId="2" applyNumberFormat="1" applyAlignment="1">
      <alignment horizontal="center"/>
    </xf>
    <xf numFmtId="14" fontId="54" fillId="0" borderId="0" xfId="0" applyNumberFormat="1" applyFont="1" applyAlignment="1">
      <alignment horizontal="center"/>
    </xf>
    <xf numFmtId="0" fontId="54" fillId="0" borderId="0" xfId="0" applyFont="1" applyAlignment="1">
      <alignment horizontal="center" wrapText="1"/>
    </xf>
    <xf numFmtId="0" fontId="32" fillId="12" borderId="0" xfId="0" applyFont="1" applyFill="1" applyAlignment="1">
      <alignment horizontal="center" vertical="top" wrapText="1"/>
    </xf>
    <xf numFmtId="0" fontId="34" fillId="12" borderId="0" xfId="0" applyFont="1" applyFill="1" applyAlignment="1">
      <alignment horizontal="center" vertical="top" wrapText="1"/>
    </xf>
    <xf numFmtId="0" fontId="14" fillId="0" borderId="0" xfId="2" applyAlignment="1">
      <alignment horizontal="center"/>
    </xf>
    <xf numFmtId="0" fontId="52" fillId="4" borderId="0" xfId="0" applyFont="1" applyFill="1" applyAlignment="1">
      <alignment horizontal="center"/>
    </xf>
    <xf numFmtId="0" fontId="2" fillId="0" borderId="46" xfId="0" applyFont="1" applyBorder="1" applyAlignment="1">
      <alignment horizontal="center"/>
    </xf>
    <xf numFmtId="0" fontId="2" fillId="0" borderId="47" xfId="0" applyFont="1" applyBorder="1" applyAlignment="1">
      <alignment horizontal="center"/>
    </xf>
    <xf numFmtId="0" fontId="2" fillId="0" borderId="38" xfId="0" pivotButton="1" applyFont="1" applyBorder="1" applyAlignment="1">
      <alignment horizontal="center"/>
    </xf>
    <xf numFmtId="0" fontId="2" fillId="0" borderId="39" xfId="0" pivotButton="1" applyFont="1" applyBorder="1" applyAlignment="1">
      <alignment horizontal="center"/>
    </xf>
    <xf numFmtId="0" fontId="2" fillId="0" borderId="39" xfId="0" applyFont="1" applyBorder="1" applyAlignment="1">
      <alignment horizontal="center"/>
    </xf>
    <xf numFmtId="0" fontId="2" fillId="0" borderId="40" xfId="0" applyFont="1" applyBorder="1" applyAlignment="1">
      <alignment horizontal="center"/>
    </xf>
    <xf numFmtId="0" fontId="2" fillId="0" borderId="41" xfId="0" pivotButton="1" applyFont="1" applyBorder="1" applyAlignment="1">
      <alignment horizontal="center"/>
    </xf>
    <xf numFmtId="0" fontId="2" fillId="0" borderId="43" xfId="0" applyFont="1" applyBorder="1" applyAlignment="1">
      <alignment horizontal="center"/>
    </xf>
    <xf numFmtId="0" fontId="2" fillId="0" borderId="48" xfId="0" pivotButton="1" applyFont="1" applyBorder="1" applyAlignment="1">
      <alignment horizontal="center"/>
    </xf>
    <xf numFmtId="0" fontId="2" fillId="0" borderId="49" xfId="0" applyFont="1" applyBorder="1" applyAlignment="1">
      <alignment horizontal="center"/>
    </xf>
    <xf numFmtId="0" fontId="2" fillId="0" borderId="18" xfId="0" pivotButton="1" applyFont="1" applyBorder="1" applyAlignment="1">
      <alignment horizontal="center"/>
    </xf>
    <xf numFmtId="1" fontId="2" fillId="0" borderId="41" xfId="0" applyNumberFormat="1" applyFont="1" applyBorder="1" applyAlignment="1">
      <alignment horizontal="center"/>
    </xf>
    <xf numFmtId="1" fontId="2" fillId="0" borderId="43" xfId="0" applyNumberFormat="1" applyFont="1" applyBorder="1" applyAlignment="1">
      <alignment horizontal="center"/>
    </xf>
    <xf numFmtId="0" fontId="2" fillId="0" borderId="41" xfId="0" applyFont="1" applyBorder="1" applyAlignment="1">
      <alignment horizontal="center" indent="1"/>
    </xf>
    <xf numFmtId="14" fontId="2" fillId="0" borderId="41" xfId="0" applyNumberFormat="1" applyFont="1" applyBorder="1" applyAlignment="1">
      <alignment horizontal="center"/>
    </xf>
    <xf numFmtId="0" fontId="2" fillId="4" borderId="1" xfId="0" applyFont="1" applyFill="1" applyBorder="1" applyAlignment="1">
      <alignment horizontal="center"/>
    </xf>
    <xf numFmtId="0" fontId="2" fillId="0" borderId="50" xfId="0" applyFont="1" applyBorder="1" applyAlignment="1">
      <alignment horizontal="center"/>
    </xf>
    <xf numFmtId="0" fontId="52" fillId="0" borderId="0" xfId="0" applyFont="1" applyAlignment="1">
      <alignment horizontal="center" wrapText="1"/>
    </xf>
    <xf numFmtId="14" fontId="2" fillId="0" borderId="41" xfId="0" applyNumberFormat="1" applyFont="1" applyBorder="1" applyAlignment="1">
      <alignment horizontal="center" indent="1"/>
    </xf>
    <xf numFmtId="0" fontId="55" fillId="4" borderId="0" xfId="0" applyFont="1" applyFill="1" applyAlignment="1">
      <alignment horizontal="center"/>
    </xf>
    <xf numFmtId="0" fontId="58" fillId="4" borderId="0" xfId="0" applyFont="1" applyFill="1" applyAlignment="1">
      <alignment horizontal="center"/>
    </xf>
    <xf numFmtId="14" fontId="58" fillId="4" borderId="0" xfId="0" applyNumberFormat="1" applyFont="1" applyFill="1" applyAlignment="1">
      <alignment horizontal="center"/>
    </xf>
    <xf numFmtId="1" fontId="58" fillId="4" borderId="0" xfId="0" applyNumberFormat="1" applyFont="1" applyFill="1" applyAlignment="1">
      <alignment horizontal="center"/>
    </xf>
    <xf numFmtId="14" fontId="52" fillId="4" borderId="0" xfId="0" applyNumberFormat="1" applyFont="1" applyFill="1" applyAlignment="1">
      <alignment horizontal="center"/>
    </xf>
    <xf numFmtId="0" fontId="0" fillId="4" borderId="0" xfId="0" applyFill="1"/>
    <xf numFmtId="166" fontId="52" fillId="0" borderId="0" xfId="0" applyNumberFormat="1" applyFont="1" applyAlignment="1">
      <alignment horizontal="center"/>
    </xf>
    <xf numFmtId="0" fontId="2" fillId="0" borderId="45" xfId="0" applyFont="1" applyBorder="1" applyAlignment="1">
      <alignment horizontal="center"/>
    </xf>
    <xf numFmtId="0" fontId="2" fillId="0" borderId="44" xfId="0" applyFont="1" applyBorder="1" applyAlignment="1">
      <alignment horizontal="center"/>
    </xf>
    <xf numFmtId="0" fontId="8" fillId="2" borderId="29" xfId="0" applyFont="1" applyFill="1" applyBorder="1" applyAlignment="1">
      <alignment horizontal="center" vertical="center"/>
    </xf>
    <xf numFmtId="0" fontId="13" fillId="4" borderId="12" xfId="0" applyFont="1" applyFill="1" applyBorder="1" applyAlignment="1">
      <alignment horizontal="center" vertical="center" wrapText="1"/>
    </xf>
    <xf numFmtId="0" fontId="13" fillId="4" borderId="13" xfId="0" applyFont="1" applyFill="1" applyBorder="1" applyAlignment="1">
      <alignment horizontal="center" vertical="center" wrapText="1"/>
    </xf>
    <xf numFmtId="0" fontId="13" fillId="4" borderId="14" xfId="0" applyFont="1" applyFill="1" applyBorder="1" applyAlignment="1">
      <alignment horizontal="center" vertical="center" wrapText="1"/>
    </xf>
    <xf numFmtId="0" fontId="13" fillId="4" borderId="15" xfId="0" applyFont="1" applyFill="1" applyBorder="1" applyAlignment="1">
      <alignment horizontal="center" vertical="center" wrapText="1"/>
    </xf>
    <xf numFmtId="0" fontId="7" fillId="3" borderId="16" xfId="0" applyFont="1" applyFill="1" applyBorder="1" applyAlignment="1">
      <alignment horizontal="left" vertical="top" wrapText="1"/>
    </xf>
    <xf numFmtId="0" fontId="8" fillId="2" borderId="6" xfId="0" applyFont="1" applyFill="1" applyBorder="1" applyAlignment="1">
      <alignment horizontal="left" vertical="center"/>
    </xf>
    <xf numFmtId="0" fontId="8" fillId="2" borderId="7" xfId="0" applyFont="1" applyFill="1" applyBorder="1" applyAlignment="1">
      <alignment horizontal="left" vertical="center"/>
    </xf>
    <xf numFmtId="0" fontId="8" fillId="2" borderId="11" xfId="0" applyFont="1" applyFill="1" applyBorder="1" applyAlignment="1">
      <alignment horizontal="left" vertical="center"/>
    </xf>
    <xf numFmtId="0" fontId="8" fillId="2" borderId="6" xfId="0" applyFont="1" applyFill="1" applyBorder="1" applyAlignment="1">
      <alignment horizontal="center" vertical="center"/>
    </xf>
    <xf numFmtId="0" fontId="8" fillId="2" borderId="8" xfId="0" applyFont="1" applyFill="1" applyBorder="1" applyAlignment="1">
      <alignment horizontal="center" vertical="center"/>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10" fillId="8" borderId="5" xfId="0" applyFont="1" applyFill="1" applyBorder="1" applyAlignment="1">
      <alignment horizontal="center" vertical="center" wrapText="1"/>
    </xf>
    <xf numFmtId="0" fontId="10" fillId="9" borderId="8" xfId="0" applyFont="1" applyFill="1" applyBorder="1" applyAlignment="1">
      <alignment horizontal="center" vertical="center" wrapText="1"/>
    </xf>
    <xf numFmtId="0" fontId="10" fillId="9" borderId="9" xfId="0" applyFont="1" applyFill="1" applyBorder="1" applyAlignment="1">
      <alignment horizontal="center" vertical="center" wrapText="1"/>
    </xf>
    <xf numFmtId="0" fontId="10" fillId="9" borderId="10" xfId="0" applyFont="1" applyFill="1" applyBorder="1" applyAlignment="1">
      <alignment horizontal="center" vertical="center" wrapText="1"/>
    </xf>
    <xf numFmtId="0" fontId="5" fillId="11" borderId="8" xfId="0" applyFont="1" applyFill="1" applyBorder="1" applyAlignment="1">
      <alignment horizontal="center" vertical="center"/>
    </xf>
    <xf numFmtId="0" fontId="5" fillId="11" borderId="9" xfId="0" applyFont="1" applyFill="1" applyBorder="1" applyAlignment="1">
      <alignment horizontal="center" vertical="center"/>
    </xf>
    <xf numFmtId="0" fontId="5" fillId="11" borderId="10" xfId="0" applyFont="1" applyFill="1" applyBorder="1" applyAlignment="1">
      <alignment horizontal="center" vertical="center"/>
    </xf>
  </cellXfs>
  <cellStyles count="3">
    <cellStyle name="Hiperlink" xfId="2" builtinId="8"/>
    <cellStyle name="Normal" xfId="0" builtinId="0"/>
    <cellStyle name="Normal 2" xfId="1" xr:uid="{00000000-0005-0000-0000-000002000000}"/>
  </cellStyles>
  <dxfs count="365">
    <dxf>
      <font>
        <color theme="9" tint="-0.24994659260841701"/>
      </font>
      <fill>
        <patternFill>
          <bgColor theme="9" tint="0.79998168889431442"/>
        </patternFill>
      </fill>
    </dxf>
    <dxf>
      <font>
        <color rgb="FFC00000"/>
      </font>
      <fill>
        <patternFill>
          <bgColor theme="5"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alignment horizontal="center"/>
    </dxf>
    <dxf>
      <alignment horizontal="center"/>
    </dxf>
    <dxf>
      <alignment horizontal="center"/>
    </dxf>
    <dxf>
      <alignment horizontal="center"/>
    </dxf>
    <dxf>
      <font>
        <sz val="9"/>
      </font>
    </dxf>
    <dxf>
      <font>
        <sz val="9"/>
      </font>
    </dxf>
    <dxf>
      <font>
        <sz val="9"/>
      </font>
    </dxf>
    <dxf>
      <font>
        <sz val="9"/>
      </font>
    </dxf>
    <dxf>
      <font>
        <sz val="9"/>
      </font>
    </dxf>
    <dxf>
      <font>
        <sz val="9"/>
      </font>
    </dxf>
    <dxf>
      <border>
        <left style="thin">
          <color indexed="64"/>
        </left>
        <right style="thin">
          <color indexed="64"/>
        </right>
        <top style="thin">
          <color indexed="64"/>
        </top>
        <bottom style="thin">
          <color indexed="64"/>
        </bottom>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sz val="9"/>
      </font>
    </dxf>
    <dxf>
      <font>
        <sz val="9"/>
      </font>
    </dxf>
    <dxf>
      <font>
        <sz val="9"/>
      </font>
    </dxf>
    <dxf>
      <font>
        <sz val="9"/>
      </font>
    </dxf>
    <dxf>
      <font>
        <sz val="9"/>
      </font>
    </dxf>
    <dxf>
      <font>
        <sz val="9"/>
      </font>
    </dxf>
    <dxf>
      <font>
        <sz val="9"/>
      </font>
    </dxf>
    <dxf>
      <font>
        <sz val="9"/>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alignment horizontal="center"/>
    </dxf>
    <dxf>
      <alignment horizontal="center"/>
    </dxf>
    <dxf>
      <alignment horizontal="center"/>
    </dxf>
    <dxf>
      <font>
        <sz val="9"/>
      </font>
    </dxf>
    <dxf>
      <font>
        <sz val="9"/>
      </font>
    </dxf>
    <dxf>
      <font>
        <sz val="9"/>
      </font>
    </dxf>
    <dxf>
      <font>
        <sz val="9"/>
      </font>
    </dxf>
    <dxf>
      <font>
        <sz val="9"/>
      </font>
    </dxf>
    <dxf>
      <border>
        <left style="thin">
          <color indexed="64"/>
        </left>
        <right style="thin">
          <color indexed="64"/>
        </right>
        <top style="thin">
          <color indexed="64"/>
        </top>
        <bottom style="thin">
          <color indexed="64"/>
        </bottom>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sz val="9"/>
      </font>
    </dxf>
    <dxf>
      <font>
        <sz val="9"/>
      </font>
    </dxf>
    <dxf>
      <font>
        <sz val="9"/>
      </font>
    </dxf>
    <dxf>
      <font>
        <sz val="9"/>
      </font>
    </dxf>
    <dxf>
      <font>
        <sz val="9"/>
      </font>
    </dxf>
    <dxf>
      <font>
        <sz val="9"/>
      </font>
    </dxf>
    <dxf>
      <font>
        <sz val="9"/>
      </font>
    </dxf>
    <dxf>
      <font>
        <sz val="9"/>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alignment horizontal="center"/>
    </dxf>
    <dxf>
      <alignment horizontal="center"/>
    </dxf>
    <dxf>
      <alignment horizontal="center"/>
    </dxf>
    <dxf>
      <alignment horizontal="center"/>
    </dxf>
    <dxf>
      <font>
        <sz val="9"/>
      </font>
    </dxf>
    <dxf>
      <font>
        <sz val="9"/>
      </font>
    </dxf>
    <dxf>
      <font>
        <sz val="9"/>
      </font>
    </dxf>
    <dxf>
      <font>
        <sz val="9"/>
      </font>
    </dxf>
    <dxf>
      <font>
        <sz val="9"/>
      </font>
    </dxf>
    <dxf>
      <font>
        <sz val="9"/>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alignment horizontal="center"/>
    </dxf>
    <dxf>
      <alignment horizontal="center"/>
    </dxf>
    <dxf>
      <alignment horizontal="center"/>
    </dxf>
    <dxf>
      <font>
        <sz val="9"/>
      </font>
    </dxf>
    <dxf>
      <font>
        <sz val="9"/>
      </font>
    </dxf>
    <dxf>
      <font>
        <sz val="9"/>
      </font>
    </dxf>
    <dxf>
      <font>
        <sz val="9"/>
      </font>
    </dxf>
    <dxf>
      <font>
        <sz val="9"/>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alignment horizontal="center"/>
    </dxf>
    <dxf>
      <alignment horizontal="center"/>
    </dxf>
    <dxf>
      <alignment horizontal="center"/>
    </dxf>
    <dxf>
      <alignment horizontal="center"/>
    </dxf>
    <dxf>
      <font>
        <sz val="9"/>
      </font>
    </dxf>
    <dxf>
      <font>
        <sz val="9"/>
      </font>
    </dxf>
    <dxf>
      <font>
        <sz val="9"/>
      </font>
    </dxf>
    <dxf>
      <font>
        <sz val="9"/>
      </font>
    </dxf>
    <dxf>
      <font>
        <sz val="9"/>
      </font>
    </dxf>
    <dxf>
      <font>
        <sz val="9"/>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alignment horizontal="center"/>
    </dxf>
    <dxf>
      <alignment horizontal="center"/>
    </dxf>
    <dxf>
      <alignment horizontal="center"/>
    </dxf>
    <dxf>
      <alignment horizontal="center"/>
    </dxf>
    <dxf>
      <font>
        <sz val="9"/>
      </font>
    </dxf>
    <dxf>
      <font>
        <sz val="9"/>
      </font>
    </dxf>
    <dxf>
      <font>
        <sz val="9"/>
      </font>
    </dxf>
    <dxf>
      <font>
        <sz val="9"/>
      </font>
    </dxf>
    <dxf>
      <font>
        <sz val="9"/>
      </font>
    </dxf>
    <dxf>
      <font>
        <sz val="9"/>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alignment horizontal="center"/>
    </dxf>
    <dxf>
      <alignment horizontal="center"/>
    </dxf>
    <dxf>
      <alignment horizontal="center"/>
    </dxf>
    <dxf>
      <font>
        <sz val="9"/>
      </font>
    </dxf>
    <dxf>
      <font>
        <sz val="9"/>
      </font>
    </dxf>
    <dxf>
      <font>
        <sz val="9"/>
      </font>
    </dxf>
    <dxf>
      <font>
        <sz val="9"/>
      </font>
    </dxf>
    <dxf>
      <font>
        <sz val="9"/>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alignment horizontal="center"/>
    </dxf>
    <dxf>
      <alignment horizontal="center"/>
    </dxf>
    <dxf>
      <alignment horizontal="center"/>
    </dxf>
    <dxf>
      <alignment horizontal="center"/>
    </dxf>
    <dxf>
      <font>
        <sz val="9"/>
      </font>
    </dxf>
    <dxf>
      <font>
        <sz val="9"/>
      </font>
    </dxf>
    <dxf>
      <font>
        <sz val="9"/>
      </font>
    </dxf>
    <dxf>
      <font>
        <sz val="9"/>
      </font>
    </dxf>
    <dxf>
      <font>
        <sz val="9"/>
      </font>
    </dxf>
    <dxf>
      <font>
        <sz val="9"/>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alignment horizontal="center"/>
    </dxf>
    <dxf>
      <alignment horizontal="center"/>
    </dxf>
    <dxf>
      <alignment horizontal="center"/>
    </dxf>
    <dxf>
      <alignment horizontal="center"/>
    </dxf>
    <dxf>
      <font>
        <sz val="9"/>
      </font>
    </dxf>
    <dxf>
      <font>
        <sz val="9"/>
      </font>
    </dxf>
    <dxf>
      <font>
        <sz val="9"/>
      </font>
    </dxf>
    <dxf>
      <font>
        <sz val="9"/>
      </font>
    </dxf>
    <dxf>
      <font>
        <sz val="9"/>
      </font>
    </dxf>
    <dxf>
      <font>
        <sz val="9"/>
      </font>
    </dxf>
    <dxf>
      <border>
        <left style="thin">
          <color indexed="64"/>
        </left>
        <right style="thin">
          <color indexed="64"/>
        </right>
        <top style="thin">
          <color indexed="64"/>
        </top>
        <bottom style="thin">
          <color indexed="64"/>
        </bottom>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trike val="0"/>
        <outline val="0"/>
        <shadow val="0"/>
        <u val="none"/>
        <vertAlign val="baseline"/>
        <sz val="12"/>
        <name val="Arial"/>
        <family val="2"/>
        <scheme val="none"/>
      </font>
      <fill>
        <patternFill patternType="none">
          <bgColor auto="1"/>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bgColor auto="1"/>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bgColor auto="1"/>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bgColor auto="1"/>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bgColor auto="1"/>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bgColor auto="1"/>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bgColor auto="1"/>
        </patternFill>
      </fill>
      <alignment horizontal="center" vertical="bottom" textRotation="0" wrapText="0" indent="0" justifyLastLine="0" shrinkToFit="0" readingOrder="0"/>
    </dxf>
    <dxf>
      <font>
        <strike val="0"/>
        <outline val="0"/>
        <shadow val="0"/>
        <u val="none"/>
        <vertAlign val="baseline"/>
        <sz val="12"/>
        <name val="Arial"/>
        <family val="2"/>
        <scheme val="none"/>
      </font>
      <fill>
        <patternFill patternType="none">
          <bgColor auto="1"/>
        </patternFill>
      </fill>
      <alignment horizontal="center" vertical="bottom" textRotation="0" wrapText="0" indent="0" justifyLastLine="0" shrinkToFit="0" readingOrder="0"/>
    </dxf>
    <dxf>
      <font>
        <strike val="0"/>
        <outline val="0"/>
        <shadow val="0"/>
        <u val="none"/>
        <vertAlign val="baseline"/>
        <sz val="12"/>
        <name val="Arial"/>
        <family val="2"/>
        <scheme val="none"/>
      </font>
      <fill>
        <patternFill patternType="none">
          <bgColor auto="1"/>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bgColor auto="1"/>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bgColor auto="1"/>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bgColor auto="1"/>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bgColor auto="1"/>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bgColor auto="1"/>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bgColor auto="1"/>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bgColor auto="1"/>
        </patternFill>
      </fill>
      <alignment horizontal="center" textRotation="0" indent="0" justifyLastLine="0" shrinkToFit="0" readingOrder="0"/>
    </dxf>
    <dxf>
      <font>
        <strike val="0"/>
        <outline val="0"/>
        <shadow val="0"/>
        <u val="none"/>
        <vertAlign val="baseline"/>
        <sz val="12"/>
        <name val="Arial"/>
        <family val="2"/>
        <scheme val="none"/>
      </font>
      <numFmt numFmtId="166" formatCode="m/d/yyyy"/>
      <fill>
        <patternFill patternType="none">
          <bgColor auto="1"/>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bgColor auto="1"/>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bgColor auto="1"/>
        </patternFill>
      </fill>
      <alignment horizontal="center" vertical="bottom" textRotation="0" wrapText="0" indent="0" justifyLastLine="0" shrinkToFit="0" readingOrder="0"/>
    </dxf>
    <dxf>
      <font>
        <strike val="0"/>
        <outline val="0"/>
        <shadow val="0"/>
        <u val="none"/>
        <vertAlign val="baseline"/>
        <sz val="12"/>
        <name val="Arial"/>
        <family val="2"/>
        <scheme val="none"/>
      </font>
      <fill>
        <patternFill patternType="none">
          <bgColor auto="1"/>
        </patternFill>
      </fill>
      <alignment horizontal="center" vertical="bottom" textRotation="0" wrapText="0" indent="0" justifyLastLine="0" shrinkToFit="0" readingOrder="0"/>
    </dxf>
    <dxf>
      <font>
        <strike val="0"/>
        <outline val="0"/>
        <shadow val="0"/>
        <u val="none"/>
        <vertAlign val="baseline"/>
        <sz val="12"/>
        <name val="Arial"/>
        <family val="2"/>
        <scheme val="none"/>
      </font>
      <fill>
        <patternFill patternType="none">
          <bgColor auto="1"/>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bgColor auto="1"/>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bgColor auto="1"/>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fgColor indexed="64"/>
          <bgColor theme="8" tint="0.79998168889431442"/>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fgColor indexed="64"/>
          <bgColor theme="8" tint="0.79998168889431442"/>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fgColor indexed="64"/>
          <bgColor theme="8" tint="0.79998168889431442"/>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fgColor indexed="64"/>
          <bgColor theme="8" tint="0.79998168889431442"/>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fgColor indexed="64"/>
          <bgColor theme="8" tint="0.79998168889431442"/>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fgColor indexed="64"/>
          <bgColor theme="8" tint="0.79998168889431442"/>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fgColor indexed="64"/>
          <bgColor theme="8" tint="0.79998168889431442"/>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fgColor indexed="64"/>
          <bgColor theme="8" tint="0.79998168889431442"/>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fgColor indexed="64"/>
          <bgColor theme="8" tint="0.79998168889431442"/>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fgColor indexed="64"/>
          <bgColor theme="8" tint="0.79998168889431442"/>
        </patternFill>
      </fill>
      <alignment horizontal="center" textRotation="0" indent="0" justifyLastLine="0" shrinkToFit="0" readingOrder="0"/>
    </dxf>
    <dxf>
      <font>
        <b val="0"/>
        <i val="0"/>
        <strike val="0"/>
        <condense val="0"/>
        <extend val="0"/>
        <outline val="0"/>
        <shadow val="0"/>
        <u val="none"/>
        <vertAlign val="baseline"/>
        <sz val="12"/>
        <color auto="1"/>
        <name val="Arial"/>
        <family val="2"/>
        <scheme val="none"/>
      </font>
      <numFmt numFmtId="1" formatCode="0"/>
      <fill>
        <patternFill patternType="solid">
          <fgColor indexed="64"/>
          <bgColor theme="8" tint="0.79998168889431442"/>
        </patternFill>
      </fill>
      <alignment horizontal="center" vertical="bottom" textRotation="0" wrapText="0" indent="0" justifyLastLine="0" shrinkToFit="0" readingOrder="0"/>
    </dxf>
    <dxf>
      <font>
        <strike val="0"/>
        <outline val="0"/>
        <shadow val="0"/>
        <u val="none"/>
        <vertAlign val="baseline"/>
        <sz val="12"/>
        <name val="Arial"/>
        <family val="2"/>
        <scheme val="none"/>
      </font>
      <fill>
        <patternFill patternType="none">
          <fgColor indexed="64"/>
          <bgColor theme="8" tint="0.79998168889431442"/>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fgColor indexed="64"/>
          <bgColor theme="8" tint="0.79998168889431442"/>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bgColor auto="1"/>
        </patternFill>
      </fill>
      <alignment horizontal="center" textRotation="0" indent="0" justifyLastLine="0" shrinkToFit="0" readingOrder="0"/>
    </dxf>
    <dxf>
      <font>
        <strike val="0"/>
        <outline val="0"/>
        <shadow val="0"/>
        <u val="none"/>
        <vertAlign val="baseline"/>
        <sz val="12"/>
        <name val="Arial"/>
        <family val="2"/>
        <scheme val="none"/>
      </font>
      <fill>
        <patternFill patternType="none">
          <bgColor auto="1"/>
        </patternFill>
      </fill>
      <alignment horizontal="center" textRotation="0" indent="0" justifyLastLine="0" shrinkToFit="0" readingOrder="0"/>
    </dxf>
    <dxf>
      <font>
        <strike val="0"/>
        <outline val="0"/>
        <shadow val="0"/>
        <u val="none"/>
        <vertAlign val="baseline"/>
        <sz val="12"/>
        <color theme="0"/>
        <name val="Arial"/>
        <family val="2"/>
        <scheme val="none"/>
      </font>
      <fill>
        <patternFill patternType="solid">
          <fgColor indexed="64"/>
          <bgColor rgb="FF002060"/>
        </patternFill>
      </fill>
      <alignment horizontal="center" vertical="center" textRotation="0" wrapText="1" indent="0" justifyLastLine="0" shrinkToFit="0" readingOrder="0"/>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b/>
        <i val="0"/>
        <color rgb="FFFF0000"/>
      </font>
      <fill>
        <patternFill>
          <bgColor theme="8" tint="0.79998168889431442"/>
        </patternFill>
      </fill>
    </dxf>
    <dxf>
      <font>
        <b/>
        <i val="0"/>
        <color rgb="FF006100"/>
      </font>
      <fill>
        <patternFill>
          <bgColor theme="8" tint="0.79998168889431442"/>
        </patternFill>
      </fill>
    </dxf>
    <dxf>
      <font>
        <color theme="0"/>
      </font>
      <fill>
        <patternFill>
          <bgColor rgb="FFC00000"/>
        </patternFill>
      </fill>
    </dxf>
    <dxf>
      <font>
        <color rgb="FF00235C"/>
      </font>
      <fill>
        <patternFill>
          <bgColor rgb="FF002060"/>
        </patternFill>
      </fill>
      <border diagonalUp="0" diagonalDown="0">
        <left/>
        <right/>
        <top/>
        <bottom/>
        <vertical/>
        <horizontal/>
      </border>
    </dxf>
    <dxf>
      <font>
        <color rgb="FF00235C"/>
      </font>
      <fill>
        <patternFill>
          <bgColor rgb="FF002060"/>
        </patternFill>
      </fill>
      <border diagonalUp="0" diagonalDown="0">
        <left/>
        <right/>
        <top/>
        <bottom/>
        <vertical/>
        <horizontal/>
      </border>
    </dxf>
    <dxf>
      <fill>
        <patternFill>
          <bgColor theme="0"/>
        </patternFill>
      </fill>
    </dxf>
    <dxf>
      <fill>
        <patternFill>
          <bgColor theme="0"/>
        </patternFill>
      </fill>
    </dxf>
    <dxf>
      <font>
        <color theme="0"/>
      </font>
      <fill>
        <patternFill>
          <bgColor theme="8" tint="0.39994506668294322"/>
        </patternFill>
      </fill>
    </dxf>
    <dxf>
      <fill>
        <patternFill>
          <fgColor theme="4" tint="-0.24994659260841701"/>
          <bgColor theme="0"/>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ill>
        <patternFill>
          <bgColor theme="0"/>
        </patternFill>
      </fill>
    </dxf>
    <dxf>
      <font>
        <sz val="8"/>
        <color theme="3" tint="-0.24994659260841701"/>
        <name val="Book Antiqua"/>
        <scheme val="none"/>
      </font>
      <fill>
        <patternFill>
          <bgColor theme="5" tint="0.79998168889431442"/>
        </patternFill>
      </fill>
    </dxf>
    <dxf>
      <font>
        <sz val="8"/>
        <name val="Book Antiqua"/>
        <scheme val="none"/>
      </font>
      <fill>
        <patternFill patternType="solid">
          <fgColor theme="0"/>
          <bgColor theme="3" tint="0.39994506668294322"/>
        </patternFill>
      </fill>
      <border>
        <left style="thin">
          <color theme="1" tint="0.499984740745262"/>
        </left>
        <right style="thin">
          <color theme="1" tint="0.499984740745262"/>
        </right>
        <top style="thin">
          <color theme="1" tint="0.499984740745262"/>
        </top>
        <bottom style="thin">
          <color theme="1" tint="0.499984740745262"/>
        </bottom>
      </border>
    </dxf>
    <dxf>
      <font>
        <sz val="11"/>
        <color theme="0"/>
        <name val="Calibri"/>
        <scheme val="minor"/>
      </font>
    </dxf>
    <dxf>
      <fill>
        <patternFill patternType="solid">
          <fgColor theme="0"/>
          <bgColor rgb="FF002060"/>
        </patternFill>
      </fill>
      <border>
        <left style="thin">
          <color theme="1" tint="-0.499984740745262"/>
        </left>
        <right style="thin">
          <color theme="1" tint="-0.499984740745262"/>
        </right>
        <top style="thin">
          <color theme="1" tint="-0.499984740745262"/>
        </top>
        <bottom style="thin">
          <color theme="1" tint="-0.499984740745262"/>
        </bottom>
      </border>
    </dxf>
  </dxfs>
  <tableStyles count="5" defaultTableStyle="TableStyleMedium2" defaultPivotStyle="PivotStyleLight16">
    <tableStyle name="Estilo de Linha do Tempo 1" pivot="0" table="0" count="9" xr9:uid="{00000000-0011-0000-FFFF-FFFF00000000}">
      <tableStyleElement type="wholeTable" dxfId="364"/>
      <tableStyleElement type="headerRow" dxfId="363"/>
    </tableStyle>
    <tableStyle name="Estilo de Linha do Tempo 2" pivot="0" table="0" count="9" xr9:uid="{00000000-0011-0000-FFFF-FFFF01000000}">
      <tableStyleElement type="wholeTable" dxfId="362"/>
      <tableStyleElement type="headerRow" dxfId="361"/>
    </tableStyle>
    <tableStyle name="Estilo de Tabela 1" pivot="0" count="1" xr9:uid="{00000000-0011-0000-FFFF-FFFF02000000}">
      <tableStyleElement type="wholeTable" dxfId="360"/>
    </tableStyle>
    <tableStyle name="Estilo de Tabela 2" pivot="0" count="4" xr9:uid="{00000000-0011-0000-FFFF-FFFF03000000}">
      <tableStyleElement type="wholeTable" dxfId="359"/>
      <tableStyleElement type="headerRow" dxfId="358"/>
      <tableStyleElement type="firstColumn" dxfId="357"/>
      <tableStyleElement type="firstRowStripe" dxfId="356"/>
    </tableStyle>
    <tableStyle name="SlicerStyleDark1 2" pivot="0" table="0" count="10" xr9:uid="{00000000-0011-0000-FFFF-FFFF04000000}">
      <tableStyleElement type="wholeTable" dxfId="355"/>
      <tableStyleElement type="headerRow" dxfId="354"/>
    </tableStyle>
  </tableStyles>
  <colors>
    <mruColors>
      <color rgb="FF00B1EB"/>
      <color rgb="FF00235C"/>
      <color rgb="FF0000CC"/>
      <color rgb="FF000308"/>
      <color rgb="FFFDD5D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diagonalUp="0" diagonalDown="0">
            <left/>
            <right/>
            <top/>
            <bottom/>
            <vertical/>
            <horizontal/>
          </border>
        </dxf>
        <dxf>
          <font>
            <color rgb="FF000000"/>
          </font>
          <fill>
            <gradientFill degree="90">
              <stop position="0">
                <color rgb="FFF8E162"/>
              </stop>
              <stop position="1">
                <color rgb="FFFCF7E0"/>
              </stop>
            </gradientFill>
          </fill>
          <border diagonalUp="0" diagonalDown="0">
            <left/>
            <right/>
            <top/>
            <bottom/>
            <vertical/>
            <horizontal/>
          </border>
        </dxf>
        <dxf>
          <font>
            <color rgb="FF000000"/>
          </font>
          <fill>
            <gradientFill degree="90">
              <stop position="0">
                <color rgb="FFF8E162"/>
              </stop>
              <stop position="1">
                <color rgb="FFFCF7E0"/>
              </stop>
            </gradientFill>
          </fill>
          <border diagonalUp="0" diagonalDown="0">
            <left/>
            <right/>
            <top/>
            <bottom/>
            <vertical/>
            <horizontal/>
          </border>
        </dxf>
        <dxf>
          <font>
            <color rgb="FF00235C"/>
          </font>
          <fill>
            <gradientFill degree="90">
              <stop position="0">
                <color rgb="FFF8E162"/>
              </stop>
              <stop position="1">
                <color rgb="FFFCF7E0"/>
              </stop>
            </gradientFill>
          </fill>
          <border diagonalUp="0" diagonalDown="0">
            <left/>
            <right/>
            <top/>
            <bottom/>
            <vertical/>
            <horizontal/>
          </border>
        </dxf>
        <dxf>
          <font>
            <color theme="4" tint="-0.249977111117893"/>
          </font>
          <fill>
            <patternFill patternType="solid">
              <fgColor theme="4" tint="0.59999389629810485"/>
              <bgColor theme="4" tint="0.59999389629810485"/>
            </patternFill>
          </fill>
          <border diagonalUp="0" diagonalDown="0">
            <left/>
            <right/>
            <top/>
            <bottom/>
            <vertical/>
            <horizontal/>
          </border>
        </dxf>
        <dxf>
          <font>
            <color theme="0"/>
          </font>
          <fill>
            <patternFill patternType="solid">
              <fgColor theme="4"/>
              <bgColor theme="5"/>
            </patternFill>
          </fill>
          <border diagonalUp="0" diagonalDown="0">
            <left/>
            <right/>
            <top/>
            <bottom/>
            <vertical/>
            <horizontal/>
          </border>
        </dxf>
        <dxf>
          <font>
            <color rgb="FF959595"/>
          </font>
          <fill>
            <patternFill patternType="solid">
              <fgColor rgb="FFDFDFDF"/>
              <bgColor rgb="FFDFDFDF"/>
            </patternFill>
          </fill>
          <border diagonalUp="0" diagonalDown="0">
            <left/>
            <right/>
            <top/>
            <bottom/>
            <vertical/>
            <horizontal/>
          </border>
        </dxf>
        <dxf>
          <font>
            <color rgb="FF000000"/>
          </font>
          <fill>
            <patternFill patternType="solid">
              <fgColor rgb="FFC0C0C0"/>
              <bgColor rgb="FFC0C0C0"/>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bgColor theme="3" tint="0.59996337778862885"/>
            </patternFill>
          </fill>
        </dxf>
        <dxf>
          <fill>
            <patternFill patternType="solid">
              <fgColor theme="0" tint="-0.14996795556505021"/>
              <bgColor theme="0"/>
            </patternFill>
          </fill>
        </dxf>
        <dxf>
          <fill>
            <patternFill patternType="solid">
              <fgColor theme="0"/>
              <bgColor theme="5"/>
            </patternFill>
          </fill>
          <border>
            <left style="thin">
              <color theme="3"/>
            </left>
            <right style="thin">
              <color theme="3"/>
            </right>
            <top style="thin">
              <color theme="3"/>
            </top>
            <bottom style="thin">
              <color theme="3"/>
            </bottom>
          </border>
        </dxf>
        <dxf>
          <font>
            <sz val="8"/>
            <color theme="0"/>
            <name val="Book Antiqua"/>
            <scheme val="none"/>
          </font>
        </dxf>
        <dxf>
          <font>
            <sz val="8"/>
            <color theme="0"/>
            <name val="Book Antiqua"/>
            <scheme val="none"/>
          </font>
        </dxf>
        <dxf>
          <font>
            <sz val="8"/>
            <color theme="0"/>
            <name val="Book Antiqua"/>
            <scheme val="none"/>
          </font>
        </dxf>
        <dxf>
          <font>
            <sz val="8"/>
            <color theme="0"/>
            <name val="Book Antiqua"/>
            <scheme val="none"/>
          </font>
        </dxf>
        <dxf>
          <fill>
            <patternFill>
              <bgColor theme="0" tint="-0.14996795556505021"/>
            </patternFill>
          </fill>
        </dxf>
        <dxf>
          <fill>
            <patternFill patternType="solid">
              <fgColor theme="0" tint="-0.14999847407452621"/>
              <bgColor theme="0" tint="-0.14999847407452621"/>
            </patternFill>
          </fill>
        </dxf>
        <dxf>
          <fill>
            <patternFill patternType="solid">
              <fgColor theme="0"/>
              <bgColor theme="4" tint="0.79998168889431442"/>
            </patternFill>
          </fill>
        </dxf>
        <dxf>
          <font>
            <sz val="9"/>
            <color theme="0" tint="-0.14996795556505021"/>
            <name val="Calibri"/>
            <scheme val="minor"/>
          </font>
        </dxf>
        <dxf>
          <font>
            <sz val="9"/>
            <color theme="0" tint="-0.14996795556505021"/>
            <name val="Calibri"/>
            <scheme val="minor"/>
          </font>
        </dxf>
        <dxf>
          <font>
            <sz val="9"/>
            <color theme="2" tint="-9.9948118533890809E-2"/>
            <name val="Calibri"/>
            <scheme val="minor"/>
          </font>
        </dxf>
        <dxf>
          <font>
            <sz val="10"/>
            <color theme="0"/>
            <name val="Calibri"/>
            <scheme val="minor"/>
          </font>
        </dxf>
      </x15:dxfs>
    </ext>
    <ext xmlns:x15="http://schemas.microsoft.com/office/spreadsheetml/2010/11/main" uri="{9260A510-F301-46a8-8635-F512D64BE5F5}">
      <x15:timelineStyles defaultTimelineStyle="Estilo de Linha do Tempo 2">
        <x15:timelineStyle name="Estilo de Linha do Tempo 1">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Estilo de Linha do Tempo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18" Type="http://schemas.openxmlformats.org/officeDocument/2006/relationships/customXml" Target="../customXml/item4.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microsoft.com/office/2007/relationships/slicerCache" Target="slicerCaches/slicerCache4.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Ocorrências Forms  30-07.xlsm]Tabela_Dinâmica!Tabela dinâmica4</c:name>
    <c:fmtId val="8"/>
  </c:pivotSource>
  <c:chart>
    <c:title>
      <c:tx>
        <c:rich>
          <a:bodyPr rot="0" spcFirstLastPara="1" vertOverflow="ellipsis" vert="horz" wrap="square" anchor="ctr" anchorCtr="1"/>
          <a:lstStyle/>
          <a:p>
            <a:pPr>
              <a:defRPr sz="1000" b="1" i="0" u="none" strike="noStrike" kern="1200" baseline="0">
                <a:solidFill>
                  <a:schemeClr val="bg2">
                    <a:lumMod val="25000"/>
                  </a:schemeClr>
                </a:solidFill>
                <a:latin typeface="Montserrat" panose="00000500000000000000" pitchFamily="2" charset="0"/>
                <a:ea typeface="+mn-ea"/>
                <a:cs typeface="+mn-cs"/>
              </a:defRPr>
            </a:pPr>
            <a:r>
              <a:rPr lang="en-US" sz="1000">
                <a:latin typeface="Montserrat" panose="00000500000000000000" pitchFamily="2" charset="0"/>
              </a:rPr>
              <a:t>PROCEDÊNCIA</a:t>
            </a:r>
          </a:p>
        </c:rich>
      </c:tx>
      <c:layout>
        <c:manualLayout>
          <c:xMode val="edge"/>
          <c:yMode val="edge"/>
          <c:x val="0.42260425293249027"/>
          <c:y val="7.3937153419593345E-3"/>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bg2">
                  <a:lumMod val="25000"/>
                </a:schemeClr>
              </a:solidFill>
              <a:latin typeface="Montserrat" panose="00000500000000000000" pitchFamily="2" charset="0"/>
              <a:ea typeface="+mn-ea"/>
              <a:cs typeface="+mn-cs"/>
            </a:defRPr>
          </a:pPr>
          <a:endParaRPr lang="en-US"/>
        </a:p>
      </c:txPr>
    </c:title>
    <c:autoTitleDeleted val="0"/>
    <c:pivotFmts>
      <c:pivotFmt>
        <c:idx val="0"/>
        <c:dLbl>
          <c:idx val="0"/>
          <c:showLegendKey val="0"/>
          <c:showVal val="0"/>
          <c:showCatName val="0"/>
          <c:showSerName val="0"/>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25000"/>
                    </a:schemeClr>
                  </a:solidFill>
                  <a:latin typeface="Aptos Narrow" panose="020B000402020202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pivotFmt>
      <c:pivotFmt>
        <c:idx val="9"/>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pivotFmt>
      <c:pivotFmt>
        <c:idx val="10"/>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pivotFmt>
      <c:pivotFmt>
        <c:idx val="11"/>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pivotFmt>
      <c:pivotFmt>
        <c:idx val="12"/>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pivotFmt>
      <c:pivotFmt>
        <c:idx val="13"/>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pivotFmt>
      <c:pivotFmt>
        <c:idx val="14"/>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pivotFmt>
      <c:pivotFmt>
        <c:idx val="15"/>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pivotFmt>
      <c:pivotFmt>
        <c:idx val="16"/>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pivotFmt>
      <c:pivotFmt>
        <c:idx val="17"/>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pivotFmt>
      <c:pivotFmt>
        <c:idx val="18"/>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pivotFmt>
    </c:pivotFmts>
    <c:plotArea>
      <c:layout>
        <c:manualLayout>
          <c:layoutTarget val="inner"/>
          <c:xMode val="edge"/>
          <c:yMode val="edge"/>
          <c:x val="0.36601983182820008"/>
          <c:y val="0.13735019721425765"/>
          <c:w val="0.25901384196758376"/>
          <c:h val="0.86034727174814796"/>
        </c:manualLayout>
      </c:layout>
      <c:doughnutChart>
        <c:varyColors val="1"/>
        <c:ser>
          <c:idx val="0"/>
          <c:order val="0"/>
          <c:tx>
            <c:strRef>
              <c:f>Tabela_Dinâmica!$B$3</c:f>
              <c:strCache>
                <c:ptCount val="1"/>
                <c:pt idx="0">
                  <c:v>Total</c:v>
                </c:pt>
              </c:strCache>
            </c:strRef>
          </c:tx>
          <c:spPr>
            <a:scene3d>
              <a:camera prst="orthographicFront"/>
              <a:lightRig rig="threePt" dir="t"/>
            </a:scene3d>
            <a:sp3d>
              <a:bevelT/>
            </a:sp3d>
          </c:spPr>
          <c:dPt>
            <c:idx val="0"/>
            <c:bubble3D val="0"/>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extLst>
              <c:ext xmlns:c16="http://schemas.microsoft.com/office/drawing/2014/chart" uri="{C3380CC4-5D6E-409C-BE32-E72D297353CC}">
                <c16:uniqueId val="{00000001-B5FE-49DD-86E1-8948DA6563FD}"/>
              </c:ext>
            </c:extLst>
          </c:dPt>
          <c:dPt>
            <c:idx val="1"/>
            <c:bubble3D val="0"/>
            <c:spPr>
              <a:solidFill>
                <a:schemeClr val="accent2"/>
              </a:solidFill>
              <a:ln>
                <a:noFill/>
              </a:ln>
              <a:effectLst>
                <a:outerShdw blurRad="317500" algn="ctr" rotWithShape="0">
                  <a:prstClr val="black">
                    <a:alpha val="25000"/>
                  </a:prstClr>
                </a:outerShdw>
              </a:effectLst>
              <a:scene3d>
                <a:camera prst="orthographicFront"/>
                <a:lightRig rig="threePt" dir="t"/>
              </a:scene3d>
              <a:sp3d>
                <a:bevelT/>
              </a:sp3d>
            </c:spPr>
            <c:extLst>
              <c:ext xmlns:c16="http://schemas.microsoft.com/office/drawing/2014/chart" uri="{C3380CC4-5D6E-409C-BE32-E72D297353CC}">
                <c16:uniqueId val="{00000003-B5FE-49DD-86E1-8948DA6563FD}"/>
              </c:ext>
            </c:extLst>
          </c:dPt>
          <c:dPt>
            <c:idx val="2"/>
            <c:bubble3D val="0"/>
            <c:spPr>
              <a:solidFill>
                <a:schemeClr val="accent3"/>
              </a:solidFill>
              <a:ln>
                <a:noFill/>
              </a:ln>
              <a:effectLst>
                <a:outerShdw blurRad="317500" algn="ctr" rotWithShape="0">
                  <a:prstClr val="black">
                    <a:alpha val="25000"/>
                  </a:prstClr>
                </a:outerShdw>
              </a:effectLst>
              <a:scene3d>
                <a:camera prst="orthographicFront"/>
                <a:lightRig rig="threePt" dir="t"/>
              </a:scene3d>
              <a:sp3d>
                <a:bevelT/>
              </a:sp3d>
            </c:spPr>
            <c:extLst>
              <c:ext xmlns:c16="http://schemas.microsoft.com/office/drawing/2014/chart" uri="{C3380CC4-5D6E-409C-BE32-E72D297353CC}">
                <c16:uniqueId val="{00000005-B5FE-49DD-86E1-8948DA6563FD}"/>
              </c:ext>
            </c:extLst>
          </c:dPt>
          <c:dPt>
            <c:idx val="3"/>
            <c:bubble3D val="0"/>
            <c:spPr>
              <a:solidFill>
                <a:schemeClr val="accent4"/>
              </a:solidFill>
              <a:ln>
                <a:noFill/>
              </a:ln>
              <a:effectLst>
                <a:outerShdw blurRad="317500" algn="ctr" rotWithShape="0">
                  <a:prstClr val="black">
                    <a:alpha val="25000"/>
                  </a:prstClr>
                </a:outerShdw>
              </a:effectLst>
              <a:scene3d>
                <a:camera prst="orthographicFront"/>
                <a:lightRig rig="threePt" dir="t"/>
              </a:scene3d>
              <a:sp3d>
                <a:bevelT/>
              </a:sp3d>
            </c:spPr>
            <c:extLst>
              <c:ext xmlns:c16="http://schemas.microsoft.com/office/drawing/2014/chart" uri="{C3380CC4-5D6E-409C-BE32-E72D297353CC}">
                <c16:uniqueId val="{00000007-B5FE-49DD-86E1-8948DA6563FD}"/>
              </c:ext>
            </c:extLst>
          </c:dPt>
          <c:dPt>
            <c:idx val="4"/>
            <c:bubble3D val="0"/>
            <c:spPr>
              <a:solidFill>
                <a:schemeClr val="accent5"/>
              </a:solidFill>
              <a:ln>
                <a:noFill/>
              </a:ln>
              <a:effectLst>
                <a:outerShdw blurRad="317500" algn="ctr" rotWithShape="0">
                  <a:prstClr val="black">
                    <a:alpha val="25000"/>
                  </a:prstClr>
                </a:outerShdw>
              </a:effectLst>
              <a:scene3d>
                <a:camera prst="orthographicFront"/>
                <a:lightRig rig="threePt" dir="t"/>
              </a:scene3d>
              <a:sp3d>
                <a:bevelT/>
              </a:sp3d>
            </c:spPr>
            <c:extLst>
              <c:ext xmlns:c16="http://schemas.microsoft.com/office/drawing/2014/chart" uri="{C3380CC4-5D6E-409C-BE32-E72D297353CC}">
                <c16:uniqueId val="{00000009-B5FE-49DD-86E1-8948DA6563FD}"/>
              </c:ext>
            </c:extLst>
          </c:dPt>
          <c:dPt>
            <c:idx val="5"/>
            <c:bubble3D val="0"/>
            <c:spPr>
              <a:solidFill>
                <a:schemeClr val="accent6"/>
              </a:solidFill>
              <a:ln>
                <a:noFill/>
              </a:ln>
              <a:effectLst>
                <a:outerShdw blurRad="317500" algn="ctr" rotWithShape="0">
                  <a:prstClr val="black">
                    <a:alpha val="25000"/>
                  </a:prstClr>
                </a:outerShdw>
              </a:effectLst>
              <a:scene3d>
                <a:camera prst="orthographicFront"/>
                <a:lightRig rig="threePt" dir="t"/>
              </a:scene3d>
              <a:sp3d>
                <a:bevelT/>
              </a:sp3d>
            </c:spPr>
            <c:extLst>
              <c:ext xmlns:c16="http://schemas.microsoft.com/office/drawing/2014/chart" uri="{C3380CC4-5D6E-409C-BE32-E72D297353CC}">
                <c16:uniqueId val="{0000000B-3E1D-48D4-B4FF-26D0068227A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25000"/>
                      </a:schemeClr>
                    </a:solidFill>
                    <a:latin typeface="Aptos Narrow" panose="020B0004020202020204" pitchFamily="34" charset="0"/>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Tabela_Dinâmica!$A$4:$A$8</c:f>
              <c:strCache>
                <c:ptCount val="4"/>
                <c:pt idx="0">
                  <c:v>DESCONSIDERADA</c:v>
                </c:pt>
                <c:pt idx="1">
                  <c:v>IMPROCEDENTE</c:v>
                </c:pt>
                <c:pt idx="2">
                  <c:v>PENDENTE</c:v>
                </c:pt>
                <c:pt idx="3">
                  <c:v>PROCEDENTE</c:v>
                </c:pt>
              </c:strCache>
            </c:strRef>
          </c:cat>
          <c:val>
            <c:numRef>
              <c:f>Tabela_Dinâmica!$B$4:$B$8</c:f>
              <c:numCache>
                <c:formatCode>General</c:formatCode>
                <c:ptCount val="4"/>
                <c:pt idx="0">
                  <c:v>6</c:v>
                </c:pt>
                <c:pt idx="1">
                  <c:v>21</c:v>
                </c:pt>
                <c:pt idx="2">
                  <c:v>3</c:v>
                </c:pt>
                <c:pt idx="3">
                  <c:v>32</c:v>
                </c:pt>
              </c:numCache>
            </c:numRef>
          </c:val>
          <c:extLst>
            <c:ext xmlns:c16="http://schemas.microsoft.com/office/drawing/2014/chart" uri="{C3380CC4-5D6E-409C-BE32-E72D297353CC}">
              <c16:uniqueId val="{0000000A-B5FE-49DD-86E1-8948DA6563FD}"/>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700" b="0" i="0" u="none" strike="noStrike" kern="1200" baseline="0">
              <a:solidFill>
                <a:schemeClr val="bg2">
                  <a:lumMod val="2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dk1">
          <a:lumMod val="15000"/>
          <a:lumOff val="85000"/>
        </a:schemeClr>
      </a:solidFill>
      <a:round/>
    </a:ln>
    <a:effectLst/>
  </c:spPr>
  <c:txPr>
    <a:bodyPr/>
    <a:lstStyle/>
    <a:p>
      <a:pPr>
        <a:defRPr>
          <a:solidFill>
            <a:schemeClr val="bg2">
              <a:lumMod val="25000"/>
            </a:schemeClr>
          </a:solidFill>
          <a:latin typeface="Aptos Narrow" panose="020B0004020202020204" pitchFamily="34" charset="0"/>
        </a:defRPr>
      </a:pPr>
      <a:endParaRPr lang="en-US"/>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Ocorrências Forms  30-07.xlsm]Tabela_Dinâmica!Tabela dinâmica5</c:name>
    <c:fmtId val="7"/>
  </c:pivotSource>
  <c:chart>
    <c:title>
      <c:tx>
        <c:rich>
          <a:bodyPr rot="0" spcFirstLastPara="1" vertOverflow="ellipsis" vert="horz" wrap="square" anchor="ctr" anchorCtr="1"/>
          <a:lstStyle/>
          <a:p>
            <a:pPr>
              <a:defRPr sz="960" b="1" i="0" u="none" strike="noStrike" kern="1200" spc="0" baseline="0">
                <a:solidFill>
                  <a:schemeClr val="bg2">
                    <a:lumMod val="25000"/>
                  </a:schemeClr>
                </a:solidFill>
                <a:latin typeface="Montserrat" panose="00000500000000000000" pitchFamily="2" charset="0"/>
                <a:ea typeface="+mn-ea"/>
                <a:cs typeface="+mn-cs"/>
              </a:defRPr>
            </a:pPr>
            <a:r>
              <a:rPr lang="en-US" b="1">
                <a:latin typeface="Montserrat" panose="00000500000000000000" pitchFamily="2" charset="0"/>
              </a:rPr>
              <a:t>TIPO DE DIVERGÊNCIA</a:t>
            </a:r>
          </a:p>
        </c:rich>
      </c:tx>
      <c:layout>
        <c:manualLayout>
          <c:xMode val="edge"/>
          <c:yMode val="edge"/>
          <c:x val="0.22829378163909889"/>
          <c:y val="3.1609535128273733E-2"/>
        </c:manualLayout>
      </c:layout>
      <c:overlay val="0"/>
      <c:spPr>
        <a:noFill/>
        <a:ln>
          <a:noFill/>
        </a:ln>
        <a:effectLst/>
      </c:spPr>
      <c:txPr>
        <a:bodyPr rot="0" spcFirstLastPara="1" vertOverflow="ellipsis" vert="horz" wrap="square" anchor="ctr" anchorCtr="1"/>
        <a:lstStyle/>
        <a:p>
          <a:pPr>
            <a:defRPr sz="960" b="1" i="0" u="none" strike="noStrike" kern="1200" spc="0" baseline="0">
              <a:solidFill>
                <a:schemeClr val="bg2">
                  <a:lumMod val="25000"/>
                </a:schemeClr>
              </a:solidFill>
              <a:latin typeface="Montserrat" panose="00000500000000000000" pitchFamily="2" charset="0"/>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800" b="1" i="0" u="none" strike="noStrike" kern="1200" baseline="0">
                  <a:solidFill>
                    <a:schemeClr val="bg2">
                      <a:lumMod val="25000"/>
                    </a:schemeClr>
                  </a:solidFill>
                  <a:latin typeface="Aptos Narrow" panose="020B000402020202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w="25400">
            <a:noFill/>
          </a:ln>
          <a:effectLst/>
          <a:scene3d>
            <a:camera prst="orthographicFront"/>
            <a:lightRig rig="threePt" dir="t"/>
          </a:scene3d>
          <a:sp3d>
            <a:bevelT/>
          </a:sp3d>
        </c:spPr>
      </c:pivotFmt>
      <c:pivotFmt>
        <c:idx val="9"/>
        <c:spPr>
          <a:solidFill>
            <a:schemeClr val="accent1"/>
          </a:solidFill>
          <a:ln w="25400">
            <a:noFill/>
          </a:ln>
          <a:effectLst/>
          <a:scene3d>
            <a:camera prst="orthographicFront"/>
            <a:lightRig rig="threePt" dir="t"/>
          </a:scene3d>
          <a:sp3d>
            <a:bevelT/>
          </a:sp3d>
        </c:spPr>
      </c:pivotFmt>
      <c:pivotFmt>
        <c:idx val="10"/>
        <c:spPr>
          <a:solidFill>
            <a:schemeClr val="accent1"/>
          </a:solidFill>
          <a:ln w="25400">
            <a:noFill/>
          </a:ln>
          <a:effectLst/>
          <a:sp3d/>
        </c:spPr>
      </c:pivotFmt>
      <c:pivotFmt>
        <c:idx val="11"/>
        <c:spPr>
          <a:solidFill>
            <a:schemeClr val="accent1"/>
          </a:solidFill>
          <a:ln w="25400">
            <a:noFill/>
          </a:ln>
          <a:effectLst/>
          <a:scene3d>
            <a:camera prst="orthographicFront"/>
            <a:lightRig rig="threePt" dir="t"/>
          </a:scene3d>
          <a:sp3d>
            <a:bevelT/>
          </a:sp3d>
        </c:spPr>
      </c:pivotFmt>
      <c:pivotFmt>
        <c:idx val="12"/>
        <c:spPr>
          <a:solidFill>
            <a:schemeClr val="accent1"/>
          </a:solidFill>
          <a:ln w="25400">
            <a:noFill/>
          </a:ln>
          <a:effectLst/>
          <a:scene3d>
            <a:camera prst="orthographicFront"/>
            <a:lightRig rig="threePt" dir="t"/>
          </a:scene3d>
          <a:sp3d>
            <a:bevelT/>
          </a:sp3d>
        </c:spPr>
      </c:pivotFmt>
      <c:pivotFmt>
        <c:idx val="13"/>
        <c:spPr>
          <a:solidFill>
            <a:schemeClr val="accent1"/>
          </a:solidFill>
          <a:ln w="25400">
            <a:noFill/>
          </a:ln>
          <a:effectLst/>
          <a:scene3d>
            <a:camera prst="orthographicFront"/>
            <a:lightRig rig="threePt" dir="t"/>
          </a:scene3d>
          <a:sp3d>
            <a:bevelT/>
          </a:sp3d>
        </c:spPr>
      </c:pivotFmt>
      <c:pivotFmt>
        <c:idx val="14"/>
        <c:spPr>
          <a:solidFill>
            <a:schemeClr val="accent1"/>
          </a:solidFill>
          <a:ln w="25400">
            <a:noFill/>
          </a:ln>
          <a:effectLst/>
          <a:sp3d/>
        </c:spPr>
      </c:pivotFmt>
      <c:pivotFmt>
        <c:idx val="15"/>
        <c:spPr>
          <a:solidFill>
            <a:schemeClr val="accent1"/>
          </a:solidFill>
          <a:ln w="25400">
            <a:noFill/>
          </a:ln>
          <a:effectLst/>
          <a:scene3d>
            <a:camera prst="orthographicFront"/>
            <a:lightRig rig="threePt" dir="t"/>
          </a:scene3d>
          <a:sp3d>
            <a:bevel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34901721764150806"/>
          <c:w val="0.60791318303755082"/>
          <c:h val="0.63273177296845751"/>
        </c:manualLayout>
      </c:layout>
      <c:pie3DChart>
        <c:varyColors val="1"/>
        <c:ser>
          <c:idx val="0"/>
          <c:order val="0"/>
          <c:tx>
            <c:strRef>
              <c:f>Tabela_Dinâmica!$B$13</c:f>
              <c:strCache>
                <c:ptCount val="1"/>
                <c:pt idx="0">
                  <c:v>Total</c:v>
                </c:pt>
              </c:strCache>
            </c:strRef>
          </c:tx>
          <c:spPr>
            <a:ln>
              <a:noFill/>
            </a:ln>
            <a:scene3d>
              <a:camera prst="orthographicFront"/>
              <a:lightRig rig="threePt" dir="t"/>
            </a:scene3d>
            <a:sp3d>
              <a:bevelT/>
            </a:sp3d>
          </c:spPr>
          <c:dPt>
            <c:idx val="0"/>
            <c:bubble3D val="0"/>
            <c:spPr>
              <a:solidFill>
                <a:schemeClr val="accent1"/>
              </a:solidFill>
              <a:ln w="25400">
                <a:noFill/>
              </a:ln>
              <a:effectLst/>
              <a:scene3d>
                <a:camera prst="orthographicFront"/>
                <a:lightRig rig="threePt" dir="t"/>
              </a:scene3d>
              <a:sp3d>
                <a:bevelT/>
              </a:sp3d>
            </c:spPr>
            <c:extLst>
              <c:ext xmlns:c16="http://schemas.microsoft.com/office/drawing/2014/chart" uri="{C3380CC4-5D6E-409C-BE32-E72D297353CC}">
                <c16:uniqueId val="{00000001-ADCA-4702-A454-7506478DBFF8}"/>
              </c:ext>
            </c:extLst>
          </c:dPt>
          <c:dPt>
            <c:idx val="1"/>
            <c:bubble3D val="0"/>
            <c:spPr>
              <a:solidFill>
                <a:schemeClr val="accent2"/>
              </a:solidFill>
              <a:ln w="25400">
                <a:noFill/>
              </a:ln>
              <a:effectLst/>
              <a:sp3d/>
            </c:spPr>
            <c:extLst>
              <c:ext xmlns:c16="http://schemas.microsoft.com/office/drawing/2014/chart" uri="{C3380CC4-5D6E-409C-BE32-E72D297353CC}">
                <c16:uniqueId val="{00000003-ADCA-4702-A454-7506478DBFF8}"/>
              </c:ext>
            </c:extLst>
          </c:dPt>
          <c:dPt>
            <c:idx val="2"/>
            <c:bubble3D val="0"/>
            <c:spPr>
              <a:solidFill>
                <a:schemeClr val="accent3"/>
              </a:solidFill>
              <a:ln w="25400">
                <a:noFill/>
              </a:ln>
              <a:effectLst/>
              <a:scene3d>
                <a:camera prst="orthographicFront"/>
                <a:lightRig rig="threePt" dir="t"/>
              </a:scene3d>
              <a:sp3d>
                <a:bevelT/>
              </a:sp3d>
            </c:spPr>
            <c:extLst>
              <c:ext xmlns:c16="http://schemas.microsoft.com/office/drawing/2014/chart" uri="{C3380CC4-5D6E-409C-BE32-E72D297353CC}">
                <c16:uniqueId val="{00000005-ADCA-4702-A454-7506478DBFF8}"/>
              </c:ext>
            </c:extLst>
          </c:dPt>
          <c:dPt>
            <c:idx val="3"/>
            <c:bubble3D val="0"/>
            <c:spPr>
              <a:solidFill>
                <a:schemeClr val="accent4"/>
              </a:solidFill>
              <a:ln w="25400">
                <a:noFill/>
              </a:ln>
              <a:effectLst/>
              <a:scene3d>
                <a:camera prst="orthographicFront"/>
                <a:lightRig rig="threePt" dir="t"/>
              </a:scene3d>
              <a:sp3d>
                <a:bevelT/>
              </a:sp3d>
            </c:spPr>
            <c:extLst>
              <c:ext xmlns:c16="http://schemas.microsoft.com/office/drawing/2014/chart" uri="{C3380CC4-5D6E-409C-BE32-E72D297353CC}">
                <c16:uniqueId val="{00000007-ADCA-4702-A454-7506478DBFF8}"/>
              </c:ext>
            </c:extLst>
          </c:dPt>
          <c:dPt>
            <c:idx val="4"/>
            <c:bubble3D val="0"/>
            <c:spPr>
              <a:solidFill>
                <a:schemeClr val="accent5"/>
              </a:solidFill>
              <a:ln w="25400">
                <a:noFill/>
              </a:ln>
              <a:effectLst/>
              <a:scene3d>
                <a:camera prst="orthographicFront"/>
                <a:lightRig rig="threePt" dir="t"/>
              </a:scene3d>
              <a:sp3d>
                <a:bevelT/>
              </a:sp3d>
            </c:spPr>
            <c:extLst>
              <c:ext xmlns:c16="http://schemas.microsoft.com/office/drawing/2014/chart" uri="{C3380CC4-5D6E-409C-BE32-E72D297353CC}">
                <c16:uniqueId val="{00000009-ADCA-4702-A454-7506478DBFF8}"/>
              </c:ext>
            </c:extLst>
          </c:dPt>
          <c:dPt>
            <c:idx val="5"/>
            <c:bubble3D val="0"/>
            <c:spPr>
              <a:solidFill>
                <a:schemeClr val="accent6"/>
              </a:solidFill>
              <a:ln w="25400">
                <a:noFill/>
              </a:ln>
              <a:effectLst/>
              <a:scene3d>
                <a:camera prst="orthographicFront"/>
                <a:lightRig rig="threePt" dir="t"/>
              </a:scene3d>
              <a:sp3d>
                <a:bevelT/>
              </a:sp3d>
            </c:spPr>
            <c:extLst>
              <c:ext xmlns:c16="http://schemas.microsoft.com/office/drawing/2014/chart" uri="{C3380CC4-5D6E-409C-BE32-E72D297353CC}">
                <c16:uniqueId val="{0000000B-AA06-4452-9701-890E8E64F9F4}"/>
              </c:ext>
            </c:extLst>
          </c:dPt>
          <c:dLbls>
            <c:spPr>
              <a:noFill/>
              <a:ln>
                <a:noFill/>
              </a:ln>
              <a:effectLst/>
            </c:spPr>
            <c:txPr>
              <a:bodyPr rot="0" spcFirstLastPara="1" vertOverflow="ellipsis" vert="horz" wrap="square" anchor="ctr" anchorCtr="1"/>
              <a:lstStyle/>
              <a:p>
                <a:pPr>
                  <a:defRPr sz="800" b="1" i="0" u="none" strike="noStrike" kern="1200" baseline="0">
                    <a:solidFill>
                      <a:schemeClr val="bg2">
                        <a:lumMod val="25000"/>
                      </a:schemeClr>
                    </a:solidFill>
                    <a:latin typeface="Aptos Narrow" panose="020B0004020202020204" pitchFamily="34" charset="0"/>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Tabela_Dinâmica!$A$14:$A$18</c:f>
              <c:strCache>
                <c:ptCount val="4"/>
                <c:pt idx="0">
                  <c:v>Falta de todos os produtos da Nota Fiscal</c:v>
                </c:pt>
                <c:pt idx="1">
                  <c:v>Inversão de Produto</c:v>
                </c:pt>
                <c:pt idx="2">
                  <c:v>Falta</c:v>
                </c:pt>
                <c:pt idx="3">
                  <c:v>Sobra</c:v>
                </c:pt>
              </c:strCache>
            </c:strRef>
          </c:cat>
          <c:val>
            <c:numRef>
              <c:f>Tabela_Dinâmica!$B$14:$B$18</c:f>
              <c:numCache>
                <c:formatCode>General</c:formatCode>
                <c:ptCount val="4"/>
                <c:pt idx="0">
                  <c:v>8</c:v>
                </c:pt>
                <c:pt idx="1">
                  <c:v>9</c:v>
                </c:pt>
                <c:pt idx="2">
                  <c:v>44</c:v>
                </c:pt>
                <c:pt idx="3">
                  <c:v>1</c:v>
                </c:pt>
              </c:numCache>
            </c:numRef>
          </c:val>
          <c:extLst>
            <c:ext xmlns:c16="http://schemas.microsoft.com/office/drawing/2014/chart" uri="{C3380CC4-5D6E-409C-BE32-E72D297353CC}">
              <c16:uniqueId val="{0000000A-ADCA-4702-A454-7506478DBFF8}"/>
            </c:ext>
          </c:extLst>
        </c:ser>
        <c:dLbls>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65653253608199635"/>
          <c:y val="0.22637212015164776"/>
          <c:w val="0.3434674639180037"/>
          <c:h val="0.59465618860510805"/>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bg2">
                  <a:lumMod val="2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800">
          <a:solidFill>
            <a:schemeClr val="bg2">
              <a:lumMod val="25000"/>
            </a:schemeClr>
          </a:solidFill>
          <a:latin typeface="Aptos Narrow" panose="020B0004020202020204" pitchFamily="34" charset="0"/>
        </a:defRPr>
      </a:pPr>
      <a:endParaRPr lang="en-US"/>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Ocorrências Forms  30-07.xlsm]Tabela_Dinâmica!Tabela dinâmica6</c:name>
    <c:fmtId val="3"/>
  </c:pivotSource>
  <c:chart>
    <c:title>
      <c:tx>
        <c:rich>
          <a:bodyPr rot="0" spcFirstLastPara="1" vertOverflow="ellipsis" vert="horz" wrap="square" anchor="ctr" anchorCtr="1"/>
          <a:lstStyle/>
          <a:p>
            <a:pPr>
              <a:defRPr sz="1000" b="1" i="0" u="none" strike="noStrike" kern="1200" spc="0" baseline="0">
                <a:solidFill>
                  <a:schemeClr val="bg2">
                    <a:lumMod val="25000"/>
                  </a:schemeClr>
                </a:solidFill>
                <a:latin typeface="Montserrat" panose="00000500000000000000" pitchFamily="2" charset="0"/>
                <a:ea typeface="+mn-ea"/>
                <a:cs typeface="+mn-cs"/>
              </a:defRPr>
            </a:pPr>
            <a:r>
              <a:rPr lang="en-US" sz="1000" b="1">
                <a:latin typeface="Montserrat" panose="00000500000000000000" pitchFamily="2" charset="0"/>
              </a:rPr>
              <a:t>TERRITÓRIO</a:t>
            </a:r>
          </a:p>
        </c:rich>
      </c:tx>
      <c:overlay val="0"/>
      <c:spPr>
        <a:noFill/>
        <a:ln>
          <a:noFill/>
        </a:ln>
        <a:effectLst/>
      </c:spPr>
      <c:txPr>
        <a:bodyPr rot="0" spcFirstLastPara="1" vertOverflow="ellipsis" vert="horz" wrap="square" anchor="ctr" anchorCtr="1"/>
        <a:lstStyle/>
        <a:p>
          <a:pPr>
            <a:defRPr sz="1000" b="1" i="0" u="none" strike="noStrike" kern="1200" spc="0" baseline="0">
              <a:solidFill>
                <a:schemeClr val="bg2">
                  <a:lumMod val="25000"/>
                </a:schemeClr>
              </a:solidFill>
              <a:latin typeface="Montserrat" panose="00000500000000000000" pitchFamily="2" charset="0"/>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800" b="1" i="0" u="none" strike="noStrike" kern="1200" baseline="0">
                  <a:solidFill>
                    <a:schemeClr val="bg2">
                      <a:lumMod val="25000"/>
                    </a:schemeClr>
                  </a:solidFill>
                  <a:latin typeface="Aptos Narrow" panose="020B000402020202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w="25400">
            <a:noFill/>
          </a:ln>
          <a:effectLst/>
          <a:scene3d>
            <a:camera prst="orthographicFront"/>
            <a:lightRig rig="threePt" dir="t"/>
          </a:scene3d>
          <a:sp3d>
            <a:bevelT/>
          </a:sp3d>
        </c:spPr>
      </c:pivotFmt>
      <c:pivotFmt>
        <c:idx val="8"/>
        <c:spPr>
          <a:solidFill>
            <a:schemeClr val="accent1"/>
          </a:solidFill>
          <a:ln w="25400">
            <a:noFill/>
          </a:ln>
          <a:effectLst/>
          <a:scene3d>
            <a:camera prst="orthographicFront"/>
            <a:lightRig rig="threePt" dir="t"/>
          </a:scene3d>
          <a:sp3d>
            <a:bevelT/>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noFill/>
          </a:ln>
          <a:effectLst/>
          <a:scene3d>
            <a:camera prst="orthographicFront"/>
            <a:lightRig rig="threePt" dir="t"/>
          </a:scene3d>
          <a:sp3d>
            <a:bevelT/>
          </a:sp3d>
        </c:spPr>
      </c:pivotFmt>
      <c:pivotFmt>
        <c:idx val="11"/>
        <c:spPr>
          <a:solidFill>
            <a:schemeClr val="accent1"/>
          </a:solidFill>
          <a:ln w="25400">
            <a:noFill/>
          </a:ln>
          <a:effectLst/>
          <a:scene3d>
            <a:camera prst="orthographicFront"/>
            <a:lightRig rig="threePt" dir="t"/>
          </a:scene3d>
          <a:sp3d>
            <a:bevelT/>
          </a:sp3d>
        </c:spPr>
      </c:pivotFmt>
      <c:pivotFmt>
        <c:idx val="12"/>
        <c:spPr>
          <a:solidFill>
            <a:schemeClr val="accent1"/>
          </a:solidFill>
          <a:ln w="25400">
            <a:noFill/>
          </a:ln>
          <a:effectLst/>
          <a:scene3d>
            <a:camera prst="orthographicFront"/>
            <a:lightRig rig="threePt" dir="t"/>
          </a:scene3d>
          <a:sp3d>
            <a:bevelT/>
          </a:sp3d>
        </c:spPr>
      </c:pivotFmt>
      <c:pivotFmt>
        <c:idx val="13"/>
        <c:spPr>
          <a:solidFill>
            <a:schemeClr val="accent1"/>
          </a:solidFill>
          <a:ln w="25400">
            <a:noFill/>
          </a:ln>
          <a:effectLst/>
          <a:scene3d>
            <a:camera prst="orthographicFront"/>
            <a:lightRig rig="threePt" dir="t"/>
          </a:scene3d>
          <a:sp3d>
            <a:bevelT/>
          </a:sp3d>
        </c:spPr>
      </c:pivotFmt>
      <c:pivotFmt>
        <c:idx val="14"/>
        <c:spPr>
          <a:solidFill>
            <a:schemeClr val="accent1"/>
          </a:solidFill>
          <a:ln w="25400">
            <a:noFill/>
          </a:ln>
          <a:effectLst/>
          <a:scene3d>
            <a:camera prst="orthographicFront"/>
            <a:lightRig rig="threePt" dir="t"/>
          </a:scene3d>
          <a:sp3d>
            <a:bevelT/>
          </a:sp3d>
        </c:spPr>
      </c:pivotFmt>
      <c:pivotFmt>
        <c:idx val="15"/>
        <c:spPr>
          <a:solidFill>
            <a:schemeClr val="accent1"/>
          </a:solidFill>
          <a:ln w="25400">
            <a:noFill/>
          </a:ln>
          <a:effectLst/>
          <a:scene3d>
            <a:camera prst="orthographicFront"/>
            <a:lightRig rig="threePt" dir="t"/>
          </a:scene3d>
          <a:sp3d>
            <a:bevelT/>
          </a:sp3d>
        </c:spPr>
      </c:pivotFmt>
      <c:pivotFmt>
        <c:idx val="16"/>
        <c:spPr>
          <a:solidFill>
            <a:schemeClr val="accent1"/>
          </a:solidFill>
          <a:ln w="25400">
            <a:noFill/>
          </a:ln>
          <a:effectLst/>
          <a:scene3d>
            <a:camera prst="orthographicFront"/>
            <a:lightRig rig="threePt" dir="t"/>
          </a:scene3d>
          <a:sp3d>
            <a:bevel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23111111111111116"/>
          <c:w val="0.79407435681173155"/>
          <c:h val="0.69284848484848471"/>
        </c:manualLayout>
      </c:layout>
      <c:pie3DChart>
        <c:varyColors val="1"/>
        <c:ser>
          <c:idx val="0"/>
          <c:order val="0"/>
          <c:tx>
            <c:strRef>
              <c:f>Tabela_Dinâmica!$G$13</c:f>
              <c:strCache>
                <c:ptCount val="1"/>
                <c:pt idx="0">
                  <c:v>Total</c:v>
                </c:pt>
              </c:strCache>
            </c:strRef>
          </c:tx>
          <c:spPr>
            <a:ln>
              <a:noFill/>
            </a:ln>
            <a:scene3d>
              <a:camera prst="orthographicFront"/>
              <a:lightRig rig="threePt" dir="t"/>
            </a:scene3d>
            <a:sp3d>
              <a:bevelT/>
            </a:sp3d>
          </c:spPr>
          <c:dPt>
            <c:idx val="0"/>
            <c:bubble3D val="0"/>
            <c:spPr>
              <a:solidFill>
                <a:schemeClr val="accent1"/>
              </a:solidFill>
              <a:ln w="25400">
                <a:noFill/>
              </a:ln>
              <a:effectLst/>
              <a:scene3d>
                <a:camera prst="orthographicFront"/>
                <a:lightRig rig="threePt" dir="t"/>
              </a:scene3d>
              <a:sp3d>
                <a:bevelT/>
              </a:sp3d>
            </c:spPr>
            <c:extLst>
              <c:ext xmlns:c16="http://schemas.microsoft.com/office/drawing/2014/chart" uri="{C3380CC4-5D6E-409C-BE32-E72D297353CC}">
                <c16:uniqueId val="{00000001-6E6D-4FDF-B461-E2AE1083FF16}"/>
              </c:ext>
            </c:extLst>
          </c:dPt>
          <c:dPt>
            <c:idx val="1"/>
            <c:bubble3D val="0"/>
            <c:spPr>
              <a:solidFill>
                <a:schemeClr val="accent2"/>
              </a:solidFill>
              <a:ln w="25400">
                <a:noFill/>
              </a:ln>
              <a:effectLst/>
              <a:scene3d>
                <a:camera prst="orthographicFront"/>
                <a:lightRig rig="threePt" dir="t"/>
              </a:scene3d>
              <a:sp3d>
                <a:bevelT/>
              </a:sp3d>
            </c:spPr>
            <c:extLst>
              <c:ext xmlns:c16="http://schemas.microsoft.com/office/drawing/2014/chart" uri="{C3380CC4-5D6E-409C-BE32-E72D297353CC}">
                <c16:uniqueId val="{00000003-6E6D-4FDF-B461-E2AE1083FF16}"/>
              </c:ext>
            </c:extLst>
          </c:dPt>
          <c:dPt>
            <c:idx val="2"/>
            <c:bubble3D val="0"/>
            <c:spPr>
              <a:solidFill>
                <a:schemeClr val="accent3"/>
              </a:solidFill>
              <a:ln w="25400">
                <a:noFill/>
              </a:ln>
              <a:effectLst/>
              <a:scene3d>
                <a:camera prst="orthographicFront"/>
                <a:lightRig rig="threePt" dir="t"/>
              </a:scene3d>
              <a:sp3d>
                <a:bevelT/>
              </a:sp3d>
            </c:spPr>
            <c:extLst>
              <c:ext xmlns:c16="http://schemas.microsoft.com/office/drawing/2014/chart" uri="{C3380CC4-5D6E-409C-BE32-E72D297353CC}">
                <c16:uniqueId val="{00000005-6E6D-4FDF-B461-E2AE1083FF16}"/>
              </c:ext>
            </c:extLst>
          </c:dPt>
          <c:dPt>
            <c:idx val="3"/>
            <c:bubble3D val="0"/>
            <c:spPr>
              <a:solidFill>
                <a:schemeClr val="accent4"/>
              </a:solidFill>
              <a:ln w="25400">
                <a:noFill/>
              </a:ln>
              <a:effectLst/>
              <a:scene3d>
                <a:camera prst="orthographicFront"/>
                <a:lightRig rig="threePt" dir="t"/>
              </a:scene3d>
              <a:sp3d>
                <a:bevelT/>
              </a:sp3d>
            </c:spPr>
            <c:extLst>
              <c:ext xmlns:c16="http://schemas.microsoft.com/office/drawing/2014/chart" uri="{C3380CC4-5D6E-409C-BE32-E72D297353CC}">
                <c16:uniqueId val="{00000007-6E6D-4FDF-B461-E2AE1083FF16}"/>
              </c:ext>
            </c:extLst>
          </c:dPt>
          <c:dPt>
            <c:idx val="4"/>
            <c:bubble3D val="0"/>
            <c:spPr>
              <a:solidFill>
                <a:schemeClr val="accent5"/>
              </a:solidFill>
              <a:ln w="25400">
                <a:noFill/>
              </a:ln>
              <a:effectLst/>
              <a:scene3d>
                <a:camera prst="orthographicFront"/>
                <a:lightRig rig="threePt" dir="t"/>
              </a:scene3d>
              <a:sp3d>
                <a:bevelT/>
              </a:sp3d>
            </c:spPr>
            <c:extLst>
              <c:ext xmlns:c16="http://schemas.microsoft.com/office/drawing/2014/chart" uri="{C3380CC4-5D6E-409C-BE32-E72D297353CC}">
                <c16:uniqueId val="{00000009-D735-4B00-B0D8-17E61ECE3404}"/>
              </c:ext>
            </c:extLst>
          </c:dPt>
          <c:dPt>
            <c:idx val="5"/>
            <c:bubble3D val="0"/>
            <c:spPr>
              <a:solidFill>
                <a:schemeClr val="accent6"/>
              </a:solidFill>
              <a:ln w="25400">
                <a:noFill/>
              </a:ln>
              <a:effectLst/>
              <a:scene3d>
                <a:camera prst="orthographicFront"/>
                <a:lightRig rig="threePt" dir="t"/>
              </a:scene3d>
              <a:sp3d>
                <a:bevelT/>
              </a:sp3d>
            </c:spPr>
            <c:extLst>
              <c:ext xmlns:c16="http://schemas.microsoft.com/office/drawing/2014/chart" uri="{C3380CC4-5D6E-409C-BE32-E72D297353CC}">
                <c16:uniqueId val="{0000000B-552A-4360-816D-2C323385D4E6}"/>
              </c:ext>
            </c:extLst>
          </c:dPt>
          <c:dPt>
            <c:idx val="6"/>
            <c:bubble3D val="0"/>
            <c:spPr>
              <a:solidFill>
                <a:schemeClr val="accent1">
                  <a:lumMod val="60000"/>
                </a:schemeClr>
              </a:solidFill>
              <a:ln w="25400">
                <a:noFill/>
              </a:ln>
              <a:effectLst/>
              <a:scene3d>
                <a:camera prst="orthographicFront"/>
                <a:lightRig rig="threePt" dir="t"/>
              </a:scene3d>
              <a:sp3d>
                <a:bevelT/>
              </a:sp3d>
            </c:spPr>
            <c:extLst>
              <c:ext xmlns:c16="http://schemas.microsoft.com/office/drawing/2014/chart" uri="{C3380CC4-5D6E-409C-BE32-E72D297353CC}">
                <c16:uniqueId val="{0000000D-3CB8-4917-9471-CFB78B2DB1E2}"/>
              </c:ext>
            </c:extLst>
          </c:dPt>
          <c:dLbls>
            <c:spPr>
              <a:noFill/>
              <a:ln>
                <a:noFill/>
              </a:ln>
              <a:effectLst/>
            </c:spPr>
            <c:txPr>
              <a:bodyPr rot="0" spcFirstLastPara="1" vertOverflow="ellipsis" vert="horz" wrap="square" anchor="ctr" anchorCtr="1"/>
              <a:lstStyle/>
              <a:p>
                <a:pPr>
                  <a:defRPr sz="800" b="1" i="0" u="none" strike="noStrike" kern="1200" baseline="0">
                    <a:solidFill>
                      <a:schemeClr val="bg2">
                        <a:lumMod val="25000"/>
                      </a:schemeClr>
                    </a:solidFill>
                    <a:latin typeface="Aptos Narrow" panose="020B0004020202020204" pitchFamily="34" charset="0"/>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Tabela_Dinâmica!$F$14:$F$15</c:f>
              <c:strCache>
                <c:ptCount val="1"/>
                <c:pt idx="0">
                  <c:v>TD Curitiba</c:v>
                </c:pt>
              </c:strCache>
            </c:strRef>
          </c:cat>
          <c:val>
            <c:numRef>
              <c:f>Tabela_Dinâmica!$G$14:$G$15</c:f>
              <c:numCache>
                <c:formatCode>General</c:formatCode>
                <c:ptCount val="1"/>
                <c:pt idx="0">
                  <c:v>62</c:v>
                </c:pt>
              </c:numCache>
            </c:numRef>
          </c:val>
          <c:extLst>
            <c:ext xmlns:c16="http://schemas.microsoft.com/office/drawing/2014/chart" uri="{C3380CC4-5D6E-409C-BE32-E72D297353CC}">
              <c16:uniqueId val="{00000008-6E6D-4FDF-B461-E2AE1083FF16}"/>
            </c:ext>
          </c:extLst>
        </c:ser>
        <c:dLbls>
          <c:showLegendKey val="0"/>
          <c:showVal val="0"/>
          <c:showCatName val="0"/>
          <c:showSerName val="0"/>
          <c:showPercent val="1"/>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2">
                  <a:lumMod val="2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2">
              <a:lumMod val="25000"/>
            </a:schemeClr>
          </a:solidFill>
          <a:latin typeface="Aptos Narrow" panose="020B0004020202020204" pitchFamily="34" charset="0"/>
        </a:defRPr>
      </a:pPr>
      <a:endParaRPr lang="en-US"/>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Ocorrências Forms  30-07.xlsm]Tabela_Dinâmica!Tabela dinâmica10</c:name>
    <c:fmtId val="2"/>
  </c:pivotSource>
  <c:chart>
    <c:title>
      <c:tx>
        <c:rich>
          <a:bodyPr rot="0" spcFirstLastPara="1" vertOverflow="ellipsis" vert="horz" wrap="square" anchor="ctr" anchorCtr="1"/>
          <a:lstStyle/>
          <a:p>
            <a:pPr>
              <a:defRPr sz="1000" b="1" i="0" u="none" strike="noStrike" kern="1200" spc="0" baseline="0">
                <a:solidFill>
                  <a:schemeClr val="bg2">
                    <a:lumMod val="25000"/>
                  </a:schemeClr>
                </a:solidFill>
                <a:latin typeface="Montserrat" panose="00000500000000000000" pitchFamily="2" charset="0"/>
                <a:ea typeface="+mn-ea"/>
                <a:cs typeface="+mn-cs"/>
              </a:defRPr>
            </a:pPr>
            <a:r>
              <a:rPr lang="pt-BR" sz="1000" b="1">
                <a:latin typeface="Montserrat" panose="00000500000000000000" pitchFamily="2" charset="0"/>
              </a:rPr>
              <a:t>PROCEDÊNCIA</a:t>
            </a:r>
          </a:p>
        </c:rich>
      </c:tx>
      <c:overlay val="0"/>
      <c:spPr>
        <a:noFill/>
        <a:ln>
          <a:noFill/>
        </a:ln>
        <a:effectLst/>
      </c:spPr>
      <c:txPr>
        <a:bodyPr rot="0" spcFirstLastPara="1" vertOverflow="ellipsis" vert="horz" wrap="square" anchor="ctr" anchorCtr="1"/>
        <a:lstStyle/>
        <a:p>
          <a:pPr>
            <a:defRPr sz="1000" b="1" i="0" u="none" strike="noStrike" kern="1200" spc="0" baseline="0">
              <a:solidFill>
                <a:schemeClr val="bg2">
                  <a:lumMod val="25000"/>
                </a:schemeClr>
              </a:solidFill>
              <a:latin typeface="Montserrat" panose="00000500000000000000" pitchFamily="2"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lumMod val="25000"/>
                    </a:schemeClr>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Tabela_Dinâmica!$V$4</c:f>
              <c:strCache>
                <c:ptCount val="1"/>
                <c:pt idx="0">
                  <c:v>Total</c:v>
                </c:pt>
              </c:strCache>
            </c:strRef>
          </c:tx>
          <c:spPr>
            <a:solidFill>
              <a:schemeClr val="accent1"/>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2">
                        <a:lumMod val="25000"/>
                      </a:schemeClr>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Tabela_Dinâmica!$U$5:$U$9</c:f>
              <c:strCache>
                <c:ptCount val="4"/>
                <c:pt idx="0">
                  <c:v>DESCONSIDERADA</c:v>
                </c:pt>
                <c:pt idx="1">
                  <c:v>IMPROCEDENTE</c:v>
                </c:pt>
                <c:pt idx="2">
                  <c:v>PENDENTE</c:v>
                </c:pt>
                <c:pt idx="3">
                  <c:v>PROCEDENTE</c:v>
                </c:pt>
              </c:strCache>
            </c:strRef>
          </c:cat>
          <c:val>
            <c:numRef>
              <c:f>Tabela_Dinâmica!$V$5:$V$9</c:f>
              <c:numCache>
                <c:formatCode>General</c:formatCode>
                <c:ptCount val="4"/>
                <c:pt idx="0">
                  <c:v>6</c:v>
                </c:pt>
                <c:pt idx="1">
                  <c:v>21</c:v>
                </c:pt>
                <c:pt idx="2">
                  <c:v>3</c:v>
                </c:pt>
                <c:pt idx="3">
                  <c:v>32</c:v>
                </c:pt>
              </c:numCache>
            </c:numRef>
          </c:val>
          <c:extLst>
            <c:ext xmlns:c16="http://schemas.microsoft.com/office/drawing/2014/chart" uri="{C3380CC4-5D6E-409C-BE32-E72D297353CC}">
              <c16:uniqueId val="{00000000-A090-4AE0-8D8C-05D9C07A4F6E}"/>
            </c:ext>
          </c:extLst>
        </c:ser>
        <c:dLbls>
          <c:showLegendKey val="0"/>
          <c:showVal val="0"/>
          <c:showCatName val="0"/>
          <c:showSerName val="0"/>
          <c:showPercent val="0"/>
          <c:showBubbleSize val="0"/>
        </c:dLbls>
        <c:gapWidth val="30"/>
        <c:overlap val="-27"/>
        <c:axId val="896069312"/>
        <c:axId val="896065952"/>
      </c:barChart>
      <c:catAx>
        <c:axId val="896069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25000"/>
                  </a:schemeClr>
                </a:solidFill>
                <a:latin typeface="Aptos Narrow" panose="020B0004020202020204" pitchFamily="34" charset="0"/>
                <a:ea typeface="+mn-ea"/>
                <a:cs typeface="+mn-cs"/>
              </a:defRPr>
            </a:pPr>
            <a:endParaRPr lang="en-US"/>
          </a:p>
        </c:txPr>
        <c:crossAx val="896065952"/>
        <c:crosses val="autoZero"/>
        <c:auto val="1"/>
        <c:lblAlgn val="ctr"/>
        <c:lblOffset val="100"/>
        <c:noMultiLvlLbl val="0"/>
      </c:catAx>
      <c:valAx>
        <c:axId val="896065952"/>
        <c:scaling>
          <c:orientation val="minMax"/>
        </c:scaling>
        <c:delete val="1"/>
        <c:axPos val="l"/>
        <c:numFmt formatCode="General" sourceLinked="1"/>
        <c:majorTickMark val="none"/>
        <c:minorTickMark val="none"/>
        <c:tickLblPos val="nextTo"/>
        <c:crossAx val="8960693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900">
          <a:solidFill>
            <a:schemeClr val="bg2">
              <a:lumMod val="25000"/>
            </a:schemeClr>
          </a:solidFill>
          <a:latin typeface="Aptos Narrow" panose="020B0004020202020204" pitchFamily="34" charset="0"/>
        </a:defRPr>
      </a:pPr>
      <a:endParaRPr lang="en-US"/>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Ocorrências Forms  30-07.xlsm]Tabela_Dinâmica!Tabela dinâmica11</c:name>
    <c:fmtId val="2"/>
  </c:pivotSource>
  <c:chart>
    <c:title>
      <c:tx>
        <c:rich>
          <a:bodyPr rot="0" spcFirstLastPara="1" vertOverflow="ellipsis" vert="horz" wrap="square" anchor="ctr" anchorCtr="1"/>
          <a:lstStyle/>
          <a:p>
            <a:pPr>
              <a:defRPr sz="1050" b="1" i="0" u="none" strike="noStrike" kern="1200" spc="0" baseline="0">
                <a:solidFill>
                  <a:schemeClr val="bg2">
                    <a:lumMod val="25000"/>
                  </a:schemeClr>
                </a:solidFill>
                <a:latin typeface="Montserrat" panose="00000500000000000000" pitchFamily="2" charset="0"/>
                <a:ea typeface="+mn-ea"/>
                <a:cs typeface="+mn-cs"/>
              </a:defRPr>
            </a:pPr>
            <a:r>
              <a:rPr lang="en-US" sz="1050" b="1">
                <a:latin typeface="Montserrat" panose="00000500000000000000" pitchFamily="2" charset="0"/>
              </a:rPr>
              <a:t>TIPO DE DIVERGÊNCIA</a:t>
            </a:r>
          </a:p>
        </c:rich>
      </c:tx>
      <c:overlay val="0"/>
      <c:spPr>
        <a:noFill/>
        <a:ln>
          <a:noFill/>
        </a:ln>
        <a:effectLst/>
      </c:spPr>
      <c:txPr>
        <a:bodyPr rot="0" spcFirstLastPara="1" vertOverflow="ellipsis" vert="horz" wrap="square" anchor="ctr" anchorCtr="1"/>
        <a:lstStyle/>
        <a:p>
          <a:pPr>
            <a:defRPr sz="1050" b="1" i="0" u="none" strike="noStrike" kern="1200" spc="0" baseline="0">
              <a:solidFill>
                <a:schemeClr val="bg2">
                  <a:lumMod val="25000"/>
                </a:schemeClr>
              </a:solidFill>
              <a:latin typeface="Montserrat" panose="00000500000000000000" pitchFamily="2"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lumMod val="25000"/>
                    </a:schemeClr>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Tabela_Dinâmica!$V$16</c:f>
              <c:strCache>
                <c:ptCount val="1"/>
                <c:pt idx="0">
                  <c:v>Total</c:v>
                </c:pt>
              </c:strCache>
            </c:strRef>
          </c:tx>
          <c:spPr>
            <a:solidFill>
              <a:schemeClr val="accent1"/>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2">
                        <a:lumMod val="25000"/>
                      </a:schemeClr>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Tabela_Dinâmica!$U$17:$U$21</c:f>
              <c:strCache>
                <c:ptCount val="4"/>
                <c:pt idx="0">
                  <c:v>Falta de todos os produtos da Nota Fiscal</c:v>
                </c:pt>
                <c:pt idx="1">
                  <c:v>Inversão de Produto</c:v>
                </c:pt>
                <c:pt idx="2">
                  <c:v>Falta</c:v>
                </c:pt>
                <c:pt idx="3">
                  <c:v>Sobra</c:v>
                </c:pt>
              </c:strCache>
            </c:strRef>
          </c:cat>
          <c:val>
            <c:numRef>
              <c:f>Tabela_Dinâmica!$V$17:$V$21</c:f>
              <c:numCache>
                <c:formatCode>General</c:formatCode>
                <c:ptCount val="4"/>
                <c:pt idx="0">
                  <c:v>8</c:v>
                </c:pt>
                <c:pt idx="1">
                  <c:v>9</c:v>
                </c:pt>
                <c:pt idx="2">
                  <c:v>44</c:v>
                </c:pt>
                <c:pt idx="3">
                  <c:v>1</c:v>
                </c:pt>
              </c:numCache>
            </c:numRef>
          </c:val>
          <c:extLst>
            <c:ext xmlns:c16="http://schemas.microsoft.com/office/drawing/2014/chart" uri="{C3380CC4-5D6E-409C-BE32-E72D297353CC}">
              <c16:uniqueId val="{00000000-0FC9-4421-9933-8FC197905D8A}"/>
            </c:ext>
          </c:extLst>
        </c:ser>
        <c:dLbls>
          <c:dLblPos val="inEnd"/>
          <c:showLegendKey val="0"/>
          <c:showVal val="1"/>
          <c:showCatName val="0"/>
          <c:showSerName val="0"/>
          <c:showPercent val="0"/>
          <c:showBubbleSize val="0"/>
        </c:dLbls>
        <c:gapWidth val="150"/>
        <c:overlap val="100"/>
        <c:axId val="2123601136"/>
        <c:axId val="2123610736"/>
      </c:barChart>
      <c:catAx>
        <c:axId val="21236011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25000"/>
                  </a:schemeClr>
                </a:solidFill>
                <a:latin typeface="Aptos Narrow" panose="020B0004020202020204" pitchFamily="34" charset="0"/>
                <a:ea typeface="+mn-ea"/>
                <a:cs typeface="+mn-cs"/>
              </a:defRPr>
            </a:pPr>
            <a:endParaRPr lang="en-US"/>
          </a:p>
        </c:txPr>
        <c:crossAx val="2123610736"/>
        <c:crosses val="autoZero"/>
        <c:auto val="1"/>
        <c:lblAlgn val="ctr"/>
        <c:lblOffset val="100"/>
        <c:noMultiLvlLbl val="0"/>
      </c:catAx>
      <c:valAx>
        <c:axId val="2123610736"/>
        <c:scaling>
          <c:orientation val="minMax"/>
        </c:scaling>
        <c:delete val="1"/>
        <c:axPos val="b"/>
        <c:numFmt formatCode="General" sourceLinked="1"/>
        <c:majorTickMark val="none"/>
        <c:minorTickMark val="none"/>
        <c:tickLblPos val="nextTo"/>
        <c:crossAx val="21236011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2">
              <a:lumMod val="25000"/>
            </a:schemeClr>
          </a:solidFill>
          <a:latin typeface="Aptos Narrow" panose="020B0004020202020204" pitchFamily="34" charset="0"/>
        </a:defRPr>
      </a:pPr>
      <a:endParaRPr lang="en-US"/>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Ocorrências Forms  30-07.xlsm]Tabela_Dinâmica!Tabela dinâmica13</c:name>
    <c:fmtId val="3"/>
  </c:pivotSource>
  <c:chart>
    <c:title>
      <c:tx>
        <c:rich>
          <a:bodyPr rot="0" spcFirstLastPara="1" vertOverflow="ellipsis" vert="horz" wrap="square" anchor="ctr" anchorCtr="1"/>
          <a:lstStyle/>
          <a:p>
            <a:pPr>
              <a:defRPr sz="1000" b="1" i="0" u="none" strike="noStrike" kern="1200" spc="0" baseline="0">
                <a:solidFill>
                  <a:schemeClr val="bg2">
                    <a:lumMod val="25000"/>
                  </a:schemeClr>
                </a:solidFill>
                <a:latin typeface="Montserrat" panose="00000500000000000000" pitchFamily="2" charset="0"/>
                <a:ea typeface="+mn-ea"/>
                <a:cs typeface="+mn-cs"/>
              </a:defRPr>
            </a:pPr>
            <a:r>
              <a:rPr lang="en-US" sz="1000" b="1">
                <a:latin typeface="Montserrat" panose="00000500000000000000" pitchFamily="2" charset="0"/>
              </a:rPr>
              <a:t>PROCEDÊNCIA</a:t>
            </a:r>
          </a:p>
        </c:rich>
      </c:tx>
      <c:overlay val="0"/>
      <c:spPr>
        <a:noFill/>
        <a:ln>
          <a:noFill/>
        </a:ln>
        <a:effectLst/>
      </c:spPr>
      <c:txPr>
        <a:bodyPr rot="0" spcFirstLastPara="1" vertOverflow="ellipsis" vert="horz" wrap="square" anchor="ctr" anchorCtr="1"/>
        <a:lstStyle/>
        <a:p>
          <a:pPr>
            <a:defRPr sz="1000" b="1" i="0" u="none" strike="noStrike" kern="1200" spc="0" baseline="0">
              <a:solidFill>
                <a:schemeClr val="bg2">
                  <a:lumMod val="25000"/>
                </a:schemeClr>
              </a:solidFill>
              <a:latin typeface="Montserrat" panose="00000500000000000000" pitchFamily="2"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800" b="1" i="0" u="none" strike="noStrike" kern="1200" baseline="0">
                  <a:solidFill>
                    <a:schemeClr val="bg2">
                      <a:lumMod val="25000"/>
                    </a:schemeClr>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Tabela_Dinâmica!$Z$4</c:f>
              <c:strCache>
                <c:ptCount val="1"/>
                <c:pt idx="0">
                  <c:v>Total</c:v>
                </c:pt>
              </c:strCache>
            </c:strRef>
          </c:tx>
          <c:spPr>
            <a:solidFill>
              <a:schemeClr val="accent1"/>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anchor="ctr" anchorCtr="1"/>
              <a:lstStyle/>
              <a:p>
                <a:pPr>
                  <a:defRPr sz="800" b="1" i="0" u="none" strike="noStrike" kern="1200" baseline="0">
                    <a:solidFill>
                      <a:schemeClr val="bg2">
                        <a:lumMod val="25000"/>
                      </a:schemeClr>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Tabela_Dinâmica!$Y$5:$Y$10</c:f>
              <c:multiLvlStrCache>
                <c:ptCount val="4"/>
                <c:lvl>
                  <c:pt idx="0">
                    <c:v>DESCONSIDERADA</c:v>
                  </c:pt>
                  <c:pt idx="1">
                    <c:v>IMPROCEDENTE</c:v>
                  </c:pt>
                  <c:pt idx="2">
                    <c:v>PENDENTE</c:v>
                  </c:pt>
                  <c:pt idx="3">
                    <c:v>PROCEDENTE</c:v>
                  </c:pt>
                </c:lvl>
                <c:lvl>
                  <c:pt idx="0">
                    <c:v>TD Curitiba</c:v>
                  </c:pt>
                </c:lvl>
              </c:multiLvlStrCache>
            </c:multiLvlStrRef>
          </c:cat>
          <c:val>
            <c:numRef>
              <c:f>Tabela_Dinâmica!$Z$5:$Z$10</c:f>
              <c:numCache>
                <c:formatCode>General</c:formatCode>
                <c:ptCount val="4"/>
                <c:pt idx="0">
                  <c:v>6</c:v>
                </c:pt>
                <c:pt idx="1">
                  <c:v>21</c:v>
                </c:pt>
                <c:pt idx="2">
                  <c:v>3</c:v>
                </c:pt>
                <c:pt idx="3">
                  <c:v>32</c:v>
                </c:pt>
              </c:numCache>
            </c:numRef>
          </c:val>
          <c:extLst>
            <c:ext xmlns:c16="http://schemas.microsoft.com/office/drawing/2014/chart" uri="{C3380CC4-5D6E-409C-BE32-E72D297353CC}">
              <c16:uniqueId val="{00000000-4827-4C03-832B-EA97319E6F1D}"/>
            </c:ext>
          </c:extLst>
        </c:ser>
        <c:dLbls>
          <c:showLegendKey val="0"/>
          <c:showVal val="0"/>
          <c:showCatName val="0"/>
          <c:showSerName val="0"/>
          <c:showPercent val="0"/>
          <c:showBubbleSize val="0"/>
        </c:dLbls>
        <c:gapWidth val="30"/>
        <c:overlap val="100"/>
        <c:axId val="585954575"/>
        <c:axId val="585950735"/>
      </c:barChart>
      <c:catAx>
        <c:axId val="58595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bg2">
                    <a:lumMod val="25000"/>
                  </a:schemeClr>
                </a:solidFill>
                <a:latin typeface="Aptos Narrow" panose="020B0004020202020204" pitchFamily="34" charset="0"/>
                <a:ea typeface="+mn-ea"/>
                <a:cs typeface="+mn-cs"/>
              </a:defRPr>
            </a:pPr>
            <a:endParaRPr lang="en-US"/>
          </a:p>
        </c:txPr>
        <c:crossAx val="585950735"/>
        <c:crosses val="autoZero"/>
        <c:auto val="1"/>
        <c:lblAlgn val="ctr"/>
        <c:lblOffset val="100"/>
        <c:noMultiLvlLbl val="0"/>
      </c:catAx>
      <c:valAx>
        <c:axId val="585950735"/>
        <c:scaling>
          <c:orientation val="minMax"/>
        </c:scaling>
        <c:delete val="1"/>
        <c:axPos val="l"/>
        <c:numFmt formatCode="General" sourceLinked="1"/>
        <c:majorTickMark val="none"/>
        <c:minorTickMark val="none"/>
        <c:tickLblPos val="nextTo"/>
        <c:crossAx val="5859545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700">
          <a:solidFill>
            <a:schemeClr val="bg2">
              <a:lumMod val="25000"/>
            </a:schemeClr>
          </a:solidFill>
          <a:latin typeface="Aptos Narrow" panose="020B0004020202020204" pitchFamily="34" charset="0"/>
        </a:defRPr>
      </a:pPr>
      <a:endParaRPr lang="en-US"/>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Ocorrências Forms  30-07.xlsm]Tabela_Dinâmica!Tabela dinâmica12</c:name>
    <c:fmtId val="2"/>
  </c:pivotSource>
  <c:chart>
    <c:title>
      <c:tx>
        <c:rich>
          <a:bodyPr rot="0" spcFirstLastPara="1" vertOverflow="ellipsis" vert="horz" wrap="square" anchor="ctr" anchorCtr="1"/>
          <a:lstStyle/>
          <a:p>
            <a:pPr>
              <a:defRPr sz="1000" b="1" i="0" u="none" strike="noStrike" kern="1200" spc="0" baseline="0">
                <a:solidFill>
                  <a:schemeClr val="bg2">
                    <a:lumMod val="25000"/>
                  </a:schemeClr>
                </a:solidFill>
                <a:latin typeface="Montserrat" panose="00000500000000000000" pitchFamily="2" charset="0"/>
                <a:ea typeface="+mn-ea"/>
                <a:cs typeface="+mn-cs"/>
              </a:defRPr>
            </a:pPr>
            <a:r>
              <a:rPr lang="en-US" sz="1000" b="1">
                <a:latin typeface="Montserrat" panose="00000500000000000000" pitchFamily="2" charset="0"/>
              </a:rPr>
              <a:t>TIPO DE DIVERGÊNCIA</a:t>
            </a:r>
          </a:p>
        </c:rich>
      </c:tx>
      <c:overlay val="0"/>
      <c:spPr>
        <a:noFill/>
        <a:ln>
          <a:noFill/>
        </a:ln>
        <a:effectLst/>
      </c:spPr>
      <c:txPr>
        <a:bodyPr rot="0" spcFirstLastPara="1" vertOverflow="ellipsis" vert="horz" wrap="square" anchor="ctr" anchorCtr="1"/>
        <a:lstStyle/>
        <a:p>
          <a:pPr>
            <a:defRPr sz="1000" b="1" i="0" u="none" strike="noStrike" kern="1200" spc="0" baseline="0">
              <a:solidFill>
                <a:schemeClr val="bg2">
                  <a:lumMod val="25000"/>
                </a:schemeClr>
              </a:solidFill>
              <a:latin typeface="Montserrat" panose="00000500000000000000" pitchFamily="2"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800" b="1" i="0" u="none" strike="noStrike" kern="1200" baseline="0">
                  <a:solidFill>
                    <a:schemeClr val="bg2">
                      <a:lumMod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Tabela_Dinâmica!$AC$4</c:f>
              <c:strCache>
                <c:ptCount val="1"/>
                <c:pt idx="0">
                  <c:v>Total</c:v>
                </c:pt>
              </c:strCache>
            </c:strRef>
          </c:tx>
          <c:spPr>
            <a:solidFill>
              <a:schemeClr val="accent1"/>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anchor="ctr" anchorCtr="1"/>
              <a:lstStyle/>
              <a:p>
                <a:pPr>
                  <a:defRPr sz="800" b="1" i="0" u="none" strike="noStrike" kern="1200" baseline="0">
                    <a:solidFill>
                      <a:schemeClr val="bg2">
                        <a:lumMod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Tabela_Dinâmica!$AB$5:$AB$10</c:f>
              <c:multiLvlStrCache>
                <c:ptCount val="4"/>
                <c:lvl>
                  <c:pt idx="0">
                    <c:v>Falta de todos os produtos da Nota Fiscal</c:v>
                  </c:pt>
                  <c:pt idx="1">
                    <c:v>Inversão de Produto</c:v>
                  </c:pt>
                  <c:pt idx="2">
                    <c:v>Falta</c:v>
                  </c:pt>
                  <c:pt idx="3">
                    <c:v>Sobra</c:v>
                  </c:pt>
                </c:lvl>
                <c:lvl>
                  <c:pt idx="0">
                    <c:v>TD Curitiba</c:v>
                  </c:pt>
                </c:lvl>
              </c:multiLvlStrCache>
            </c:multiLvlStrRef>
          </c:cat>
          <c:val>
            <c:numRef>
              <c:f>Tabela_Dinâmica!$AC$5:$AC$10</c:f>
              <c:numCache>
                <c:formatCode>General</c:formatCode>
                <c:ptCount val="4"/>
                <c:pt idx="0">
                  <c:v>8</c:v>
                </c:pt>
                <c:pt idx="1">
                  <c:v>9</c:v>
                </c:pt>
                <c:pt idx="2">
                  <c:v>44</c:v>
                </c:pt>
                <c:pt idx="3">
                  <c:v>1</c:v>
                </c:pt>
              </c:numCache>
            </c:numRef>
          </c:val>
          <c:extLst>
            <c:ext xmlns:c16="http://schemas.microsoft.com/office/drawing/2014/chart" uri="{C3380CC4-5D6E-409C-BE32-E72D297353CC}">
              <c16:uniqueId val="{00000000-2FE1-48F7-BDEC-19792E643870}"/>
            </c:ext>
          </c:extLst>
        </c:ser>
        <c:dLbls>
          <c:showLegendKey val="0"/>
          <c:showVal val="0"/>
          <c:showCatName val="0"/>
          <c:showSerName val="0"/>
          <c:showPercent val="0"/>
          <c:showBubbleSize val="0"/>
        </c:dLbls>
        <c:gapWidth val="40"/>
        <c:overlap val="-27"/>
        <c:axId val="2123602096"/>
        <c:axId val="2123619376"/>
      </c:barChart>
      <c:catAx>
        <c:axId val="2123602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bg2">
                    <a:lumMod val="25000"/>
                  </a:schemeClr>
                </a:solidFill>
                <a:latin typeface="+mn-lt"/>
                <a:ea typeface="+mn-ea"/>
                <a:cs typeface="+mn-cs"/>
              </a:defRPr>
            </a:pPr>
            <a:endParaRPr lang="en-US"/>
          </a:p>
        </c:txPr>
        <c:crossAx val="2123619376"/>
        <c:crosses val="autoZero"/>
        <c:auto val="1"/>
        <c:lblAlgn val="ctr"/>
        <c:lblOffset val="100"/>
        <c:noMultiLvlLbl val="0"/>
      </c:catAx>
      <c:valAx>
        <c:axId val="2123619376"/>
        <c:scaling>
          <c:orientation val="minMax"/>
        </c:scaling>
        <c:delete val="1"/>
        <c:axPos val="l"/>
        <c:numFmt formatCode="General" sourceLinked="1"/>
        <c:majorTickMark val="none"/>
        <c:minorTickMark val="none"/>
        <c:tickLblPos val="nextTo"/>
        <c:crossAx val="21236020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1000">
          <a:solidFill>
            <a:schemeClr val="bg2">
              <a:lumMod val="25000"/>
            </a:schemeClr>
          </a:solidFill>
        </a:defRPr>
      </a:pPr>
      <a:endParaRPr lang="en-US"/>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spc="0" baseline="0">
                <a:solidFill>
                  <a:schemeClr val="bg2">
                    <a:lumMod val="25000"/>
                  </a:schemeClr>
                </a:solidFill>
                <a:latin typeface="Aptos Narrow" panose="020B0004020202020204" pitchFamily="34" charset="0"/>
                <a:ea typeface="+mn-ea"/>
                <a:cs typeface="+mn-cs"/>
              </a:defRPr>
            </a:pPr>
            <a:r>
              <a:rPr lang="pt-BR" sz="1000" b="1"/>
              <a:t>OCORRÊNCIAS ANO</a:t>
            </a:r>
          </a:p>
        </c:rich>
      </c:tx>
      <c:overlay val="0"/>
      <c:spPr>
        <a:noFill/>
        <a:ln>
          <a:noFill/>
        </a:ln>
        <a:effectLst/>
      </c:spPr>
      <c:txPr>
        <a:bodyPr rot="0" spcFirstLastPara="1" vertOverflow="ellipsis" vert="horz" wrap="square" anchor="ctr" anchorCtr="1"/>
        <a:lstStyle/>
        <a:p>
          <a:pPr>
            <a:defRPr sz="1000" b="1" i="0" u="none" strike="noStrike" kern="1200" spc="0" baseline="0">
              <a:solidFill>
                <a:schemeClr val="bg2">
                  <a:lumMod val="25000"/>
                </a:schemeClr>
              </a:solidFill>
              <a:latin typeface="Aptos Narrow" panose="020B0004020202020204" pitchFamily="34" charset="0"/>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dLbls>
            <c:spPr>
              <a:noFill/>
              <a:ln>
                <a:noFill/>
              </a:ln>
              <a:effectLst/>
            </c:spPr>
            <c:txPr>
              <a:bodyPr rot="0" spcFirstLastPara="1" vertOverflow="ellipsis" vert="horz" wrap="square" anchor="ctr" anchorCtr="1"/>
              <a:lstStyle/>
              <a:p>
                <a:pPr>
                  <a:defRPr sz="700" b="1" i="0" u="none" strike="noStrike" kern="1200" baseline="0">
                    <a:solidFill>
                      <a:schemeClr val="bg2">
                        <a:lumMod val="25000"/>
                      </a:schemeClr>
                    </a:solidFill>
                    <a:latin typeface="Aptos Narrow" panose="020B0004020202020204" pitchFamily="34"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Tabela_Dinâmica!$A$40:$A$51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Tabela_Dinâmica!$B$40:$B$51</c:f>
              <c:numCache>
                <c:formatCode>General</c:formatCode>
                <c:ptCount val="12"/>
                <c:pt idx="0">
                  <c:v>40</c:v>
                </c:pt>
                <c:pt idx="1">
                  <c:v>29</c:v>
                </c:pt>
                <c:pt idx="2">
                  <c:v>65</c:v>
                </c:pt>
                <c:pt idx="3">
                  <c:v>31</c:v>
                </c:pt>
                <c:pt idx="4">
                  <c:v>36</c:v>
                </c:pt>
                <c:pt idx="5">
                  <c:v>42</c:v>
                </c:pt>
                <c:pt idx="6">
                  <c:v>62</c:v>
                </c:pt>
              </c:numCache>
            </c:numRef>
          </c:val>
          <c:smooth val="0"/>
          <c:extLst>
            <c:ext xmlns:c16="http://schemas.microsoft.com/office/drawing/2014/chart" uri="{C3380CC4-5D6E-409C-BE32-E72D297353CC}">
              <c16:uniqueId val="{00000000-DDE2-49F3-AECC-6E1D83B21578}"/>
            </c:ext>
          </c:extLst>
        </c:ser>
        <c:dLbls>
          <c:dLblPos val="t"/>
          <c:showLegendKey val="0"/>
          <c:showVal val="1"/>
          <c:showCatName val="0"/>
          <c:showSerName val="0"/>
          <c:showPercent val="0"/>
          <c:showBubbleSize val="0"/>
        </c:dLbls>
        <c:smooth val="0"/>
        <c:axId val="896452928"/>
        <c:axId val="896445248"/>
      </c:lineChart>
      <c:catAx>
        <c:axId val="89645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25000"/>
                  </a:schemeClr>
                </a:solidFill>
                <a:latin typeface="Aptos Narrow" panose="020B0004020202020204" pitchFamily="34" charset="0"/>
                <a:ea typeface="+mn-ea"/>
                <a:cs typeface="+mn-cs"/>
              </a:defRPr>
            </a:pPr>
            <a:endParaRPr lang="en-US"/>
          </a:p>
        </c:txPr>
        <c:crossAx val="896445248"/>
        <c:crosses val="autoZero"/>
        <c:auto val="1"/>
        <c:lblAlgn val="ctr"/>
        <c:lblOffset val="100"/>
        <c:noMultiLvlLbl val="0"/>
      </c:catAx>
      <c:valAx>
        <c:axId val="896445248"/>
        <c:scaling>
          <c:orientation val="minMax"/>
        </c:scaling>
        <c:delete val="1"/>
        <c:axPos val="l"/>
        <c:numFmt formatCode="General" sourceLinked="1"/>
        <c:majorTickMark val="none"/>
        <c:minorTickMark val="none"/>
        <c:tickLblPos val="nextTo"/>
        <c:crossAx val="89645292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bg2">
              <a:lumMod val="25000"/>
            </a:schemeClr>
          </a:solidFill>
          <a:latin typeface="Aptos Narrow" panose="020B0004020202020204" pitchFamily="34" charset="0"/>
        </a:defRPr>
      </a:pPr>
      <a:endParaRPr lang="en-US"/>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Ocorrências Forms  30-07.xlsm]Tabela_Dinâmica!Tabela dinâmica1</c:name>
    <c:fmtId val="11"/>
  </c:pivotSource>
  <c:chart>
    <c:title>
      <c:tx>
        <c:rich>
          <a:bodyPr rot="0" spcFirstLastPara="1" vertOverflow="ellipsis" vert="horz" wrap="square" anchor="ctr" anchorCtr="1"/>
          <a:lstStyle/>
          <a:p>
            <a:pPr>
              <a:defRPr sz="1050" b="1" i="0" u="none" strike="noStrike" kern="1200" spc="0" baseline="0">
                <a:solidFill>
                  <a:schemeClr val="bg2">
                    <a:lumMod val="25000"/>
                  </a:schemeClr>
                </a:solidFill>
                <a:latin typeface="+mn-lt"/>
                <a:ea typeface="+mn-ea"/>
                <a:cs typeface="+mn-cs"/>
              </a:defRPr>
            </a:pPr>
            <a:r>
              <a:rPr lang="pt-BR" sz="1050" b="1"/>
              <a:t>Visão Semanal por Modalidade de Entrega</a:t>
            </a:r>
          </a:p>
        </c:rich>
      </c:tx>
      <c:layout>
        <c:manualLayout>
          <c:xMode val="edge"/>
          <c:yMode val="edge"/>
          <c:x val="0.39460972333084748"/>
          <c:y val="6.6929113110201152E-3"/>
        </c:manualLayout>
      </c:layout>
      <c:overlay val="0"/>
      <c:spPr>
        <a:noFill/>
        <a:ln>
          <a:noFill/>
        </a:ln>
        <a:effectLst/>
      </c:spPr>
      <c:txPr>
        <a:bodyPr rot="0" spcFirstLastPara="1" vertOverflow="ellipsis" vert="horz" wrap="square" anchor="ctr" anchorCtr="1"/>
        <a:lstStyle/>
        <a:p>
          <a:pPr>
            <a:defRPr sz="1050" b="1" i="0" u="none" strike="noStrike" kern="1200" spc="0" baseline="0">
              <a:solidFill>
                <a:schemeClr val="bg2">
                  <a:lumMod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700" b="1" i="0" u="none" strike="noStrike" kern="1200" baseline="0">
                  <a:solidFill>
                    <a:schemeClr val="bg2">
                      <a:lumMod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700" b="1" i="0" u="none" strike="noStrike" kern="1200" baseline="0">
                  <a:solidFill>
                    <a:schemeClr val="bg2">
                      <a:lumMod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2">
                      <a:lumMod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3506397275576831E-4"/>
          <c:y val="0.22134617107502916"/>
          <c:w val="0.97687074796143458"/>
          <c:h val="0.66928006408330831"/>
        </c:manualLayout>
      </c:layout>
      <c:barChart>
        <c:barDir val="col"/>
        <c:grouping val="stacked"/>
        <c:varyColors val="0"/>
        <c:ser>
          <c:idx val="0"/>
          <c:order val="0"/>
          <c:tx>
            <c:strRef>
              <c:f>Tabela_Dinâmica!$B$56:$B$57</c:f>
              <c:strCache>
                <c:ptCount val="1"/>
                <c:pt idx="0">
                  <c:v>Entrega Terceirizada (PSL)</c:v>
                </c:pt>
              </c:strCache>
            </c:strRef>
          </c:tx>
          <c:spPr>
            <a:solidFill>
              <a:schemeClr val="accent1"/>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anchor="ctr" anchorCtr="1"/>
              <a:lstStyle/>
              <a:p>
                <a:pPr>
                  <a:defRPr sz="700" b="1" i="0" u="none" strike="noStrike" kern="1200" baseline="0">
                    <a:solidFill>
                      <a:schemeClr val="bg2">
                        <a:lumMod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Tabela_Dinâmica!$A$58:$A$63</c:f>
              <c:strCache>
                <c:ptCount val="5"/>
                <c:pt idx="0">
                  <c:v>27</c:v>
                </c:pt>
                <c:pt idx="1">
                  <c:v>28</c:v>
                </c:pt>
                <c:pt idx="2">
                  <c:v>29</c:v>
                </c:pt>
                <c:pt idx="3">
                  <c:v>30</c:v>
                </c:pt>
                <c:pt idx="4">
                  <c:v>31</c:v>
                </c:pt>
              </c:strCache>
            </c:strRef>
          </c:cat>
          <c:val>
            <c:numRef>
              <c:f>Tabela_Dinâmica!$B$58:$B$63</c:f>
              <c:numCache>
                <c:formatCode>General</c:formatCode>
                <c:ptCount val="5"/>
                <c:pt idx="0">
                  <c:v>3</c:v>
                </c:pt>
                <c:pt idx="1">
                  <c:v>4</c:v>
                </c:pt>
                <c:pt idx="2">
                  <c:v>6</c:v>
                </c:pt>
                <c:pt idx="3">
                  <c:v>6</c:v>
                </c:pt>
                <c:pt idx="4">
                  <c:v>3</c:v>
                </c:pt>
              </c:numCache>
            </c:numRef>
          </c:val>
          <c:extLst>
            <c:ext xmlns:c16="http://schemas.microsoft.com/office/drawing/2014/chart" uri="{C3380CC4-5D6E-409C-BE32-E72D297353CC}">
              <c16:uniqueId val="{00000000-0AD6-4283-B50A-D91331E4000A}"/>
            </c:ext>
          </c:extLst>
        </c:ser>
        <c:ser>
          <c:idx val="1"/>
          <c:order val="1"/>
          <c:tx>
            <c:strRef>
              <c:f>Tabela_Dinâmica!$C$56:$C$57</c:f>
              <c:strCache>
                <c:ptCount val="1"/>
                <c:pt idx="0">
                  <c:v>Pronta Entrega (VDC/TPE)</c:v>
                </c:pt>
              </c:strCache>
            </c:strRef>
          </c:tx>
          <c:spPr>
            <a:solidFill>
              <a:schemeClr val="accent2"/>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anchor="ctr" anchorCtr="1"/>
              <a:lstStyle/>
              <a:p>
                <a:pPr>
                  <a:defRPr sz="700" b="1" i="0" u="none" strike="noStrike" kern="1200" baseline="0">
                    <a:solidFill>
                      <a:schemeClr val="bg2">
                        <a:lumMod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Tabela_Dinâmica!$A$58:$A$63</c:f>
              <c:strCache>
                <c:ptCount val="5"/>
                <c:pt idx="0">
                  <c:v>27</c:v>
                </c:pt>
                <c:pt idx="1">
                  <c:v>28</c:v>
                </c:pt>
                <c:pt idx="2">
                  <c:v>29</c:v>
                </c:pt>
                <c:pt idx="3">
                  <c:v>30</c:v>
                </c:pt>
                <c:pt idx="4">
                  <c:v>31</c:v>
                </c:pt>
              </c:strCache>
            </c:strRef>
          </c:cat>
          <c:val>
            <c:numRef>
              <c:f>Tabela_Dinâmica!$C$58:$C$63</c:f>
              <c:numCache>
                <c:formatCode>General</c:formatCode>
                <c:ptCount val="5"/>
                <c:pt idx="0">
                  <c:v>3</c:v>
                </c:pt>
                <c:pt idx="1">
                  <c:v>14</c:v>
                </c:pt>
                <c:pt idx="2">
                  <c:v>6</c:v>
                </c:pt>
                <c:pt idx="3">
                  <c:v>12</c:v>
                </c:pt>
                <c:pt idx="4">
                  <c:v>5</c:v>
                </c:pt>
              </c:numCache>
            </c:numRef>
          </c:val>
          <c:extLst>
            <c:ext xmlns:c16="http://schemas.microsoft.com/office/drawing/2014/chart" uri="{C3380CC4-5D6E-409C-BE32-E72D297353CC}">
              <c16:uniqueId val="{00000001-65BA-41BB-BE33-A39496B04E54}"/>
            </c:ext>
          </c:extLst>
        </c:ser>
        <c:dLbls>
          <c:dLblPos val="ctr"/>
          <c:showLegendKey val="0"/>
          <c:showVal val="1"/>
          <c:showCatName val="0"/>
          <c:showSerName val="0"/>
          <c:showPercent val="0"/>
          <c:showBubbleSize val="0"/>
        </c:dLbls>
        <c:gapWidth val="150"/>
        <c:overlap val="100"/>
        <c:axId val="2057368816"/>
        <c:axId val="2057374096"/>
      </c:barChart>
      <c:catAx>
        <c:axId val="2057368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bg2">
                    <a:lumMod val="25000"/>
                  </a:schemeClr>
                </a:solidFill>
                <a:latin typeface="+mn-lt"/>
                <a:ea typeface="+mn-ea"/>
                <a:cs typeface="+mn-cs"/>
              </a:defRPr>
            </a:pPr>
            <a:endParaRPr lang="en-US"/>
          </a:p>
        </c:txPr>
        <c:crossAx val="2057374096"/>
        <c:crosses val="autoZero"/>
        <c:auto val="1"/>
        <c:lblAlgn val="ctr"/>
        <c:lblOffset val="100"/>
        <c:noMultiLvlLbl val="0"/>
      </c:catAx>
      <c:valAx>
        <c:axId val="2057374096"/>
        <c:scaling>
          <c:orientation val="minMax"/>
        </c:scaling>
        <c:delete val="1"/>
        <c:axPos val="l"/>
        <c:numFmt formatCode="General" sourceLinked="1"/>
        <c:majorTickMark val="none"/>
        <c:minorTickMark val="none"/>
        <c:tickLblPos val="nextTo"/>
        <c:crossAx val="2057368816"/>
        <c:crosses val="autoZero"/>
        <c:crossBetween val="between"/>
      </c:valAx>
      <c:spPr>
        <a:noFill/>
        <a:ln>
          <a:noFill/>
        </a:ln>
        <a:effectLst/>
      </c:spPr>
    </c:plotArea>
    <c:legend>
      <c:legendPos val="t"/>
      <c:layout>
        <c:manualLayout>
          <c:xMode val="edge"/>
          <c:yMode val="edge"/>
          <c:x val="0.39826800478578495"/>
          <c:y val="9.3094707330055371E-2"/>
          <c:w val="0.17620831756991109"/>
          <c:h val="8.8396852742819929E-2"/>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bg2">
                  <a:lumMod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800">
          <a:solidFill>
            <a:schemeClr val="bg2">
              <a:lumMod val="25000"/>
            </a:schemeClr>
          </a:solidFill>
        </a:defRPr>
      </a:pPr>
      <a:endParaRPr lang="en-US"/>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Ocorrências Forms  30-07.xlsm]Tabela_Dinâmica!Tabela dinâmica2</c:name>
    <c:fmtId val="16"/>
  </c:pivotSource>
  <c:chart>
    <c:title>
      <c:tx>
        <c:rich>
          <a:bodyPr rot="0" spcFirstLastPara="1" vertOverflow="ellipsis" vert="horz" wrap="square" anchor="ctr" anchorCtr="1"/>
          <a:lstStyle/>
          <a:p>
            <a:pPr>
              <a:defRPr sz="1050" b="1" i="0" u="none" strike="noStrike" kern="1200" spc="0" baseline="0">
                <a:solidFill>
                  <a:schemeClr val="bg2">
                    <a:lumMod val="25000"/>
                  </a:schemeClr>
                </a:solidFill>
                <a:latin typeface="+mn-lt"/>
                <a:ea typeface="+mn-ea"/>
                <a:cs typeface="+mn-cs"/>
              </a:defRPr>
            </a:pPr>
            <a:r>
              <a:rPr lang="pt-BR" sz="1050" b="1"/>
              <a:t>Visão Semanal por tipo de Ocorrência</a:t>
            </a:r>
          </a:p>
        </c:rich>
      </c:tx>
      <c:overlay val="0"/>
      <c:spPr>
        <a:noFill/>
        <a:ln>
          <a:noFill/>
        </a:ln>
        <a:effectLst/>
      </c:spPr>
      <c:txPr>
        <a:bodyPr rot="0" spcFirstLastPara="1" vertOverflow="ellipsis" vert="horz" wrap="square" anchor="ctr" anchorCtr="1"/>
        <a:lstStyle/>
        <a:p>
          <a:pPr>
            <a:defRPr sz="1050" b="1" i="0" u="none" strike="noStrike" kern="1200" spc="0" baseline="0">
              <a:solidFill>
                <a:schemeClr val="bg2">
                  <a:lumMod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2">
                      <a:lumMod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1514779553378216E-2"/>
          <c:y val="8.4536546500006915E-2"/>
          <c:w val="0.97697044089324359"/>
          <c:h val="0.75202787237923163"/>
        </c:manualLayout>
      </c:layout>
      <c:barChart>
        <c:barDir val="col"/>
        <c:grouping val="stacked"/>
        <c:varyColors val="0"/>
        <c:ser>
          <c:idx val="0"/>
          <c:order val="0"/>
          <c:tx>
            <c:strRef>
              <c:f>Tabela_Dinâmica!$G$21:$G$22</c:f>
              <c:strCache>
                <c:ptCount val="1"/>
                <c:pt idx="0">
                  <c:v>Falta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Tabela_Dinâmica!$F$23:$F$39</c:f>
              <c:multiLvlStrCache>
                <c:ptCount val="13"/>
                <c:lvl>
                  <c:pt idx="2">
                    <c:v>13/07/2026</c:v>
                  </c:pt>
                  <c:pt idx="3">
                    <c:v>14/07/2026</c:v>
                  </c:pt>
                  <c:pt idx="4">
                    <c:v>16/07/2026</c:v>
                  </c:pt>
                  <c:pt idx="5">
                    <c:v>17/07/2026</c:v>
                  </c:pt>
                  <c:pt idx="6">
                    <c:v>20/07/2026</c:v>
                  </c:pt>
                  <c:pt idx="7">
                    <c:v>21/07/2026</c:v>
                  </c:pt>
                  <c:pt idx="8">
                    <c:v>22/07/2026</c:v>
                  </c:pt>
                  <c:pt idx="9">
                    <c:v>23/07/2026</c:v>
                  </c:pt>
                  <c:pt idx="10">
                    <c:v>27/07/2026</c:v>
                  </c:pt>
                  <c:pt idx="11">
                    <c:v>28/07/2026</c:v>
                  </c:pt>
                  <c:pt idx="12">
                    <c:v>29/07/2026</c:v>
                  </c:pt>
                </c:lvl>
                <c:lvl>
                  <c:pt idx="0">
                    <c:v>27</c:v>
                  </c:pt>
                  <c:pt idx="1">
                    <c:v>28</c:v>
                  </c:pt>
                  <c:pt idx="2">
                    <c:v>29</c:v>
                  </c:pt>
                  <c:pt idx="6">
                    <c:v>30</c:v>
                  </c:pt>
                  <c:pt idx="10">
                    <c:v>31</c:v>
                  </c:pt>
                </c:lvl>
              </c:multiLvlStrCache>
            </c:multiLvlStrRef>
          </c:cat>
          <c:val>
            <c:numRef>
              <c:f>Tabela_Dinâmica!$G$23:$G$39</c:f>
              <c:numCache>
                <c:formatCode>General</c:formatCode>
                <c:ptCount val="13"/>
                <c:pt idx="0">
                  <c:v>4</c:v>
                </c:pt>
                <c:pt idx="1">
                  <c:v>12</c:v>
                </c:pt>
                <c:pt idx="3">
                  <c:v>2</c:v>
                </c:pt>
                <c:pt idx="4">
                  <c:v>5</c:v>
                </c:pt>
                <c:pt idx="5">
                  <c:v>1</c:v>
                </c:pt>
                <c:pt idx="6">
                  <c:v>5</c:v>
                </c:pt>
                <c:pt idx="7">
                  <c:v>1</c:v>
                </c:pt>
                <c:pt idx="8">
                  <c:v>3</c:v>
                </c:pt>
                <c:pt idx="9">
                  <c:v>3</c:v>
                </c:pt>
                <c:pt idx="10">
                  <c:v>3</c:v>
                </c:pt>
                <c:pt idx="11">
                  <c:v>3</c:v>
                </c:pt>
                <c:pt idx="12">
                  <c:v>2</c:v>
                </c:pt>
              </c:numCache>
            </c:numRef>
          </c:val>
          <c:extLst>
            <c:ext xmlns:c16="http://schemas.microsoft.com/office/drawing/2014/chart" uri="{C3380CC4-5D6E-409C-BE32-E72D297353CC}">
              <c16:uniqueId val="{00000000-0837-4082-A742-4832E7AF0B5B}"/>
            </c:ext>
          </c:extLst>
        </c:ser>
        <c:ser>
          <c:idx val="1"/>
          <c:order val="1"/>
          <c:tx>
            <c:strRef>
              <c:f>Tabela_Dinâmica!$H$21:$H$22</c:f>
              <c:strCache>
                <c:ptCount val="1"/>
                <c:pt idx="0">
                  <c:v>Falta de todos os produtos da Nota Fiscal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2">
                        <a:lumMod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Tabela_Dinâmica!$F$23:$F$39</c:f>
              <c:multiLvlStrCache>
                <c:ptCount val="13"/>
                <c:lvl>
                  <c:pt idx="2">
                    <c:v>13/07/2026</c:v>
                  </c:pt>
                  <c:pt idx="3">
                    <c:v>14/07/2026</c:v>
                  </c:pt>
                  <c:pt idx="4">
                    <c:v>16/07/2026</c:v>
                  </c:pt>
                  <c:pt idx="5">
                    <c:v>17/07/2026</c:v>
                  </c:pt>
                  <c:pt idx="6">
                    <c:v>20/07/2026</c:v>
                  </c:pt>
                  <c:pt idx="7">
                    <c:v>21/07/2026</c:v>
                  </c:pt>
                  <c:pt idx="8">
                    <c:v>22/07/2026</c:v>
                  </c:pt>
                  <c:pt idx="9">
                    <c:v>23/07/2026</c:v>
                  </c:pt>
                  <c:pt idx="10">
                    <c:v>27/07/2026</c:v>
                  </c:pt>
                  <c:pt idx="11">
                    <c:v>28/07/2026</c:v>
                  </c:pt>
                  <c:pt idx="12">
                    <c:v>29/07/2026</c:v>
                  </c:pt>
                </c:lvl>
                <c:lvl>
                  <c:pt idx="0">
                    <c:v>27</c:v>
                  </c:pt>
                  <c:pt idx="1">
                    <c:v>28</c:v>
                  </c:pt>
                  <c:pt idx="2">
                    <c:v>29</c:v>
                  </c:pt>
                  <c:pt idx="6">
                    <c:v>30</c:v>
                  </c:pt>
                  <c:pt idx="10">
                    <c:v>31</c:v>
                  </c:pt>
                </c:lvl>
              </c:multiLvlStrCache>
            </c:multiLvlStrRef>
          </c:cat>
          <c:val>
            <c:numRef>
              <c:f>Tabela_Dinâmica!$H$23:$H$39</c:f>
              <c:numCache>
                <c:formatCode>General</c:formatCode>
                <c:ptCount val="13"/>
                <c:pt idx="0">
                  <c:v>1</c:v>
                </c:pt>
                <c:pt idx="1">
                  <c:v>5</c:v>
                </c:pt>
                <c:pt idx="6">
                  <c:v>1</c:v>
                </c:pt>
                <c:pt idx="7">
                  <c:v>1</c:v>
                </c:pt>
              </c:numCache>
            </c:numRef>
          </c:val>
          <c:extLst>
            <c:ext xmlns:c16="http://schemas.microsoft.com/office/drawing/2014/chart" uri="{C3380CC4-5D6E-409C-BE32-E72D297353CC}">
              <c16:uniqueId val="{00000006-BECE-4A81-AD72-5E484CFADD21}"/>
            </c:ext>
          </c:extLst>
        </c:ser>
        <c:ser>
          <c:idx val="2"/>
          <c:order val="2"/>
          <c:tx>
            <c:strRef>
              <c:f>Tabela_Dinâmica!$I$21:$I$22</c:f>
              <c:strCache>
                <c:ptCount val="1"/>
                <c:pt idx="0">
                  <c:v>Inversão de Produto</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Tabela_Dinâmica!$F$23:$F$39</c:f>
              <c:multiLvlStrCache>
                <c:ptCount val="13"/>
                <c:lvl>
                  <c:pt idx="2">
                    <c:v>13/07/2026</c:v>
                  </c:pt>
                  <c:pt idx="3">
                    <c:v>14/07/2026</c:v>
                  </c:pt>
                  <c:pt idx="4">
                    <c:v>16/07/2026</c:v>
                  </c:pt>
                  <c:pt idx="5">
                    <c:v>17/07/2026</c:v>
                  </c:pt>
                  <c:pt idx="6">
                    <c:v>20/07/2026</c:v>
                  </c:pt>
                  <c:pt idx="7">
                    <c:v>21/07/2026</c:v>
                  </c:pt>
                  <c:pt idx="8">
                    <c:v>22/07/2026</c:v>
                  </c:pt>
                  <c:pt idx="9">
                    <c:v>23/07/2026</c:v>
                  </c:pt>
                  <c:pt idx="10">
                    <c:v>27/07/2026</c:v>
                  </c:pt>
                  <c:pt idx="11">
                    <c:v>28/07/2026</c:v>
                  </c:pt>
                  <c:pt idx="12">
                    <c:v>29/07/2026</c:v>
                  </c:pt>
                </c:lvl>
                <c:lvl>
                  <c:pt idx="0">
                    <c:v>27</c:v>
                  </c:pt>
                  <c:pt idx="1">
                    <c:v>28</c:v>
                  </c:pt>
                  <c:pt idx="2">
                    <c:v>29</c:v>
                  </c:pt>
                  <c:pt idx="6">
                    <c:v>30</c:v>
                  </c:pt>
                  <c:pt idx="10">
                    <c:v>31</c:v>
                  </c:pt>
                </c:lvl>
              </c:multiLvlStrCache>
            </c:multiLvlStrRef>
          </c:cat>
          <c:val>
            <c:numRef>
              <c:f>Tabela_Dinâmica!$I$23:$I$39</c:f>
              <c:numCache>
                <c:formatCode>General</c:formatCode>
                <c:ptCount val="13"/>
                <c:pt idx="0">
                  <c:v>1</c:v>
                </c:pt>
                <c:pt idx="1">
                  <c:v>1</c:v>
                </c:pt>
                <c:pt idx="2">
                  <c:v>1</c:v>
                </c:pt>
                <c:pt idx="3">
                  <c:v>1</c:v>
                </c:pt>
                <c:pt idx="5">
                  <c:v>1</c:v>
                </c:pt>
                <c:pt idx="7">
                  <c:v>1</c:v>
                </c:pt>
                <c:pt idx="8">
                  <c:v>3</c:v>
                </c:pt>
              </c:numCache>
            </c:numRef>
          </c:val>
          <c:extLst>
            <c:ext xmlns:c16="http://schemas.microsoft.com/office/drawing/2014/chart" uri="{C3380CC4-5D6E-409C-BE32-E72D297353CC}">
              <c16:uniqueId val="{00000001-E3C8-49F9-B8D1-4F4976A683D2}"/>
            </c:ext>
          </c:extLst>
        </c:ser>
        <c:ser>
          <c:idx val="3"/>
          <c:order val="3"/>
          <c:tx>
            <c:strRef>
              <c:f>Tabela_Dinâmica!$J$21:$J$22</c:f>
              <c:strCache>
                <c:ptCount val="1"/>
                <c:pt idx="0">
                  <c:v>Sobra</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Tabela_Dinâmica!$F$23:$F$39</c:f>
              <c:multiLvlStrCache>
                <c:ptCount val="13"/>
                <c:lvl>
                  <c:pt idx="2">
                    <c:v>13/07/2026</c:v>
                  </c:pt>
                  <c:pt idx="3">
                    <c:v>14/07/2026</c:v>
                  </c:pt>
                  <c:pt idx="4">
                    <c:v>16/07/2026</c:v>
                  </c:pt>
                  <c:pt idx="5">
                    <c:v>17/07/2026</c:v>
                  </c:pt>
                  <c:pt idx="6">
                    <c:v>20/07/2026</c:v>
                  </c:pt>
                  <c:pt idx="7">
                    <c:v>21/07/2026</c:v>
                  </c:pt>
                  <c:pt idx="8">
                    <c:v>22/07/2026</c:v>
                  </c:pt>
                  <c:pt idx="9">
                    <c:v>23/07/2026</c:v>
                  </c:pt>
                  <c:pt idx="10">
                    <c:v>27/07/2026</c:v>
                  </c:pt>
                  <c:pt idx="11">
                    <c:v>28/07/2026</c:v>
                  </c:pt>
                  <c:pt idx="12">
                    <c:v>29/07/2026</c:v>
                  </c:pt>
                </c:lvl>
                <c:lvl>
                  <c:pt idx="0">
                    <c:v>27</c:v>
                  </c:pt>
                  <c:pt idx="1">
                    <c:v>28</c:v>
                  </c:pt>
                  <c:pt idx="2">
                    <c:v>29</c:v>
                  </c:pt>
                  <c:pt idx="6">
                    <c:v>30</c:v>
                  </c:pt>
                  <c:pt idx="10">
                    <c:v>31</c:v>
                  </c:pt>
                </c:lvl>
              </c:multiLvlStrCache>
            </c:multiLvlStrRef>
          </c:cat>
          <c:val>
            <c:numRef>
              <c:f>Tabela_Dinâmica!$J$23:$J$39</c:f>
              <c:numCache>
                <c:formatCode>General</c:formatCode>
                <c:ptCount val="13"/>
                <c:pt idx="3">
                  <c:v>1</c:v>
                </c:pt>
              </c:numCache>
            </c:numRef>
          </c:val>
          <c:extLst>
            <c:ext xmlns:c16="http://schemas.microsoft.com/office/drawing/2014/chart" uri="{C3380CC4-5D6E-409C-BE32-E72D297353CC}">
              <c16:uniqueId val="{00000002-E3C8-49F9-B8D1-4F4976A683D2}"/>
            </c:ext>
          </c:extLst>
        </c:ser>
        <c:dLbls>
          <c:dLblPos val="ctr"/>
          <c:showLegendKey val="0"/>
          <c:showVal val="1"/>
          <c:showCatName val="0"/>
          <c:showSerName val="0"/>
          <c:showPercent val="0"/>
          <c:showBubbleSize val="0"/>
        </c:dLbls>
        <c:gapWidth val="150"/>
        <c:overlap val="100"/>
        <c:axId val="460803487"/>
        <c:axId val="460825567"/>
      </c:barChart>
      <c:catAx>
        <c:axId val="4608034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25000"/>
                  </a:schemeClr>
                </a:solidFill>
                <a:latin typeface="+mn-lt"/>
                <a:ea typeface="+mn-ea"/>
                <a:cs typeface="+mn-cs"/>
              </a:defRPr>
            </a:pPr>
            <a:endParaRPr lang="en-US"/>
          </a:p>
        </c:txPr>
        <c:crossAx val="460825567"/>
        <c:crosses val="autoZero"/>
        <c:auto val="1"/>
        <c:lblAlgn val="ctr"/>
        <c:lblOffset val="100"/>
        <c:noMultiLvlLbl val="0"/>
      </c:catAx>
      <c:valAx>
        <c:axId val="460825567"/>
        <c:scaling>
          <c:orientation val="minMax"/>
        </c:scaling>
        <c:delete val="1"/>
        <c:axPos val="l"/>
        <c:numFmt formatCode="General" sourceLinked="1"/>
        <c:majorTickMark val="none"/>
        <c:minorTickMark val="none"/>
        <c:tickLblPos val="nextTo"/>
        <c:crossAx val="460803487"/>
        <c:crosses val="autoZero"/>
        <c:crossBetween val="between"/>
      </c:valAx>
      <c:spPr>
        <a:noFill/>
        <a:ln>
          <a:noFill/>
        </a:ln>
        <a:effectLst/>
      </c:spPr>
    </c:plotArea>
    <c:legend>
      <c:legendPos val="t"/>
      <c:layout>
        <c:manualLayout>
          <c:xMode val="edge"/>
          <c:yMode val="edge"/>
          <c:x val="0.28575866571647068"/>
          <c:y val="0.13963530418777215"/>
          <c:w val="0.26681819296229203"/>
          <c:h val="9.0746985561104596E-2"/>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bg2">
                  <a:lumMod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2">
              <a:lumMod val="25000"/>
            </a:schemeClr>
          </a:solidFill>
        </a:defRPr>
      </a:pPr>
      <a:endParaRPr lang="en-US"/>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Ocorrências Forms  30-07.xlsm]Tabela_Dinâmica!Tabela dinâmica4</c:name>
    <c:fmtId val="765"/>
  </c:pivotSource>
  <c:chart>
    <c:title>
      <c:tx>
        <c:rich>
          <a:bodyPr rot="0" spcFirstLastPara="1" vertOverflow="ellipsis" vert="horz" wrap="square" anchor="ctr" anchorCtr="1"/>
          <a:lstStyle/>
          <a:p>
            <a:pPr>
              <a:defRPr sz="1000" b="1" i="0" u="none" strike="noStrike" kern="1200" baseline="0">
                <a:solidFill>
                  <a:schemeClr val="bg2">
                    <a:lumMod val="25000"/>
                  </a:schemeClr>
                </a:solidFill>
                <a:latin typeface="Montserrat" panose="00000500000000000000" pitchFamily="2" charset="0"/>
                <a:ea typeface="+mn-ea"/>
                <a:cs typeface="+mn-cs"/>
              </a:defRPr>
            </a:pPr>
            <a:r>
              <a:rPr lang="en-US" sz="1000">
                <a:latin typeface="Montserrat" panose="00000500000000000000" pitchFamily="2" charset="0"/>
              </a:rPr>
              <a:t>PROCEDÊNCIA</a:t>
            </a:r>
          </a:p>
        </c:rich>
      </c:tx>
      <c:layout>
        <c:manualLayout>
          <c:xMode val="edge"/>
          <c:yMode val="edge"/>
          <c:x val="0.42260425293249027"/>
          <c:y val="7.3937153419593345E-3"/>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bg2">
                  <a:lumMod val="25000"/>
                </a:schemeClr>
              </a:solidFill>
              <a:latin typeface="Montserrat" panose="00000500000000000000" pitchFamily="2" charset="0"/>
              <a:ea typeface="+mn-ea"/>
              <a:cs typeface="+mn-cs"/>
            </a:defRPr>
          </a:pPr>
          <a:endParaRPr lang="en-US"/>
        </a:p>
      </c:txPr>
    </c:title>
    <c:autoTitleDeleted val="0"/>
    <c:pivotFmts>
      <c:pivotFmt>
        <c:idx val="0"/>
        <c:dLbl>
          <c:idx val="0"/>
          <c:showLegendKey val="0"/>
          <c:showVal val="0"/>
          <c:showCatName val="0"/>
          <c:showSerName val="0"/>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25000"/>
                    </a:schemeClr>
                  </a:solidFill>
                  <a:latin typeface="Aptos Narrow" panose="020B000402020202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pivotFmt>
      <c:pivotFmt>
        <c:idx val="9"/>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pivotFmt>
      <c:pivotFmt>
        <c:idx val="10"/>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pivotFmt>
      <c:pivotFmt>
        <c:idx val="11"/>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pivotFmt>
      <c:pivotFmt>
        <c:idx val="12"/>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pivotFmt>
      <c:pivotFmt>
        <c:idx val="13"/>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pivotFmt>
      <c:pivotFmt>
        <c:idx val="14"/>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pivotFmt>
      <c:pivotFmt>
        <c:idx val="15"/>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pivotFmt>
      <c:pivotFmt>
        <c:idx val="16"/>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pivotFmt>
      <c:pivotFmt>
        <c:idx val="17"/>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pivotFmt>
      <c:pivotFmt>
        <c:idx val="18"/>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pivotFmt>
      <c:pivotFmt>
        <c:idx val="19"/>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25000"/>
                    </a:schemeClr>
                  </a:solidFill>
                  <a:latin typeface="Aptos Narrow" panose="020B000402020202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pivotFmt>
      <c:pivotFmt>
        <c:idx val="21"/>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25000"/>
                    </a:schemeClr>
                  </a:solidFill>
                  <a:latin typeface="Aptos Narrow" panose="020B000402020202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pivotFmt>
      <c:pivotFmt>
        <c:idx val="23"/>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pivotFmt>
      <c:pivotFmt>
        <c:idx val="24"/>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pivotFmt>
      <c:pivotFmt>
        <c:idx val="25"/>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pivotFmt>
      <c:pivotFmt>
        <c:idx val="26"/>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pivotFmt>
    </c:pivotFmts>
    <c:plotArea>
      <c:layout>
        <c:manualLayout>
          <c:layoutTarget val="inner"/>
          <c:xMode val="edge"/>
          <c:yMode val="edge"/>
          <c:x val="0.36601983182820008"/>
          <c:y val="0.13735019721425765"/>
          <c:w val="0.25901384196758376"/>
          <c:h val="0.86034727174814796"/>
        </c:manualLayout>
      </c:layout>
      <c:doughnutChart>
        <c:varyColors val="1"/>
        <c:ser>
          <c:idx val="0"/>
          <c:order val="0"/>
          <c:tx>
            <c:strRef>
              <c:f>Tabela_Dinâmica!$B$3</c:f>
              <c:strCache>
                <c:ptCount val="1"/>
                <c:pt idx="0">
                  <c:v>Total</c:v>
                </c:pt>
              </c:strCache>
            </c:strRef>
          </c:tx>
          <c:spPr>
            <a:scene3d>
              <a:camera prst="orthographicFront"/>
              <a:lightRig rig="threePt" dir="t"/>
            </a:scene3d>
            <a:sp3d>
              <a:bevelT/>
            </a:sp3d>
          </c:spPr>
          <c:dPt>
            <c:idx val="0"/>
            <c:bubble3D val="0"/>
            <c:spPr>
              <a:solidFill>
                <a:schemeClr val="accent1"/>
              </a:solidFill>
              <a:ln>
                <a:noFill/>
              </a:ln>
              <a:effectLst>
                <a:outerShdw blurRad="317500" algn="ctr" rotWithShape="0">
                  <a:prstClr val="black">
                    <a:alpha val="25000"/>
                  </a:prstClr>
                </a:outerShdw>
              </a:effectLst>
              <a:scene3d>
                <a:camera prst="orthographicFront"/>
                <a:lightRig rig="threePt" dir="t"/>
              </a:scene3d>
              <a:sp3d>
                <a:bevelT/>
              </a:sp3d>
            </c:spPr>
            <c:extLst>
              <c:ext xmlns:c16="http://schemas.microsoft.com/office/drawing/2014/chart" uri="{C3380CC4-5D6E-409C-BE32-E72D297353CC}">
                <c16:uniqueId val="{00000001-F3A9-44F5-B45F-A0F90D50C558}"/>
              </c:ext>
            </c:extLst>
          </c:dPt>
          <c:dPt>
            <c:idx val="1"/>
            <c:bubble3D val="0"/>
            <c:spPr>
              <a:solidFill>
                <a:schemeClr val="accent2"/>
              </a:solidFill>
              <a:ln>
                <a:noFill/>
              </a:ln>
              <a:effectLst>
                <a:outerShdw blurRad="317500" algn="ctr" rotWithShape="0">
                  <a:prstClr val="black">
                    <a:alpha val="25000"/>
                  </a:prstClr>
                </a:outerShdw>
              </a:effectLst>
              <a:scene3d>
                <a:camera prst="orthographicFront"/>
                <a:lightRig rig="threePt" dir="t"/>
              </a:scene3d>
              <a:sp3d>
                <a:bevelT/>
              </a:sp3d>
            </c:spPr>
            <c:extLst>
              <c:ext xmlns:c16="http://schemas.microsoft.com/office/drawing/2014/chart" uri="{C3380CC4-5D6E-409C-BE32-E72D297353CC}">
                <c16:uniqueId val="{00000003-F3A9-44F5-B45F-A0F90D50C558}"/>
              </c:ext>
            </c:extLst>
          </c:dPt>
          <c:dPt>
            <c:idx val="2"/>
            <c:bubble3D val="0"/>
            <c:spPr>
              <a:solidFill>
                <a:schemeClr val="accent3"/>
              </a:solidFill>
              <a:ln>
                <a:noFill/>
              </a:ln>
              <a:effectLst>
                <a:outerShdw blurRad="317500" algn="ctr" rotWithShape="0">
                  <a:prstClr val="black">
                    <a:alpha val="25000"/>
                  </a:prstClr>
                </a:outerShdw>
              </a:effectLst>
              <a:scene3d>
                <a:camera prst="orthographicFront"/>
                <a:lightRig rig="threePt" dir="t"/>
              </a:scene3d>
              <a:sp3d>
                <a:bevelT/>
              </a:sp3d>
            </c:spPr>
            <c:extLst>
              <c:ext xmlns:c16="http://schemas.microsoft.com/office/drawing/2014/chart" uri="{C3380CC4-5D6E-409C-BE32-E72D297353CC}">
                <c16:uniqueId val="{00000005-F3A9-44F5-B45F-A0F90D50C558}"/>
              </c:ext>
            </c:extLst>
          </c:dPt>
          <c:dPt>
            <c:idx val="3"/>
            <c:bubble3D val="0"/>
            <c:spPr>
              <a:solidFill>
                <a:schemeClr val="accent4"/>
              </a:solidFill>
              <a:ln>
                <a:noFill/>
              </a:ln>
              <a:effectLst>
                <a:outerShdw blurRad="317500" algn="ctr" rotWithShape="0">
                  <a:prstClr val="black">
                    <a:alpha val="25000"/>
                  </a:prstClr>
                </a:outerShdw>
              </a:effectLst>
              <a:scene3d>
                <a:camera prst="orthographicFront"/>
                <a:lightRig rig="threePt" dir="t"/>
              </a:scene3d>
              <a:sp3d>
                <a:bevelT/>
              </a:sp3d>
            </c:spPr>
            <c:extLst>
              <c:ext xmlns:c16="http://schemas.microsoft.com/office/drawing/2014/chart" uri="{C3380CC4-5D6E-409C-BE32-E72D297353CC}">
                <c16:uniqueId val="{00000007-F3A9-44F5-B45F-A0F90D50C558}"/>
              </c:ext>
            </c:extLst>
          </c:dPt>
          <c:dPt>
            <c:idx val="4"/>
            <c:bubble3D val="0"/>
            <c:spPr>
              <a:solidFill>
                <a:schemeClr val="accent5"/>
              </a:solidFill>
              <a:ln>
                <a:noFill/>
              </a:ln>
              <a:effectLst>
                <a:outerShdw blurRad="317500" algn="ctr" rotWithShape="0">
                  <a:prstClr val="black">
                    <a:alpha val="25000"/>
                  </a:prstClr>
                </a:outerShdw>
              </a:effectLst>
              <a:scene3d>
                <a:camera prst="orthographicFront"/>
                <a:lightRig rig="threePt" dir="t"/>
              </a:scene3d>
              <a:sp3d>
                <a:bevelT/>
              </a:sp3d>
            </c:spPr>
            <c:extLst>
              <c:ext xmlns:c16="http://schemas.microsoft.com/office/drawing/2014/chart" uri="{C3380CC4-5D6E-409C-BE32-E72D297353CC}">
                <c16:uniqueId val="{00000009-F3A9-44F5-B45F-A0F90D50C558}"/>
              </c:ext>
            </c:extLst>
          </c:dPt>
          <c:dPt>
            <c:idx val="5"/>
            <c:bubble3D val="0"/>
            <c:spPr>
              <a:solidFill>
                <a:schemeClr val="accent6"/>
              </a:solidFill>
              <a:ln>
                <a:noFill/>
              </a:ln>
              <a:effectLst>
                <a:outerShdw blurRad="317500" algn="ctr" rotWithShape="0">
                  <a:prstClr val="black">
                    <a:alpha val="25000"/>
                  </a:prstClr>
                </a:outerShdw>
              </a:effectLst>
              <a:scene3d>
                <a:camera prst="orthographicFront"/>
                <a:lightRig rig="threePt" dir="t"/>
              </a:scene3d>
              <a:sp3d>
                <a:bevelT/>
              </a:sp3d>
            </c:spPr>
            <c:extLst>
              <c:ext xmlns:c16="http://schemas.microsoft.com/office/drawing/2014/chart" uri="{C3380CC4-5D6E-409C-BE32-E72D297353CC}">
                <c16:uniqueId val="{0000000B-F3A9-44F5-B45F-A0F90D50C55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25000"/>
                      </a:schemeClr>
                    </a:solidFill>
                    <a:latin typeface="Aptos Narrow" panose="020B0004020202020204" pitchFamily="34" charset="0"/>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Tabela_Dinâmica!$A$4:$A$8</c:f>
              <c:strCache>
                <c:ptCount val="4"/>
                <c:pt idx="0">
                  <c:v>DESCONSIDERADA</c:v>
                </c:pt>
                <c:pt idx="1">
                  <c:v>IMPROCEDENTE</c:v>
                </c:pt>
                <c:pt idx="2">
                  <c:v>PENDENTE</c:v>
                </c:pt>
                <c:pt idx="3">
                  <c:v>PROCEDENTE</c:v>
                </c:pt>
              </c:strCache>
            </c:strRef>
          </c:cat>
          <c:val>
            <c:numRef>
              <c:f>Tabela_Dinâmica!$B$4:$B$8</c:f>
              <c:numCache>
                <c:formatCode>General</c:formatCode>
                <c:ptCount val="4"/>
                <c:pt idx="0">
                  <c:v>6</c:v>
                </c:pt>
                <c:pt idx="1">
                  <c:v>21</c:v>
                </c:pt>
                <c:pt idx="2">
                  <c:v>3</c:v>
                </c:pt>
                <c:pt idx="3">
                  <c:v>32</c:v>
                </c:pt>
              </c:numCache>
            </c:numRef>
          </c:val>
          <c:extLst>
            <c:ext xmlns:c16="http://schemas.microsoft.com/office/drawing/2014/chart" uri="{C3380CC4-5D6E-409C-BE32-E72D297353CC}">
              <c16:uniqueId val="{0000000C-F3A9-44F5-B45F-A0F90D50C558}"/>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700" b="0" i="0" u="none" strike="noStrike" kern="1200" baseline="0">
              <a:solidFill>
                <a:schemeClr val="bg2">
                  <a:lumMod val="2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dk1">
          <a:lumMod val="15000"/>
          <a:lumOff val="85000"/>
        </a:schemeClr>
      </a:solidFill>
      <a:round/>
    </a:ln>
    <a:effectLst/>
  </c:spPr>
  <c:txPr>
    <a:bodyPr/>
    <a:lstStyle/>
    <a:p>
      <a:pPr>
        <a:defRPr>
          <a:solidFill>
            <a:schemeClr val="bg2">
              <a:lumMod val="25000"/>
            </a:schemeClr>
          </a:solidFill>
          <a:latin typeface="Aptos Narrow" panose="020B0004020202020204" pitchFamily="34" charset="0"/>
        </a:defRPr>
      </a:pPr>
      <a:endParaRPr lang="en-US"/>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Ocorrências Forms  30-07.xlsm]Tabela_Dinâmica!Tabela dinâmica5</c:name>
    <c:fmtId val="762"/>
  </c:pivotSource>
  <c:chart>
    <c:title>
      <c:tx>
        <c:rich>
          <a:bodyPr rot="0" spcFirstLastPara="1" vertOverflow="ellipsis" vert="horz" wrap="square" anchor="ctr" anchorCtr="1"/>
          <a:lstStyle/>
          <a:p>
            <a:pPr>
              <a:defRPr sz="960" b="1" i="0" u="none" strike="noStrike" kern="1200" spc="0" baseline="0">
                <a:solidFill>
                  <a:schemeClr val="bg2">
                    <a:lumMod val="25000"/>
                  </a:schemeClr>
                </a:solidFill>
                <a:latin typeface="Montserrat" panose="00000500000000000000" pitchFamily="2" charset="0"/>
                <a:ea typeface="+mn-ea"/>
                <a:cs typeface="+mn-cs"/>
              </a:defRPr>
            </a:pPr>
            <a:r>
              <a:rPr lang="en-US" b="1">
                <a:latin typeface="Montserrat" panose="00000500000000000000" pitchFamily="2" charset="0"/>
              </a:rPr>
              <a:t>TIPO DE DIVERGÊNCIA</a:t>
            </a:r>
          </a:p>
        </c:rich>
      </c:tx>
      <c:layout>
        <c:manualLayout>
          <c:xMode val="edge"/>
          <c:yMode val="edge"/>
          <c:x val="0.22829378163909889"/>
          <c:y val="3.1609535128273733E-2"/>
        </c:manualLayout>
      </c:layout>
      <c:overlay val="0"/>
      <c:spPr>
        <a:noFill/>
        <a:ln>
          <a:noFill/>
        </a:ln>
        <a:effectLst/>
      </c:spPr>
      <c:txPr>
        <a:bodyPr rot="0" spcFirstLastPara="1" vertOverflow="ellipsis" vert="horz" wrap="square" anchor="ctr" anchorCtr="1"/>
        <a:lstStyle/>
        <a:p>
          <a:pPr>
            <a:defRPr sz="960" b="1" i="0" u="none" strike="noStrike" kern="1200" spc="0" baseline="0">
              <a:solidFill>
                <a:schemeClr val="bg2">
                  <a:lumMod val="25000"/>
                </a:schemeClr>
              </a:solidFill>
              <a:latin typeface="Montserrat" panose="00000500000000000000" pitchFamily="2" charset="0"/>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800" b="1" i="0" u="none" strike="noStrike" kern="1200" baseline="0">
                  <a:solidFill>
                    <a:schemeClr val="bg2">
                      <a:lumMod val="25000"/>
                    </a:schemeClr>
                  </a:solidFill>
                  <a:latin typeface="Aptos Narrow" panose="020B000402020202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w="25400">
            <a:noFill/>
          </a:ln>
          <a:effectLst/>
          <a:scene3d>
            <a:camera prst="orthographicFront"/>
            <a:lightRig rig="threePt" dir="t"/>
          </a:scene3d>
          <a:sp3d>
            <a:bevelT/>
          </a:sp3d>
        </c:spPr>
      </c:pivotFmt>
      <c:pivotFmt>
        <c:idx val="9"/>
        <c:spPr>
          <a:solidFill>
            <a:schemeClr val="accent1"/>
          </a:solidFill>
          <a:ln w="25400">
            <a:noFill/>
          </a:ln>
          <a:effectLst/>
          <a:scene3d>
            <a:camera prst="orthographicFront"/>
            <a:lightRig rig="threePt" dir="t"/>
          </a:scene3d>
          <a:sp3d>
            <a:bevelT/>
          </a:sp3d>
        </c:spPr>
      </c:pivotFmt>
      <c:pivotFmt>
        <c:idx val="10"/>
        <c:spPr>
          <a:solidFill>
            <a:schemeClr val="accent1"/>
          </a:solidFill>
          <a:ln w="25400">
            <a:noFill/>
          </a:ln>
          <a:effectLst/>
          <a:sp3d/>
        </c:spPr>
      </c:pivotFmt>
      <c:pivotFmt>
        <c:idx val="11"/>
        <c:spPr>
          <a:solidFill>
            <a:schemeClr val="accent1"/>
          </a:solidFill>
          <a:ln w="25400">
            <a:noFill/>
          </a:ln>
          <a:effectLst/>
          <a:scene3d>
            <a:camera prst="orthographicFront"/>
            <a:lightRig rig="threePt" dir="t"/>
          </a:scene3d>
          <a:sp3d>
            <a:bevelT/>
          </a:sp3d>
        </c:spPr>
      </c:pivotFmt>
      <c:pivotFmt>
        <c:idx val="12"/>
        <c:spPr>
          <a:solidFill>
            <a:schemeClr val="accent1"/>
          </a:solidFill>
          <a:ln w="25400">
            <a:noFill/>
          </a:ln>
          <a:effectLst/>
          <a:scene3d>
            <a:camera prst="orthographicFront"/>
            <a:lightRig rig="threePt" dir="t"/>
          </a:scene3d>
          <a:sp3d>
            <a:bevelT/>
          </a:sp3d>
        </c:spPr>
      </c:pivotFmt>
      <c:pivotFmt>
        <c:idx val="13"/>
        <c:spPr>
          <a:solidFill>
            <a:schemeClr val="accent1"/>
          </a:solidFill>
          <a:ln w="25400">
            <a:noFill/>
          </a:ln>
          <a:effectLst/>
          <a:scene3d>
            <a:camera prst="orthographicFront"/>
            <a:lightRig rig="threePt" dir="t"/>
          </a:scene3d>
          <a:sp3d>
            <a:bevelT/>
          </a:sp3d>
        </c:spPr>
      </c:pivotFmt>
      <c:pivotFmt>
        <c:idx val="14"/>
        <c:spPr>
          <a:solidFill>
            <a:schemeClr val="accent1"/>
          </a:solidFill>
          <a:ln w="25400">
            <a:noFill/>
          </a:ln>
          <a:effectLst/>
          <a:sp3d/>
        </c:spPr>
      </c:pivotFmt>
      <c:pivotFmt>
        <c:idx val="15"/>
        <c:spPr>
          <a:solidFill>
            <a:schemeClr val="accent1"/>
          </a:solidFill>
          <a:ln w="25400">
            <a:noFill/>
          </a:ln>
          <a:effectLst/>
          <a:scene3d>
            <a:camera prst="orthographicFront"/>
            <a:lightRig rig="threePt" dir="t"/>
          </a:scene3d>
          <a:sp3d>
            <a:bevelT/>
          </a:sp3d>
        </c:spPr>
      </c:pivotFmt>
      <c:pivotFmt>
        <c:idx val="16"/>
        <c:spPr>
          <a:solidFill>
            <a:schemeClr val="accent1"/>
          </a:solidFill>
          <a:ln w="25400">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800" b="1" i="0" u="none" strike="noStrike" kern="1200" baseline="0">
                  <a:solidFill>
                    <a:schemeClr val="bg2">
                      <a:lumMod val="25000"/>
                    </a:schemeClr>
                  </a:solidFill>
                  <a:latin typeface="Aptos Narrow" panose="020B000402020202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w="25400">
            <a:noFill/>
          </a:ln>
          <a:effectLst/>
          <a:sp3d/>
        </c:spPr>
      </c:pivotFmt>
      <c:pivotFmt>
        <c:idx val="18"/>
        <c:spPr>
          <a:solidFill>
            <a:schemeClr val="accent1"/>
          </a:solidFill>
          <a:ln w="25400">
            <a:noFill/>
          </a:ln>
          <a:effectLst/>
          <a:scene3d>
            <a:camera prst="orthographicFront"/>
            <a:lightRig rig="threePt" dir="t"/>
          </a:scene3d>
          <a:sp3d>
            <a:bevelT/>
          </a:sp3d>
        </c:spPr>
      </c:pivotFmt>
      <c:pivotFmt>
        <c:idx val="19"/>
        <c:spPr>
          <a:solidFill>
            <a:schemeClr val="accent1"/>
          </a:solidFill>
          <a:ln w="25400">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800" b="1" i="0" u="none" strike="noStrike" kern="1200" baseline="0">
                  <a:solidFill>
                    <a:schemeClr val="bg2">
                      <a:lumMod val="25000"/>
                    </a:schemeClr>
                  </a:solidFill>
                  <a:latin typeface="Aptos Narrow" panose="020B000402020202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w="25400">
            <a:noFill/>
          </a:ln>
          <a:effectLst/>
          <a:sp3d/>
        </c:spPr>
      </c:pivotFmt>
      <c:pivotFmt>
        <c:idx val="21"/>
        <c:spPr>
          <a:solidFill>
            <a:schemeClr val="accent1"/>
          </a:solidFill>
          <a:ln w="25400">
            <a:noFill/>
          </a:ln>
          <a:effectLst/>
          <a:scene3d>
            <a:camera prst="orthographicFront"/>
            <a:lightRig rig="threePt" dir="t"/>
          </a:scene3d>
          <a:sp3d>
            <a:bevelT/>
          </a:sp3d>
        </c:spPr>
      </c:pivotFmt>
      <c:pivotFmt>
        <c:idx val="22"/>
        <c:spPr>
          <a:solidFill>
            <a:schemeClr val="accent1"/>
          </a:solidFill>
          <a:ln w="25400">
            <a:noFill/>
          </a:ln>
          <a:effectLst/>
          <a:scene3d>
            <a:camera prst="orthographicFront"/>
            <a:lightRig rig="threePt" dir="t"/>
          </a:scene3d>
          <a:sp3d>
            <a:bevelT/>
          </a:sp3d>
        </c:spPr>
      </c:pivotFmt>
      <c:pivotFmt>
        <c:idx val="23"/>
        <c:spPr>
          <a:solidFill>
            <a:schemeClr val="accent1"/>
          </a:solidFill>
          <a:ln w="25400">
            <a:noFill/>
          </a:ln>
          <a:effectLst/>
          <a:scene3d>
            <a:camera prst="orthographicFront"/>
            <a:lightRig rig="threePt" dir="t"/>
          </a:scene3d>
          <a:sp3d>
            <a:bevelT/>
          </a:sp3d>
        </c:spPr>
      </c:pivotFmt>
      <c:pivotFmt>
        <c:idx val="24"/>
        <c:spPr>
          <a:solidFill>
            <a:schemeClr val="accent1"/>
          </a:solidFill>
          <a:ln w="25400">
            <a:noFill/>
          </a:ln>
          <a:effectLst/>
          <a:scene3d>
            <a:camera prst="orthographicFront"/>
            <a:lightRig rig="threePt" dir="t"/>
          </a:scene3d>
          <a:sp3d>
            <a:bevel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34901721764150806"/>
          <c:w val="0.60791318303755082"/>
          <c:h val="0.63273177296845751"/>
        </c:manualLayout>
      </c:layout>
      <c:pie3DChart>
        <c:varyColors val="1"/>
        <c:ser>
          <c:idx val="0"/>
          <c:order val="0"/>
          <c:tx>
            <c:strRef>
              <c:f>Tabela_Dinâmica!$B$13</c:f>
              <c:strCache>
                <c:ptCount val="1"/>
                <c:pt idx="0">
                  <c:v>Total</c:v>
                </c:pt>
              </c:strCache>
            </c:strRef>
          </c:tx>
          <c:spPr>
            <a:ln>
              <a:noFill/>
            </a:ln>
            <a:scene3d>
              <a:camera prst="orthographicFront"/>
              <a:lightRig rig="threePt" dir="t"/>
            </a:scene3d>
            <a:sp3d>
              <a:bevelT/>
            </a:sp3d>
          </c:spPr>
          <c:dPt>
            <c:idx val="0"/>
            <c:bubble3D val="0"/>
            <c:spPr>
              <a:solidFill>
                <a:schemeClr val="accent1"/>
              </a:solidFill>
              <a:ln w="25400">
                <a:noFill/>
              </a:ln>
              <a:effectLst/>
              <a:scene3d>
                <a:camera prst="orthographicFront"/>
                <a:lightRig rig="threePt" dir="t"/>
              </a:scene3d>
              <a:sp3d>
                <a:bevelT/>
              </a:sp3d>
            </c:spPr>
            <c:extLst>
              <c:ext xmlns:c16="http://schemas.microsoft.com/office/drawing/2014/chart" uri="{C3380CC4-5D6E-409C-BE32-E72D297353CC}">
                <c16:uniqueId val="{00000001-380A-4AD9-AED0-0948BF08335F}"/>
              </c:ext>
            </c:extLst>
          </c:dPt>
          <c:dPt>
            <c:idx val="1"/>
            <c:bubble3D val="0"/>
            <c:spPr>
              <a:solidFill>
                <a:schemeClr val="accent2"/>
              </a:solidFill>
              <a:ln w="25400">
                <a:noFill/>
              </a:ln>
              <a:effectLst/>
              <a:sp3d/>
            </c:spPr>
            <c:extLst>
              <c:ext xmlns:c16="http://schemas.microsoft.com/office/drawing/2014/chart" uri="{C3380CC4-5D6E-409C-BE32-E72D297353CC}">
                <c16:uniqueId val="{00000003-380A-4AD9-AED0-0948BF08335F}"/>
              </c:ext>
            </c:extLst>
          </c:dPt>
          <c:dPt>
            <c:idx val="2"/>
            <c:bubble3D val="0"/>
            <c:spPr>
              <a:solidFill>
                <a:schemeClr val="accent3"/>
              </a:solidFill>
              <a:ln w="25400">
                <a:noFill/>
              </a:ln>
              <a:effectLst/>
              <a:scene3d>
                <a:camera prst="orthographicFront"/>
                <a:lightRig rig="threePt" dir="t"/>
              </a:scene3d>
              <a:sp3d>
                <a:bevelT/>
              </a:sp3d>
            </c:spPr>
            <c:extLst>
              <c:ext xmlns:c16="http://schemas.microsoft.com/office/drawing/2014/chart" uri="{C3380CC4-5D6E-409C-BE32-E72D297353CC}">
                <c16:uniqueId val="{00000005-380A-4AD9-AED0-0948BF08335F}"/>
              </c:ext>
            </c:extLst>
          </c:dPt>
          <c:dPt>
            <c:idx val="3"/>
            <c:bubble3D val="0"/>
            <c:spPr>
              <a:solidFill>
                <a:schemeClr val="accent4"/>
              </a:solidFill>
              <a:ln w="25400">
                <a:noFill/>
              </a:ln>
              <a:effectLst/>
              <a:scene3d>
                <a:camera prst="orthographicFront"/>
                <a:lightRig rig="threePt" dir="t"/>
              </a:scene3d>
              <a:sp3d>
                <a:bevelT/>
              </a:sp3d>
            </c:spPr>
            <c:extLst>
              <c:ext xmlns:c16="http://schemas.microsoft.com/office/drawing/2014/chart" uri="{C3380CC4-5D6E-409C-BE32-E72D297353CC}">
                <c16:uniqueId val="{00000007-380A-4AD9-AED0-0948BF08335F}"/>
              </c:ext>
            </c:extLst>
          </c:dPt>
          <c:dPt>
            <c:idx val="4"/>
            <c:bubble3D val="0"/>
            <c:spPr>
              <a:solidFill>
                <a:schemeClr val="accent5"/>
              </a:solidFill>
              <a:ln w="25400">
                <a:noFill/>
              </a:ln>
              <a:effectLst/>
              <a:scene3d>
                <a:camera prst="orthographicFront"/>
                <a:lightRig rig="threePt" dir="t"/>
              </a:scene3d>
              <a:sp3d>
                <a:bevelT/>
              </a:sp3d>
            </c:spPr>
            <c:extLst>
              <c:ext xmlns:c16="http://schemas.microsoft.com/office/drawing/2014/chart" uri="{C3380CC4-5D6E-409C-BE32-E72D297353CC}">
                <c16:uniqueId val="{00000009-380A-4AD9-AED0-0948BF08335F}"/>
              </c:ext>
            </c:extLst>
          </c:dPt>
          <c:dPt>
            <c:idx val="5"/>
            <c:bubble3D val="0"/>
            <c:spPr>
              <a:solidFill>
                <a:schemeClr val="accent6"/>
              </a:solidFill>
              <a:ln w="25400">
                <a:noFill/>
              </a:ln>
              <a:effectLst/>
              <a:scene3d>
                <a:camera prst="orthographicFront"/>
                <a:lightRig rig="threePt" dir="t"/>
              </a:scene3d>
              <a:sp3d>
                <a:bevelT/>
              </a:sp3d>
            </c:spPr>
            <c:extLst>
              <c:ext xmlns:c16="http://schemas.microsoft.com/office/drawing/2014/chart" uri="{C3380CC4-5D6E-409C-BE32-E72D297353CC}">
                <c16:uniqueId val="{0000000B-380A-4AD9-AED0-0948BF08335F}"/>
              </c:ext>
            </c:extLst>
          </c:dPt>
          <c:dLbls>
            <c:spPr>
              <a:noFill/>
              <a:ln>
                <a:noFill/>
              </a:ln>
              <a:effectLst/>
            </c:spPr>
            <c:txPr>
              <a:bodyPr rot="0" spcFirstLastPara="1" vertOverflow="ellipsis" vert="horz" wrap="square" anchor="ctr" anchorCtr="1"/>
              <a:lstStyle/>
              <a:p>
                <a:pPr>
                  <a:defRPr sz="800" b="1" i="0" u="none" strike="noStrike" kern="1200" baseline="0">
                    <a:solidFill>
                      <a:schemeClr val="bg2">
                        <a:lumMod val="25000"/>
                      </a:schemeClr>
                    </a:solidFill>
                    <a:latin typeface="Aptos Narrow" panose="020B0004020202020204" pitchFamily="34" charset="0"/>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Tabela_Dinâmica!$A$14:$A$18</c:f>
              <c:strCache>
                <c:ptCount val="4"/>
                <c:pt idx="0">
                  <c:v>Falta de todos os produtos da Nota Fiscal</c:v>
                </c:pt>
                <c:pt idx="1">
                  <c:v>Inversão de Produto</c:v>
                </c:pt>
                <c:pt idx="2">
                  <c:v>Falta</c:v>
                </c:pt>
                <c:pt idx="3">
                  <c:v>Sobra</c:v>
                </c:pt>
              </c:strCache>
            </c:strRef>
          </c:cat>
          <c:val>
            <c:numRef>
              <c:f>Tabela_Dinâmica!$B$14:$B$18</c:f>
              <c:numCache>
                <c:formatCode>General</c:formatCode>
                <c:ptCount val="4"/>
                <c:pt idx="0">
                  <c:v>8</c:v>
                </c:pt>
                <c:pt idx="1">
                  <c:v>9</c:v>
                </c:pt>
                <c:pt idx="2">
                  <c:v>44</c:v>
                </c:pt>
                <c:pt idx="3">
                  <c:v>1</c:v>
                </c:pt>
              </c:numCache>
            </c:numRef>
          </c:val>
          <c:extLst>
            <c:ext xmlns:c16="http://schemas.microsoft.com/office/drawing/2014/chart" uri="{C3380CC4-5D6E-409C-BE32-E72D297353CC}">
              <c16:uniqueId val="{0000000C-380A-4AD9-AED0-0948BF08335F}"/>
            </c:ext>
          </c:extLst>
        </c:ser>
        <c:dLbls>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65653253608199635"/>
          <c:y val="0.22637212015164776"/>
          <c:w val="0.3434674639180037"/>
          <c:h val="0.59465618860510805"/>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bg2">
                  <a:lumMod val="2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800">
          <a:solidFill>
            <a:schemeClr val="bg2">
              <a:lumMod val="25000"/>
            </a:schemeClr>
          </a:solidFill>
          <a:latin typeface="Aptos Narrow" panose="020B0004020202020204" pitchFamily="34" charset="0"/>
        </a:defRPr>
      </a:pPr>
      <a:endParaRPr lang="en-US"/>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Ocorrências Forms  30-07.xlsm]Tabela_Dinâmica!Tabela dinâmica10</c:name>
    <c:fmtId val="759"/>
  </c:pivotSource>
  <c:chart>
    <c:title>
      <c:tx>
        <c:rich>
          <a:bodyPr rot="0" spcFirstLastPara="1" vertOverflow="ellipsis" vert="horz" wrap="square" anchor="ctr" anchorCtr="1"/>
          <a:lstStyle/>
          <a:p>
            <a:pPr>
              <a:defRPr sz="1000" b="1" i="0" u="none" strike="noStrike" kern="1200" spc="0" baseline="0">
                <a:solidFill>
                  <a:schemeClr val="bg2">
                    <a:lumMod val="25000"/>
                  </a:schemeClr>
                </a:solidFill>
                <a:latin typeface="Montserrat" panose="00000500000000000000" pitchFamily="2" charset="0"/>
                <a:ea typeface="+mn-ea"/>
                <a:cs typeface="+mn-cs"/>
              </a:defRPr>
            </a:pPr>
            <a:r>
              <a:rPr lang="pt-BR" sz="1000" b="1">
                <a:latin typeface="Montserrat" panose="00000500000000000000" pitchFamily="2" charset="0"/>
              </a:rPr>
              <a:t>PROCEDÊNCIA</a:t>
            </a:r>
          </a:p>
        </c:rich>
      </c:tx>
      <c:overlay val="0"/>
      <c:spPr>
        <a:noFill/>
        <a:ln>
          <a:noFill/>
        </a:ln>
        <a:effectLst/>
      </c:spPr>
      <c:txPr>
        <a:bodyPr rot="0" spcFirstLastPara="1" vertOverflow="ellipsis" vert="horz" wrap="square" anchor="ctr" anchorCtr="1"/>
        <a:lstStyle/>
        <a:p>
          <a:pPr>
            <a:defRPr sz="1000" b="1" i="0" u="none" strike="noStrike" kern="1200" spc="0" baseline="0">
              <a:solidFill>
                <a:schemeClr val="bg2">
                  <a:lumMod val="25000"/>
                </a:schemeClr>
              </a:solidFill>
              <a:latin typeface="Montserrat" panose="00000500000000000000" pitchFamily="2"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lumMod val="25000"/>
                    </a:schemeClr>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lumMod val="25000"/>
                    </a:schemeClr>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lumMod val="25000"/>
                    </a:schemeClr>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Tabela_Dinâmica!$V$4</c:f>
              <c:strCache>
                <c:ptCount val="1"/>
                <c:pt idx="0">
                  <c:v>Total</c:v>
                </c:pt>
              </c:strCache>
            </c:strRef>
          </c:tx>
          <c:spPr>
            <a:solidFill>
              <a:schemeClr val="accent1"/>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2">
                        <a:lumMod val="25000"/>
                      </a:schemeClr>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Tabela_Dinâmica!$U$5:$U$9</c:f>
              <c:strCache>
                <c:ptCount val="4"/>
                <c:pt idx="0">
                  <c:v>DESCONSIDERADA</c:v>
                </c:pt>
                <c:pt idx="1">
                  <c:v>IMPROCEDENTE</c:v>
                </c:pt>
                <c:pt idx="2">
                  <c:v>PENDENTE</c:v>
                </c:pt>
                <c:pt idx="3">
                  <c:v>PROCEDENTE</c:v>
                </c:pt>
              </c:strCache>
            </c:strRef>
          </c:cat>
          <c:val>
            <c:numRef>
              <c:f>Tabela_Dinâmica!$V$5:$V$9</c:f>
              <c:numCache>
                <c:formatCode>General</c:formatCode>
                <c:ptCount val="4"/>
                <c:pt idx="0">
                  <c:v>6</c:v>
                </c:pt>
                <c:pt idx="1">
                  <c:v>21</c:v>
                </c:pt>
                <c:pt idx="2">
                  <c:v>3</c:v>
                </c:pt>
                <c:pt idx="3">
                  <c:v>32</c:v>
                </c:pt>
              </c:numCache>
            </c:numRef>
          </c:val>
          <c:extLst>
            <c:ext xmlns:c16="http://schemas.microsoft.com/office/drawing/2014/chart" uri="{C3380CC4-5D6E-409C-BE32-E72D297353CC}">
              <c16:uniqueId val="{00000000-953C-4626-A596-FD5B1E279458}"/>
            </c:ext>
          </c:extLst>
        </c:ser>
        <c:dLbls>
          <c:showLegendKey val="0"/>
          <c:showVal val="0"/>
          <c:showCatName val="0"/>
          <c:showSerName val="0"/>
          <c:showPercent val="0"/>
          <c:showBubbleSize val="0"/>
        </c:dLbls>
        <c:gapWidth val="30"/>
        <c:overlap val="-27"/>
        <c:axId val="896069312"/>
        <c:axId val="896065952"/>
      </c:barChart>
      <c:catAx>
        <c:axId val="896069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25000"/>
                  </a:schemeClr>
                </a:solidFill>
                <a:latin typeface="Aptos Narrow" panose="020B0004020202020204" pitchFamily="34" charset="0"/>
                <a:ea typeface="+mn-ea"/>
                <a:cs typeface="+mn-cs"/>
              </a:defRPr>
            </a:pPr>
            <a:endParaRPr lang="en-US"/>
          </a:p>
        </c:txPr>
        <c:crossAx val="896065952"/>
        <c:crosses val="autoZero"/>
        <c:auto val="1"/>
        <c:lblAlgn val="ctr"/>
        <c:lblOffset val="100"/>
        <c:noMultiLvlLbl val="0"/>
      </c:catAx>
      <c:valAx>
        <c:axId val="896065952"/>
        <c:scaling>
          <c:orientation val="minMax"/>
        </c:scaling>
        <c:delete val="1"/>
        <c:axPos val="l"/>
        <c:numFmt formatCode="General" sourceLinked="1"/>
        <c:majorTickMark val="none"/>
        <c:minorTickMark val="none"/>
        <c:tickLblPos val="nextTo"/>
        <c:crossAx val="8960693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900">
          <a:solidFill>
            <a:schemeClr val="bg2">
              <a:lumMod val="25000"/>
            </a:schemeClr>
          </a:solidFill>
          <a:latin typeface="Aptos Narrow" panose="020B0004020202020204" pitchFamily="34" charset="0"/>
        </a:defRPr>
      </a:pPr>
      <a:endParaRPr lang="en-US"/>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Ocorrências Forms  30-07.xlsm]Tabela_Dinâmica!Tabela dinâmica11</c:name>
    <c:fmtId val="759"/>
  </c:pivotSource>
  <c:chart>
    <c:title>
      <c:tx>
        <c:rich>
          <a:bodyPr rot="0" spcFirstLastPara="1" vertOverflow="ellipsis" vert="horz" wrap="square" anchor="ctr" anchorCtr="1"/>
          <a:lstStyle/>
          <a:p>
            <a:pPr>
              <a:defRPr sz="1050" b="1" i="0" u="none" strike="noStrike" kern="1200" spc="0" baseline="0">
                <a:solidFill>
                  <a:schemeClr val="bg2">
                    <a:lumMod val="25000"/>
                  </a:schemeClr>
                </a:solidFill>
                <a:latin typeface="Montserrat" panose="00000500000000000000" pitchFamily="2" charset="0"/>
                <a:ea typeface="+mn-ea"/>
                <a:cs typeface="+mn-cs"/>
              </a:defRPr>
            </a:pPr>
            <a:r>
              <a:rPr lang="en-US" sz="1050" b="1">
                <a:latin typeface="Montserrat" panose="00000500000000000000" pitchFamily="2" charset="0"/>
              </a:rPr>
              <a:t>TIPO DE DIVERGÊNCIA</a:t>
            </a:r>
          </a:p>
        </c:rich>
      </c:tx>
      <c:overlay val="0"/>
      <c:spPr>
        <a:noFill/>
        <a:ln>
          <a:noFill/>
        </a:ln>
        <a:effectLst/>
      </c:spPr>
      <c:txPr>
        <a:bodyPr rot="0" spcFirstLastPara="1" vertOverflow="ellipsis" vert="horz" wrap="square" anchor="ctr" anchorCtr="1"/>
        <a:lstStyle/>
        <a:p>
          <a:pPr>
            <a:defRPr sz="1050" b="1" i="0" u="none" strike="noStrike" kern="1200" spc="0" baseline="0">
              <a:solidFill>
                <a:schemeClr val="bg2">
                  <a:lumMod val="25000"/>
                </a:schemeClr>
              </a:solidFill>
              <a:latin typeface="Montserrat" panose="00000500000000000000" pitchFamily="2"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lumMod val="25000"/>
                    </a:schemeClr>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lumMod val="25000"/>
                    </a:schemeClr>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lumMod val="25000"/>
                    </a:schemeClr>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Tabela_Dinâmica!$V$16</c:f>
              <c:strCache>
                <c:ptCount val="1"/>
                <c:pt idx="0">
                  <c:v>Total</c:v>
                </c:pt>
              </c:strCache>
            </c:strRef>
          </c:tx>
          <c:spPr>
            <a:solidFill>
              <a:schemeClr val="accent1"/>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2">
                        <a:lumMod val="25000"/>
                      </a:schemeClr>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Tabela_Dinâmica!$U$17:$U$21</c:f>
              <c:strCache>
                <c:ptCount val="4"/>
                <c:pt idx="0">
                  <c:v>Falta de todos os produtos da Nota Fiscal</c:v>
                </c:pt>
                <c:pt idx="1">
                  <c:v>Inversão de Produto</c:v>
                </c:pt>
                <c:pt idx="2">
                  <c:v>Falta</c:v>
                </c:pt>
                <c:pt idx="3">
                  <c:v>Sobra</c:v>
                </c:pt>
              </c:strCache>
            </c:strRef>
          </c:cat>
          <c:val>
            <c:numRef>
              <c:f>Tabela_Dinâmica!$V$17:$V$21</c:f>
              <c:numCache>
                <c:formatCode>General</c:formatCode>
                <c:ptCount val="4"/>
                <c:pt idx="0">
                  <c:v>8</c:v>
                </c:pt>
                <c:pt idx="1">
                  <c:v>9</c:v>
                </c:pt>
                <c:pt idx="2">
                  <c:v>44</c:v>
                </c:pt>
                <c:pt idx="3">
                  <c:v>1</c:v>
                </c:pt>
              </c:numCache>
            </c:numRef>
          </c:val>
          <c:extLst>
            <c:ext xmlns:c16="http://schemas.microsoft.com/office/drawing/2014/chart" uri="{C3380CC4-5D6E-409C-BE32-E72D297353CC}">
              <c16:uniqueId val="{00000000-4C18-4CD7-8BA4-4F9E531728CE}"/>
            </c:ext>
          </c:extLst>
        </c:ser>
        <c:dLbls>
          <c:dLblPos val="inEnd"/>
          <c:showLegendKey val="0"/>
          <c:showVal val="1"/>
          <c:showCatName val="0"/>
          <c:showSerName val="0"/>
          <c:showPercent val="0"/>
          <c:showBubbleSize val="0"/>
        </c:dLbls>
        <c:gapWidth val="150"/>
        <c:overlap val="100"/>
        <c:axId val="2123601136"/>
        <c:axId val="2123610736"/>
      </c:barChart>
      <c:catAx>
        <c:axId val="21236011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25000"/>
                  </a:schemeClr>
                </a:solidFill>
                <a:latin typeface="Aptos Narrow" panose="020B0004020202020204" pitchFamily="34" charset="0"/>
                <a:ea typeface="+mn-ea"/>
                <a:cs typeface="+mn-cs"/>
              </a:defRPr>
            </a:pPr>
            <a:endParaRPr lang="en-US"/>
          </a:p>
        </c:txPr>
        <c:crossAx val="2123610736"/>
        <c:crosses val="autoZero"/>
        <c:auto val="1"/>
        <c:lblAlgn val="ctr"/>
        <c:lblOffset val="100"/>
        <c:noMultiLvlLbl val="0"/>
      </c:catAx>
      <c:valAx>
        <c:axId val="2123610736"/>
        <c:scaling>
          <c:orientation val="minMax"/>
        </c:scaling>
        <c:delete val="1"/>
        <c:axPos val="b"/>
        <c:numFmt formatCode="General" sourceLinked="1"/>
        <c:majorTickMark val="none"/>
        <c:minorTickMark val="none"/>
        <c:tickLblPos val="nextTo"/>
        <c:crossAx val="21236011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2">
              <a:lumMod val="25000"/>
            </a:schemeClr>
          </a:solidFill>
          <a:latin typeface="Aptos Narrow" panose="020B0004020202020204" pitchFamily="34" charset="0"/>
        </a:defRPr>
      </a:pPr>
      <a:endParaRPr lang="en-US"/>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Ocorrências Forms  30-07.xlsm]Tabela_Dinâmica!Tabela dinâmica13</c:name>
    <c:fmtId val="756"/>
  </c:pivotSource>
  <c:chart>
    <c:title>
      <c:tx>
        <c:rich>
          <a:bodyPr rot="0" spcFirstLastPara="1" vertOverflow="ellipsis" vert="horz" wrap="square" anchor="ctr" anchorCtr="1"/>
          <a:lstStyle/>
          <a:p>
            <a:pPr>
              <a:defRPr sz="1000" b="1" i="0" u="none" strike="noStrike" kern="1200" spc="0" baseline="0">
                <a:solidFill>
                  <a:schemeClr val="bg2">
                    <a:lumMod val="25000"/>
                  </a:schemeClr>
                </a:solidFill>
                <a:latin typeface="Montserrat" panose="00000500000000000000" pitchFamily="2" charset="0"/>
                <a:ea typeface="+mn-ea"/>
                <a:cs typeface="+mn-cs"/>
              </a:defRPr>
            </a:pPr>
            <a:r>
              <a:rPr lang="en-US" sz="1000" b="1">
                <a:latin typeface="Montserrat" panose="00000500000000000000" pitchFamily="2" charset="0"/>
              </a:rPr>
              <a:t>PROCEDÊNCIA</a:t>
            </a:r>
          </a:p>
        </c:rich>
      </c:tx>
      <c:overlay val="0"/>
      <c:spPr>
        <a:noFill/>
        <a:ln>
          <a:noFill/>
        </a:ln>
        <a:effectLst/>
      </c:spPr>
      <c:txPr>
        <a:bodyPr rot="0" spcFirstLastPara="1" vertOverflow="ellipsis" vert="horz" wrap="square" anchor="ctr" anchorCtr="1"/>
        <a:lstStyle/>
        <a:p>
          <a:pPr>
            <a:defRPr sz="1000" b="1" i="0" u="none" strike="noStrike" kern="1200" spc="0" baseline="0">
              <a:solidFill>
                <a:schemeClr val="bg2">
                  <a:lumMod val="25000"/>
                </a:schemeClr>
              </a:solidFill>
              <a:latin typeface="Montserrat" panose="00000500000000000000" pitchFamily="2"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800" b="1" i="0" u="none" strike="noStrike" kern="1200" baseline="0">
                  <a:solidFill>
                    <a:schemeClr val="bg2">
                      <a:lumMod val="25000"/>
                    </a:schemeClr>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800" b="1" i="0" u="none" strike="noStrike" kern="1200" baseline="0">
                  <a:solidFill>
                    <a:schemeClr val="bg2">
                      <a:lumMod val="25000"/>
                    </a:schemeClr>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800" b="1" i="0" u="none" strike="noStrike" kern="1200" baseline="0">
                  <a:solidFill>
                    <a:schemeClr val="bg2">
                      <a:lumMod val="25000"/>
                    </a:schemeClr>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Tabela_Dinâmica!$Z$4</c:f>
              <c:strCache>
                <c:ptCount val="1"/>
                <c:pt idx="0">
                  <c:v>Total</c:v>
                </c:pt>
              </c:strCache>
            </c:strRef>
          </c:tx>
          <c:spPr>
            <a:solidFill>
              <a:schemeClr val="accent1"/>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anchor="ctr" anchorCtr="1"/>
              <a:lstStyle/>
              <a:p>
                <a:pPr>
                  <a:defRPr sz="800" b="1" i="0" u="none" strike="noStrike" kern="1200" baseline="0">
                    <a:solidFill>
                      <a:schemeClr val="bg2">
                        <a:lumMod val="25000"/>
                      </a:schemeClr>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Tabela_Dinâmica!$Y$5:$Y$10</c:f>
              <c:multiLvlStrCache>
                <c:ptCount val="4"/>
                <c:lvl>
                  <c:pt idx="0">
                    <c:v>DESCONSIDERADA</c:v>
                  </c:pt>
                  <c:pt idx="1">
                    <c:v>IMPROCEDENTE</c:v>
                  </c:pt>
                  <c:pt idx="2">
                    <c:v>PENDENTE</c:v>
                  </c:pt>
                  <c:pt idx="3">
                    <c:v>PROCEDENTE</c:v>
                  </c:pt>
                </c:lvl>
                <c:lvl>
                  <c:pt idx="0">
                    <c:v>TD Curitiba</c:v>
                  </c:pt>
                </c:lvl>
              </c:multiLvlStrCache>
            </c:multiLvlStrRef>
          </c:cat>
          <c:val>
            <c:numRef>
              <c:f>Tabela_Dinâmica!$Z$5:$Z$10</c:f>
              <c:numCache>
                <c:formatCode>General</c:formatCode>
                <c:ptCount val="4"/>
                <c:pt idx="0">
                  <c:v>6</c:v>
                </c:pt>
                <c:pt idx="1">
                  <c:v>21</c:v>
                </c:pt>
                <c:pt idx="2">
                  <c:v>3</c:v>
                </c:pt>
                <c:pt idx="3">
                  <c:v>32</c:v>
                </c:pt>
              </c:numCache>
            </c:numRef>
          </c:val>
          <c:extLst>
            <c:ext xmlns:c16="http://schemas.microsoft.com/office/drawing/2014/chart" uri="{C3380CC4-5D6E-409C-BE32-E72D297353CC}">
              <c16:uniqueId val="{00000000-5FD4-4D7A-A9FD-B649A1F38CD9}"/>
            </c:ext>
          </c:extLst>
        </c:ser>
        <c:dLbls>
          <c:showLegendKey val="0"/>
          <c:showVal val="0"/>
          <c:showCatName val="0"/>
          <c:showSerName val="0"/>
          <c:showPercent val="0"/>
          <c:showBubbleSize val="0"/>
        </c:dLbls>
        <c:gapWidth val="30"/>
        <c:overlap val="100"/>
        <c:axId val="585954575"/>
        <c:axId val="585950735"/>
      </c:barChart>
      <c:catAx>
        <c:axId val="58595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bg2">
                    <a:lumMod val="25000"/>
                  </a:schemeClr>
                </a:solidFill>
                <a:latin typeface="Aptos Narrow" panose="020B0004020202020204" pitchFamily="34" charset="0"/>
                <a:ea typeface="+mn-ea"/>
                <a:cs typeface="+mn-cs"/>
              </a:defRPr>
            </a:pPr>
            <a:endParaRPr lang="en-US"/>
          </a:p>
        </c:txPr>
        <c:crossAx val="585950735"/>
        <c:crosses val="autoZero"/>
        <c:auto val="1"/>
        <c:lblAlgn val="ctr"/>
        <c:lblOffset val="100"/>
        <c:noMultiLvlLbl val="0"/>
      </c:catAx>
      <c:valAx>
        <c:axId val="585950735"/>
        <c:scaling>
          <c:orientation val="minMax"/>
        </c:scaling>
        <c:delete val="1"/>
        <c:axPos val="l"/>
        <c:numFmt formatCode="General" sourceLinked="1"/>
        <c:majorTickMark val="none"/>
        <c:minorTickMark val="none"/>
        <c:tickLblPos val="nextTo"/>
        <c:crossAx val="5859545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700">
          <a:solidFill>
            <a:schemeClr val="bg2">
              <a:lumMod val="25000"/>
            </a:schemeClr>
          </a:solidFill>
          <a:latin typeface="Aptos Narrow" panose="020B0004020202020204" pitchFamily="34" charset="0"/>
        </a:defRPr>
      </a:pPr>
      <a:endParaRPr lang="en-US"/>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Ocorrências Forms  30-07.xlsm]Tabela_Dinâmica!Tabela dinâmica12</c:name>
    <c:fmtId val="758"/>
  </c:pivotSource>
  <c:chart>
    <c:title>
      <c:tx>
        <c:rich>
          <a:bodyPr rot="0" spcFirstLastPara="1" vertOverflow="ellipsis" vert="horz" wrap="square" anchor="ctr" anchorCtr="1"/>
          <a:lstStyle/>
          <a:p>
            <a:pPr>
              <a:defRPr sz="1000" b="1" i="0" u="none" strike="noStrike" kern="1200" spc="0" baseline="0">
                <a:solidFill>
                  <a:schemeClr val="bg2">
                    <a:lumMod val="25000"/>
                  </a:schemeClr>
                </a:solidFill>
                <a:latin typeface="Montserrat" panose="00000500000000000000" pitchFamily="2" charset="0"/>
                <a:ea typeface="+mn-ea"/>
                <a:cs typeface="+mn-cs"/>
              </a:defRPr>
            </a:pPr>
            <a:r>
              <a:rPr lang="en-US" sz="1000" b="1">
                <a:latin typeface="Montserrat" panose="00000500000000000000" pitchFamily="2" charset="0"/>
              </a:rPr>
              <a:t>TIPO DE DIVERGÊNCIA</a:t>
            </a:r>
          </a:p>
        </c:rich>
      </c:tx>
      <c:overlay val="0"/>
      <c:spPr>
        <a:noFill/>
        <a:ln>
          <a:noFill/>
        </a:ln>
        <a:effectLst/>
      </c:spPr>
      <c:txPr>
        <a:bodyPr rot="0" spcFirstLastPara="1" vertOverflow="ellipsis" vert="horz" wrap="square" anchor="ctr" anchorCtr="1"/>
        <a:lstStyle/>
        <a:p>
          <a:pPr>
            <a:defRPr sz="1000" b="1" i="0" u="none" strike="noStrike" kern="1200" spc="0" baseline="0">
              <a:solidFill>
                <a:schemeClr val="bg2">
                  <a:lumMod val="25000"/>
                </a:schemeClr>
              </a:solidFill>
              <a:latin typeface="Montserrat" panose="00000500000000000000" pitchFamily="2"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800" b="1" i="0" u="none" strike="noStrike" kern="1200" baseline="0">
                  <a:solidFill>
                    <a:schemeClr val="bg2">
                      <a:lumMod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800" b="1" i="0" u="none" strike="noStrike" kern="1200" baseline="0">
                  <a:solidFill>
                    <a:schemeClr val="bg2">
                      <a:lumMod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800" b="1" i="0" u="none" strike="noStrike" kern="1200" baseline="0">
                  <a:solidFill>
                    <a:schemeClr val="bg2">
                      <a:lumMod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Tabela_Dinâmica!$AC$4</c:f>
              <c:strCache>
                <c:ptCount val="1"/>
                <c:pt idx="0">
                  <c:v>Total</c:v>
                </c:pt>
              </c:strCache>
            </c:strRef>
          </c:tx>
          <c:spPr>
            <a:solidFill>
              <a:schemeClr val="accent1"/>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anchor="ctr" anchorCtr="1"/>
              <a:lstStyle/>
              <a:p>
                <a:pPr>
                  <a:defRPr sz="800" b="1" i="0" u="none" strike="noStrike" kern="1200" baseline="0">
                    <a:solidFill>
                      <a:schemeClr val="bg2">
                        <a:lumMod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Tabela_Dinâmica!$AB$5:$AB$10</c:f>
              <c:multiLvlStrCache>
                <c:ptCount val="4"/>
                <c:lvl>
                  <c:pt idx="0">
                    <c:v>Falta de todos os produtos da Nota Fiscal</c:v>
                  </c:pt>
                  <c:pt idx="1">
                    <c:v>Inversão de Produto</c:v>
                  </c:pt>
                  <c:pt idx="2">
                    <c:v>Falta</c:v>
                  </c:pt>
                  <c:pt idx="3">
                    <c:v>Sobra</c:v>
                  </c:pt>
                </c:lvl>
                <c:lvl>
                  <c:pt idx="0">
                    <c:v>TD Curitiba</c:v>
                  </c:pt>
                </c:lvl>
              </c:multiLvlStrCache>
            </c:multiLvlStrRef>
          </c:cat>
          <c:val>
            <c:numRef>
              <c:f>Tabela_Dinâmica!$AC$5:$AC$10</c:f>
              <c:numCache>
                <c:formatCode>General</c:formatCode>
                <c:ptCount val="4"/>
                <c:pt idx="0">
                  <c:v>8</c:v>
                </c:pt>
                <c:pt idx="1">
                  <c:v>9</c:v>
                </c:pt>
                <c:pt idx="2">
                  <c:v>44</c:v>
                </c:pt>
                <c:pt idx="3">
                  <c:v>1</c:v>
                </c:pt>
              </c:numCache>
            </c:numRef>
          </c:val>
          <c:extLst>
            <c:ext xmlns:c16="http://schemas.microsoft.com/office/drawing/2014/chart" uri="{C3380CC4-5D6E-409C-BE32-E72D297353CC}">
              <c16:uniqueId val="{00000000-98C6-45CC-957E-E01A10C94C01}"/>
            </c:ext>
          </c:extLst>
        </c:ser>
        <c:dLbls>
          <c:showLegendKey val="0"/>
          <c:showVal val="0"/>
          <c:showCatName val="0"/>
          <c:showSerName val="0"/>
          <c:showPercent val="0"/>
          <c:showBubbleSize val="0"/>
        </c:dLbls>
        <c:gapWidth val="40"/>
        <c:overlap val="-27"/>
        <c:axId val="2123602096"/>
        <c:axId val="2123619376"/>
      </c:barChart>
      <c:catAx>
        <c:axId val="2123602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bg2">
                    <a:lumMod val="25000"/>
                  </a:schemeClr>
                </a:solidFill>
                <a:latin typeface="+mn-lt"/>
                <a:ea typeface="+mn-ea"/>
                <a:cs typeface="+mn-cs"/>
              </a:defRPr>
            </a:pPr>
            <a:endParaRPr lang="en-US"/>
          </a:p>
        </c:txPr>
        <c:crossAx val="2123619376"/>
        <c:crosses val="autoZero"/>
        <c:auto val="1"/>
        <c:lblAlgn val="ctr"/>
        <c:lblOffset val="100"/>
        <c:noMultiLvlLbl val="0"/>
      </c:catAx>
      <c:valAx>
        <c:axId val="2123619376"/>
        <c:scaling>
          <c:orientation val="minMax"/>
        </c:scaling>
        <c:delete val="1"/>
        <c:axPos val="l"/>
        <c:numFmt formatCode="General" sourceLinked="1"/>
        <c:majorTickMark val="none"/>
        <c:minorTickMark val="none"/>
        <c:tickLblPos val="nextTo"/>
        <c:crossAx val="21236020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1000">
          <a:solidFill>
            <a:schemeClr val="bg2">
              <a:lumMod val="25000"/>
            </a:schemeClr>
          </a:solidFill>
        </a:defRPr>
      </a:pPr>
      <a:endParaRPr lang="en-US"/>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1.xml"/><Relationship Id="rId13" Type="http://schemas.openxmlformats.org/officeDocument/2006/relationships/chart" Target="../charts/chart6.xml"/><Relationship Id="rId18" Type="http://schemas.openxmlformats.org/officeDocument/2006/relationships/chart" Target="../charts/chart10.xml"/><Relationship Id="rId3" Type="http://schemas.openxmlformats.org/officeDocument/2006/relationships/image" Target="../media/image2.png"/><Relationship Id="rId21" Type="http://schemas.openxmlformats.org/officeDocument/2006/relationships/chart" Target="../charts/chart13.xml"/><Relationship Id="rId7" Type="http://schemas.microsoft.com/office/2007/relationships/hdphoto" Target="../media/hdphoto3.wdp"/><Relationship Id="rId12" Type="http://schemas.openxmlformats.org/officeDocument/2006/relationships/chart" Target="../charts/chart5.xml"/><Relationship Id="rId17" Type="http://schemas.openxmlformats.org/officeDocument/2006/relationships/chart" Target="../charts/chart9.xml"/><Relationship Id="rId2" Type="http://schemas.microsoft.com/office/2007/relationships/hdphoto" Target="../media/hdphoto1.wdp"/><Relationship Id="rId16" Type="http://schemas.openxmlformats.org/officeDocument/2006/relationships/image" Target="../media/image5.png"/><Relationship Id="rId20" Type="http://schemas.openxmlformats.org/officeDocument/2006/relationships/chart" Target="../charts/chart12.xml"/><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chart" Target="../charts/chart4.xml"/><Relationship Id="rId24" Type="http://schemas.openxmlformats.org/officeDocument/2006/relationships/chart" Target="../charts/chart16.xml"/><Relationship Id="rId5" Type="http://schemas.openxmlformats.org/officeDocument/2006/relationships/image" Target="../media/image3.png"/><Relationship Id="rId15" Type="http://schemas.openxmlformats.org/officeDocument/2006/relationships/chart" Target="../charts/chart8.xml"/><Relationship Id="rId23" Type="http://schemas.openxmlformats.org/officeDocument/2006/relationships/chart" Target="../charts/chart15.xml"/><Relationship Id="rId10" Type="http://schemas.openxmlformats.org/officeDocument/2006/relationships/chart" Target="../charts/chart3.xml"/><Relationship Id="rId19" Type="http://schemas.openxmlformats.org/officeDocument/2006/relationships/chart" Target="../charts/chart11.xml"/><Relationship Id="rId4" Type="http://schemas.microsoft.com/office/2007/relationships/hdphoto" Target="../media/hdphoto2.wdp"/><Relationship Id="rId9" Type="http://schemas.openxmlformats.org/officeDocument/2006/relationships/chart" Target="../charts/chart2.xml"/><Relationship Id="rId14" Type="http://schemas.openxmlformats.org/officeDocument/2006/relationships/chart" Target="../charts/chart7.xml"/><Relationship Id="rId22" Type="http://schemas.openxmlformats.org/officeDocument/2006/relationships/chart" Target="../charts/chart14.xml"/></Relationships>
</file>

<file path=xl/drawings/_rels/drawing2.xml.rels><?xml version="1.0" encoding="UTF-8" standalone="yes"?>
<Relationships xmlns="http://schemas.openxmlformats.org/package/2006/relationships"><Relationship Id="rId3" Type="http://schemas.openxmlformats.org/officeDocument/2006/relationships/image" Target="../media/image7.svg"/><Relationship Id="rId2" Type="http://schemas.openxmlformats.org/officeDocument/2006/relationships/image" Target="../media/image6.png"/><Relationship Id="rId1" Type="http://schemas.openxmlformats.org/officeDocument/2006/relationships/hyperlink" Target="#Resumo!A1"/></Relationships>
</file>

<file path=xl/drawings/_rels/drawing3.xml.rels><?xml version="1.0" encoding="UTF-8" standalone="yes"?>
<Relationships xmlns="http://schemas.openxmlformats.org/package/2006/relationships"><Relationship Id="rId1" Type="http://schemas.openxmlformats.org/officeDocument/2006/relationships/hyperlink" Target="#Resumo!A1"/></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7</xdr:row>
      <xdr:rowOff>191493</xdr:rowOff>
    </xdr:from>
    <xdr:to>
      <xdr:col>2</xdr:col>
      <xdr:colOff>223324</xdr:colOff>
      <xdr:row>11</xdr:row>
      <xdr:rowOff>4404</xdr:rowOff>
    </xdr:to>
    <xdr:pic>
      <xdr:nvPicPr>
        <xdr:cNvPr id="42" name="Figura Lupa (Resumo OCs)" descr="A Lupa fundo png &amp; imagem png - Clip-art gráficos de rede portátil gráficos  de vetor de lupa - olhando a lupa de png dos desenhos animados png  transparente grátis">
          <a:extLst>
            <a:ext uri="{FF2B5EF4-FFF2-40B4-BE49-F238E27FC236}">
              <a16:creationId xmlns:a16="http://schemas.microsoft.com/office/drawing/2014/main" id="{00000000-0008-0000-0000-00002A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a:off x="0" y="2468422"/>
          <a:ext cx="695038" cy="8289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45274</xdr:colOff>
      <xdr:row>37</xdr:row>
      <xdr:rowOff>38101</xdr:rowOff>
    </xdr:from>
    <xdr:to>
      <xdr:col>19</xdr:col>
      <xdr:colOff>582347</xdr:colOff>
      <xdr:row>38</xdr:row>
      <xdr:rowOff>9525</xdr:rowOff>
    </xdr:to>
    <xdr:pic>
      <xdr:nvPicPr>
        <xdr:cNvPr id="4" name="Figura Frotas (TD Curitiba)">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alphaModFix amt="70000"/>
          <a:extLst>
            <a:ext uri="{BEBA8EAE-BF5A-486C-A8C5-ECC9F3942E4B}">
              <a14:imgProps xmlns:a14="http://schemas.microsoft.com/office/drawing/2010/main">
                <a14:imgLayer r:embed="rId4">
                  <a14:imgEffect>
                    <a14:backgroundRemoval t="9360" b="89163" l="5701" r="94537">
                      <a14:foregroundMark x1="11164" y1="44828" x2="11164" y2="44828"/>
                      <a14:foregroundMark x1="23040" y1="17241" x2="23040" y2="17241"/>
                      <a14:foregroundMark x1="30166" y1="15271" x2="30166" y2="15271"/>
                      <a14:foregroundMark x1="23278" y1="11330" x2="23278" y2="11330"/>
                      <a14:foregroundMark x1="19477" y1="14286" x2="19477" y2="14286"/>
                      <a14:foregroundMark x1="17340" y1="18227" x2="17340" y2="18227"/>
                      <a14:foregroundMark x1="15677" y1="20197" x2="15677" y2="20197"/>
                      <a14:foregroundMark x1="8551" y1="53695" x2="8551" y2="53695"/>
                      <a14:foregroundMark x1="5701" y1="56650" x2="5701" y2="56650"/>
                      <a14:foregroundMark x1="10214" y1="69458" x2="10214" y2="69458"/>
                      <a14:foregroundMark x1="76010" y1="81281" x2="76010" y2="81281"/>
                      <a14:foregroundMark x1="76010" y1="30049" x2="76010" y2="30049"/>
                      <a14:foregroundMark x1="67221" y1="30049" x2="67221" y2="30049"/>
                      <a14:foregroundMark x1="78622" y1="28079" x2="78622" y2="28079"/>
                      <a14:foregroundMark x1="80998" y1="33005" x2="80998" y2="33005"/>
                      <a14:foregroundMark x1="89549" y1="60591" x2="89549" y2="60591"/>
                      <a14:foregroundMark x1="94299" y1="66010" x2="94299" y2="66010"/>
                      <a14:foregroundMark x1="94537" y1="78325" x2="94537" y2="78325"/>
                      <a14:foregroundMark x1="83610" y1="44335" x2="83610" y2="44335"/>
                      <a14:foregroundMark x1="86698" y1="49261" x2="86698" y2="49261"/>
                      <a14:foregroundMark x1="79572" y1="77833" x2="79572" y2="77833"/>
                    </a14:backgroundRemoval>
                  </a14:imgEffect>
                </a14:imgLayer>
              </a14:imgProps>
            </a:ext>
          </a:extLst>
        </a:blip>
        <a:stretch>
          <a:fillRect/>
        </a:stretch>
      </xdr:blipFill>
      <xdr:spPr>
        <a:xfrm>
          <a:off x="7255699" y="6619876"/>
          <a:ext cx="956173" cy="419099"/>
        </a:xfrm>
        <a:prstGeom prst="rect">
          <a:avLst/>
        </a:prstGeom>
      </xdr:spPr>
    </xdr:pic>
    <xdr:clientData/>
  </xdr:twoCellAnchor>
  <xdr:twoCellAnchor editAs="oneCell">
    <xdr:from>
      <xdr:col>12</xdr:col>
      <xdr:colOff>396875</xdr:colOff>
      <xdr:row>37</xdr:row>
      <xdr:rowOff>22223</xdr:rowOff>
    </xdr:from>
    <xdr:to>
      <xdr:col>15</xdr:col>
      <xdr:colOff>561975</xdr:colOff>
      <xdr:row>40</xdr:row>
      <xdr:rowOff>169186</xdr:rowOff>
    </xdr:to>
    <xdr:pic>
      <xdr:nvPicPr>
        <xdr:cNvPr id="29" name="Figura Logo Fadel (TD Curitiba)" descr="Investidores Privados da Fadel | Melcheds">
          <a:extLst>
            <a:ext uri="{FF2B5EF4-FFF2-40B4-BE49-F238E27FC236}">
              <a16:creationId xmlns:a16="http://schemas.microsoft.com/office/drawing/2014/main" id="{00000000-0008-0000-0000-00001D000000}"/>
            </a:ext>
          </a:extLst>
        </xdr:cNvPr>
        <xdr:cNvPicPr>
          <a:picLocks noChangeAspect="1" noChangeArrowheads="1"/>
        </xdr:cNvPicPr>
      </xdr:nvPicPr>
      <xdr:blipFill>
        <a:blip xmlns:r="http://schemas.openxmlformats.org/officeDocument/2006/relationships" r:embed="rId5" cstate="print">
          <a:alphaModFix amt="35000"/>
          <a:extLst>
            <a:ext uri="{28A0092B-C50C-407E-A947-70E740481C1C}">
              <a14:useLocalDpi xmlns:a14="http://schemas.microsoft.com/office/drawing/2010/main" val="0"/>
            </a:ext>
          </a:extLst>
        </a:blip>
        <a:srcRect/>
        <a:stretch>
          <a:fillRect/>
        </a:stretch>
      </xdr:blipFill>
      <xdr:spPr bwMode="auto">
        <a:xfrm>
          <a:off x="5473700" y="7118348"/>
          <a:ext cx="1308100" cy="11661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27</xdr:col>
      <xdr:colOff>477273</xdr:colOff>
      <xdr:row>3</xdr:row>
      <xdr:rowOff>31409</xdr:rowOff>
    </xdr:from>
    <xdr:to>
      <xdr:col>29</xdr:col>
      <xdr:colOff>37874</xdr:colOff>
      <xdr:row>5</xdr:row>
      <xdr:rowOff>112798</xdr:rowOff>
    </xdr:to>
    <xdr:pic>
      <xdr:nvPicPr>
        <xdr:cNvPr id="43" name="Figura Logo Combat (Cabeçalho)">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6">
          <a:extLst>
            <a:ext uri="{BEBA8EAE-BF5A-486C-A8C5-ECC9F3942E4B}">
              <a14:imgProps xmlns:a14="http://schemas.microsoft.com/office/drawing/2010/main">
                <a14:imgLayer r:embed="rId7">
                  <a14:imgEffect>
                    <a14:backgroundRemoval t="10000" b="90000" l="10000" r="90000"/>
                  </a14:imgEffect>
                </a14:imgLayer>
              </a14:imgProps>
            </a:ext>
          </a:extLst>
        </a:blip>
        <a:stretch>
          <a:fillRect/>
        </a:stretch>
      </xdr:blipFill>
      <xdr:spPr>
        <a:xfrm>
          <a:off x="10981987" y="1283266"/>
          <a:ext cx="1293244" cy="661961"/>
        </a:xfrm>
        <a:prstGeom prst="rect">
          <a:avLst/>
        </a:prstGeom>
      </xdr:spPr>
    </xdr:pic>
    <xdr:clientData/>
  </xdr:twoCellAnchor>
  <xdr:twoCellAnchor>
    <xdr:from>
      <xdr:col>7</xdr:col>
      <xdr:colOff>19050</xdr:colOff>
      <xdr:row>6</xdr:row>
      <xdr:rowOff>52388</xdr:rowOff>
    </xdr:from>
    <xdr:to>
      <xdr:col>22</xdr:col>
      <xdr:colOff>381000</xdr:colOff>
      <xdr:row>12</xdr:row>
      <xdr:rowOff>220663</xdr:rowOff>
    </xdr:to>
    <xdr:graphicFrame macro="">
      <xdr:nvGraphicFramePr>
        <xdr:cNvPr id="5" name="Gráfico 4">
          <a:extLst>
            <a:ext uri="{FF2B5EF4-FFF2-40B4-BE49-F238E27FC236}">
              <a16:creationId xmlns:a16="http://schemas.microsoft.com/office/drawing/2014/main" id="{6F139437-8D3D-424A-8750-5E9F376A3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666750</xdr:colOff>
      <xdr:row>27</xdr:row>
      <xdr:rowOff>9526</xdr:rowOff>
    </xdr:from>
    <xdr:to>
      <xdr:col>15</xdr:col>
      <xdr:colOff>714375</xdr:colOff>
      <xdr:row>35</xdr:row>
      <xdr:rowOff>152401</xdr:rowOff>
    </xdr:to>
    <xdr:graphicFrame macro="">
      <xdr:nvGraphicFramePr>
        <xdr:cNvPr id="12" name="Gráfico 11">
          <a:extLst>
            <a:ext uri="{FF2B5EF4-FFF2-40B4-BE49-F238E27FC236}">
              <a16:creationId xmlns:a16="http://schemas.microsoft.com/office/drawing/2014/main" id="{18CBA8E0-A2D6-41EE-B22B-5F365BD27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19</xdr:col>
      <xdr:colOff>777876</xdr:colOff>
      <xdr:row>27</xdr:row>
      <xdr:rowOff>38100</xdr:rowOff>
    </xdr:from>
    <xdr:to>
      <xdr:col>29</xdr:col>
      <xdr:colOff>25401</xdr:colOff>
      <xdr:row>35</xdr:row>
      <xdr:rowOff>171450</xdr:rowOff>
    </xdr:to>
    <xdr:graphicFrame macro="">
      <xdr:nvGraphicFramePr>
        <xdr:cNvPr id="13" name="Gráfico 12">
          <a:extLst>
            <a:ext uri="{FF2B5EF4-FFF2-40B4-BE49-F238E27FC236}">
              <a16:creationId xmlns:a16="http://schemas.microsoft.com/office/drawing/2014/main" id="{C03A0837-A97A-4539-9189-23FABD5B0C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171451</xdr:colOff>
      <xdr:row>40</xdr:row>
      <xdr:rowOff>188912</xdr:rowOff>
    </xdr:from>
    <xdr:to>
      <xdr:col>9</xdr:col>
      <xdr:colOff>237159</xdr:colOff>
      <xdr:row>57</xdr:row>
      <xdr:rowOff>55562</xdr:rowOff>
    </xdr:to>
    <xdr:graphicFrame macro="">
      <xdr:nvGraphicFramePr>
        <xdr:cNvPr id="14" name="Gráfico 13">
          <a:extLst>
            <a:ext uri="{FF2B5EF4-FFF2-40B4-BE49-F238E27FC236}">
              <a16:creationId xmlns:a16="http://schemas.microsoft.com/office/drawing/2014/main" id="{0A0CF859-6DA4-426B-8403-9F8466D933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371475</xdr:colOff>
      <xdr:row>40</xdr:row>
      <xdr:rowOff>179387</xdr:rowOff>
    </xdr:from>
    <xdr:to>
      <xdr:col>15</xdr:col>
      <xdr:colOff>523875</xdr:colOff>
      <xdr:row>57</xdr:row>
      <xdr:rowOff>65087</xdr:rowOff>
    </xdr:to>
    <xdr:graphicFrame macro="">
      <xdr:nvGraphicFramePr>
        <xdr:cNvPr id="16" name="Gráfico 15">
          <a:extLst>
            <a:ext uri="{FF2B5EF4-FFF2-40B4-BE49-F238E27FC236}">
              <a16:creationId xmlns:a16="http://schemas.microsoft.com/office/drawing/2014/main" id="{C78A453A-B3D1-4805-ACB0-44BFBFB0BD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18</xdr:col>
      <xdr:colOff>57150</xdr:colOff>
      <xdr:row>48</xdr:row>
      <xdr:rowOff>95250</xdr:rowOff>
    </xdr:from>
    <xdr:to>
      <xdr:col>27</xdr:col>
      <xdr:colOff>1466850</xdr:colOff>
      <xdr:row>64</xdr:row>
      <xdr:rowOff>142875</xdr:rowOff>
    </xdr:to>
    <xdr:graphicFrame macro="">
      <xdr:nvGraphicFramePr>
        <xdr:cNvPr id="20" name="Gráfico 19">
          <a:extLst>
            <a:ext uri="{FF2B5EF4-FFF2-40B4-BE49-F238E27FC236}">
              <a16:creationId xmlns:a16="http://schemas.microsoft.com/office/drawing/2014/main" id="{9E11BBB0-1524-47C5-AF53-B4E930CE0C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18</xdr:col>
      <xdr:colOff>23812</xdr:colOff>
      <xdr:row>38</xdr:row>
      <xdr:rowOff>28574</xdr:rowOff>
    </xdr:from>
    <xdr:to>
      <xdr:col>27</xdr:col>
      <xdr:colOff>1439862</xdr:colOff>
      <xdr:row>47</xdr:row>
      <xdr:rowOff>44448</xdr:rowOff>
    </xdr:to>
    <xdr:graphicFrame macro="">
      <xdr:nvGraphicFramePr>
        <xdr:cNvPr id="21" name="Gráfico 20">
          <a:extLst>
            <a:ext uri="{FF2B5EF4-FFF2-40B4-BE49-F238E27FC236}">
              <a16:creationId xmlns:a16="http://schemas.microsoft.com/office/drawing/2014/main" id="{1F59CB51-B31B-44B2-90D7-490CDAD6D0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24</xdr:col>
      <xdr:colOff>44450</xdr:colOff>
      <xdr:row>6</xdr:row>
      <xdr:rowOff>38100</xdr:rowOff>
    </xdr:from>
    <xdr:to>
      <xdr:col>29</xdr:col>
      <xdr:colOff>9525</xdr:colOff>
      <xdr:row>12</xdr:row>
      <xdr:rowOff>171450</xdr:rowOff>
    </xdr:to>
    <xdr:graphicFrame macro="">
      <xdr:nvGraphicFramePr>
        <xdr:cNvPr id="22" name="Gráfico 21">
          <a:extLst>
            <a:ext uri="{FF2B5EF4-FFF2-40B4-BE49-F238E27FC236}">
              <a16:creationId xmlns:a16="http://schemas.microsoft.com/office/drawing/2014/main" id="{12C139D0-DEE6-45FC-8B39-7DF9425915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2</xdr:col>
      <xdr:colOff>60927</xdr:colOff>
      <xdr:row>0</xdr:row>
      <xdr:rowOff>312554</xdr:rowOff>
    </xdr:from>
    <xdr:to>
      <xdr:col>31</xdr:col>
      <xdr:colOff>0</xdr:colOff>
      <xdr:row>3</xdr:row>
      <xdr:rowOff>57150</xdr:rowOff>
    </xdr:to>
    <mc:AlternateContent xmlns:mc="http://schemas.openxmlformats.org/markup-compatibility/2006" xmlns:a14="http://schemas.microsoft.com/office/drawing/2010/main">
      <mc:Choice Requires="a14">
        <xdr:graphicFrame macro="">
          <xdr:nvGraphicFramePr>
            <xdr:cNvPr id="24" name="Mês">
              <a:extLst>
                <a:ext uri="{FF2B5EF4-FFF2-40B4-BE49-F238E27FC236}">
                  <a16:creationId xmlns:a16="http://schemas.microsoft.com/office/drawing/2014/main" id="{4F9A907C-69FD-3C72-3320-C0FCD1A8A2D6}"/>
                </a:ext>
              </a:extLst>
            </xdr:cNvPr>
            <xdr:cNvGraphicFramePr/>
          </xdr:nvGraphicFramePr>
          <xdr:xfrm>
            <a:off x="0" y="0"/>
            <a:ext cx="0" cy="0"/>
          </xdr:xfrm>
          <a:graphic>
            <a:graphicData uri="http://schemas.microsoft.com/office/drawing/2010/slicer">
              <sle:slicer xmlns:sle="http://schemas.microsoft.com/office/drawing/2010/slicer" name="Mês"/>
            </a:graphicData>
          </a:graphic>
        </xdr:graphicFrame>
      </mc:Choice>
      <mc:Fallback xmlns="">
        <xdr:sp macro="" textlink="">
          <xdr:nvSpPr>
            <xdr:cNvPr id="0" name=""/>
            <xdr:cNvSpPr>
              <a:spLocks noTextEdit="1"/>
            </xdr:cNvSpPr>
          </xdr:nvSpPr>
          <xdr:spPr>
            <a:xfrm>
              <a:off x="530827" y="312554"/>
              <a:ext cx="11845323" cy="1001896"/>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9</xdr:col>
      <xdr:colOff>638175</xdr:colOff>
      <xdr:row>4</xdr:row>
      <xdr:rowOff>180180</xdr:rowOff>
    </xdr:from>
    <xdr:to>
      <xdr:col>31</xdr:col>
      <xdr:colOff>0</xdr:colOff>
      <xdr:row>5</xdr:row>
      <xdr:rowOff>66952</xdr:rowOff>
    </xdr:to>
    <xdr:pic>
      <xdr:nvPicPr>
        <xdr:cNvPr id="25" name="Imagem 24">
          <a:extLst>
            <a:ext uri="{FF2B5EF4-FFF2-40B4-BE49-F238E27FC236}">
              <a16:creationId xmlns:a16="http://schemas.microsoft.com/office/drawing/2014/main" id="{53D7721F-D833-4DB3-8BB2-AA333203F21A}"/>
            </a:ext>
          </a:extLst>
        </xdr:cNvPr>
        <xdr:cNvPicPr>
          <a:picLocks noChangeAspect="1"/>
        </xdr:cNvPicPr>
      </xdr:nvPicPr>
      <xdr:blipFill>
        <a:blip xmlns:r="http://schemas.openxmlformats.org/officeDocument/2006/relationships" r:embed="rId16"/>
        <a:stretch>
          <a:fillRect/>
        </a:stretch>
      </xdr:blipFill>
      <xdr:spPr>
        <a:xfrm>
          <a:off x="3924300" y="1828005"/>
          <a:ext cx="8515350" cy="74097"/>
        </a:xfrm>
        <a:prstGeom prst="rect">
          <a:avLst/>
        </a:prstGeom>
      </xdr:spPr>
    </xdr:pic>
    <xdr:clientData/>
  </xdr:twoCellAnchor>
  <xdr:twoCellAnchor>
    <xdr:from>
      <xdr:col>1</xdr:col>
      <xdr:colOff>97118</xdr:colOff>
      <xdr:row>14</xdr:row>
      <xdr:rowOff>37352</xdr:rowOff>
    </xdr:from>
    <xdr:to>
      <xdr:col>29</xdr:col>
      <xdr:colOff>14941</xdr:colOff>
      <xdr:row>19</xdr:row>
      <xdr:rowOff>283882</xdr:rowOff>
    </xdr:to>
    <xdr:graphicFrame macro="">
      <xdr:nvGraphicFramePr>
        <xdr:cNvPr id="2" name="Gráfico 1">
          <a:extLst>
            <a:ext uri="{FF2B5EF4-FFF2-40B4-BE49-F238E27FC236}">
              <a16:creationId xmlns:a16="http://schemas.microsoft.com/office/drawing/2014/main" id="{49772BBD-70E5-49F3-8C3A-A956A379B5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37354</xdr:colOff>
      <xdr:row>21</xdr:row>
      <xdr:rowOff>29882</xdr:rowOff>
    </xdr:from>
    <xdr:to>
      <xdr:col>29</xdr:col>
      <xdr:colOff>7470</xdr:colOff>
      <xdr:row>26</xdr:row>
      <xdr:rowOff>74706</xdr:rowOff>
    </xdr:to>
    <xdr:graphicFrame macro="">
      <xdr:nvGraphicFramePr>
        <xdr:cNvPr id="3" name="Gráfico 2">
          <a:extLst>
            <a:ext uri="{FF2B5EF4-FFF2-40B4-BE49-F238E27FC236}">
              <a16:creationId xmlns:a16="http://schemas.microsoft.com/office/drawing/2014/main" id="{70C4C752-51A8-4A5C-AB1B-2A9B25916C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oneCellAnchor>
    <xdr:from>
      <xdr:col>0</xdr:col>
      <xdr:colOff>0</xdr:colOff>
      <xdr:row>7</xdr:row>
      <xdr:rowOff>191493</xdr:rowOff>
    </xdr:from>
    <xdr:ext cx="670999" cy="841611"/>
    <xdr:pic>
      <xdr:nvPicPr>
        <xdr:cNvPr id="6" name="Figura Lupa (Resumo OCs)" descr="A Lupa fundo png &amp; imagem png - Clip-art gráficos de rede portátil gráficos  de vetor de lupa - olhando a lupa de png dos desenhos animados png  transparente grátis">
          <a:extLst>
            <a:ext uri="{FF2B5EF4-FFF2-40B4-BE49-F238E27FC236}">
              <a16:creationId xmlns:a16="http://schemas.microsoft.com/office/drawing/2014/main" id="{19D7D6ED-CEAC-41D1-AA38-845EE5E5F461}"/>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a:off x="0" y="2477493"/>
          <a:ext cx="670999" cy="8416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17</xdr:col>
      <xdr:colOff>45274</xdr:colOff>
      <xdr:row>37</xdr:row>
      <xdr:rowOff>38101</xdr:rowOff>
    </xdr:from>
    <xdr:ext cx="927598" cy="419099"/>
    <xdr:pic>
      <xdr:nvPicPr>
        <xdr:cNvPr id="7" name="Figura Frotas (TD Curitiba)">
          <a:extLst>
            <a:ext uri="{FF2B5EF4-FFF2-40B4-BE49-F238E27FC236}">
              <a16:creationId xmlns:a16="http://schemas.microsoft.com/office/drawing/2014/main" id="{416235FA-83AF-4A2A-9469-B56456676884}"/>
            </a:ext>
          </a:extLst>
        </xdr:cNvPr>
        <xdr:cNvPicPr>
          <a:picLocks noChangeAspect="1"/>
        </xdr:cNvPicPr>
      </xdr:nvPicPr>
      <xdr:blipFill>
        <a:blip xmlns:r="http://schemas.openxmlformats.org/officeDocument/2006/relationships" r:embed="rId3">
          <a:alphaModFix amt="70000"/>
          <a:extLst>
            <a:ext uri="{BEBA8EAE-BF5A-486C-A8C5-ECC9F3942E4B}">
              <a14:imgProps xmlns:a14="http://schemas.microsoft.com/office/drawing/2010/main">
                <a14:imgLayer r:embed="rId4">
                  <a14:imgEffect>
                    <a14:backgroundRemoval t="9360" b="89163" l="5701" r="94537">
                      <a14:foregroundMark x1="11164" y1="44828" x2="11164" y2="44828"/>
                      <a14:foregroundMark x1="23040" y1="17241" x2="23040" y2="17241"/>
                      <a14:foregroundMark x1="30166" y1="15271" x2="30166" y2="15271"/>
                      <a14:foregroundMark x1="23278" y1="11330" x2="23278" y2="11330"/>
                      <a14:foregroundMark x1="19477" y1="14286" x2="19477" y2="14286"/>
                      <a14:foregroundMark x1="17340" y1="18227" x2="17340" y2="18227"/>
                      <a14:foregroundMark x1="15677" y1="20197" x2="15677" y2="20197"/>
                      <a14:foregroundMark x1="8551" y1="53695" x2="8551" y2="53695"/>
                      <a14:foregroundMark x1="5701" y1="56650" x2="5701" y2="56650"/>
                      <a14:foregroundMark x1="10214" y1="69458" x2="10214" y2="69458"/>
                      <a14:foregroundMark x1="76010" y1="81281" x2="76010" y2="81281"/>
                      <a14:foregroundMark x1="76010" y1="30049" x2="76010" y2="30049"/>
                      <a14:foregroundMark x1="67221" y1="30049" x2="67221" y2="30049"/>
                      <a14:foregroundMark x1="78622" y1="28079" x2="78622" y2="28079"/>
                      <a14:foregroundMark x1="80998" y1="33005" x2="80998" y2="33005"/>
                      <a14:foregroundMark x1="89549" y1="60591" x2="89549" y2="60591"/>
                      <a14:foregroundMark x1="94299" y1="66010" x2="94299" y2="66010"/>
                      <a14:foregroundMark x1="94537" y1="78325" x2="94537" y2="78325"/>
                      <a14:foregroundMark x1="83610" y1="44335" x2="83610" y2="44335"/>
                      <a14:foregroundMark x1="86698" y1="49261" x2="86698" y2="49261"/>
                      <a14:foregroundMark x1="79572" y1="77833" x2="79572" y2="77833"/>
                    </a14:backgroundRemoval>
                  </a14:imgEffect>
                </a14:imgLayer>
              </a14:imgProps>
            </a:ext>
          </a:extLst>
        </a:blip>
        <a:stretch>
          <a:fillRect/>
        </a:stretch>
      </xdr:blipFill>
      <xdr:spPr>
        <a:xfrm>
          <a:off x="6750874" y="9725026"/>
          <a:ext cx="927598" cy="419099"/>
        </a:xfrm>
        <a:prstGeom prst="rect">
          <a:avLst/>
        </a:prstGeom>
      </xdr:spPr>
    </xdr:pic>
    <xdr:clientData/>
  </xdr:oneCellAnchor>
  <xdr:oneCellAnchor>
    <xdr:from>
      <xdr:col>12</xdr:col>
      <xdr:colOff>396875</xdr:colOff>
      <xdr:row>37</xdr:row>
      <xdr:rowOff>22223</xdr:rowOff>
    </xdr:from>
    <xdr:ext cx="1250950" cy="1166138"/>
    <xdr:pic>
      <xdr:nvPicPr>
        <xdr:cNvPr id="8" name="Figura Logo Fadel (TD Curitiba)" descr="Investidores Privados da Fadel | Melcheds">
          <a:extLst>
            <a:ext uri="{FF2B5EF4-FFF2-40B4-BE49-F238E27FC236}">
              <a16:creationId xmlns:a16="http://schemas.microsoft.com/office/drawing/2014/main" id="{311337A6-6917-4E50-BCF7-03CCF743A85E}"/>
            </a:ext>
          </a:extLst>
        </xdr:cNvPr>
        <xdr:cNvPicPr>
          <a:picLocks noChangeAspect="1" noChangeArrowheads="1"/>
        </xdr:cNvPicPr>
      </xdr:nvPicPr>
      <xdr:blipFill>
        <a:blip xmlns:r="http://schemas.openxmlformats.org/officeDocument/2006/relationships" r:embed="rId5" cstate="print">
          <a:alphaModFix amt="35000"/>
          <a:extLst>
            <a:ext uri="{28A0092B-C50C-407E-A947-70E740481C1C}">
              <a14:useLocalDpi xmlns:a14="http://schemas.microsoft.com/office/drawing/2010/main" val="0"/>
            </a:ext>
          </a:extLst>
        </a:blip>
        <a:srcRect/>
        <a:stretch>
          <a:fillRect/>
        </a:stretch>
      </xdr:blipFill>
      <xdr:spPr bwMode="auto">
        <a:xfrm>
          <a:off x="5226050" y="9709148"/>
          <a:ext cx="1250950" cy="11661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7</xdr:col>
      <xdr:colOff>19050</xdr:colOff>
      <xdr:row>6</xdr:row>
      <xdr:rowOff>52388</xdr:rowOff>
    </xdr:from>
    <xdr:to>
      <xdr:col>22</xdr:col>
      <xdr:colOff>381000</xdr:colOff>
      <xdr:row>12</xdr:row>
      <xdr:rowOff>220663</xdr:rowOff>
    </xdr:to>
    <xdr:graphicFrame macro="">
      <xdr:nvGraphicFramePr>
        <xdr:cNvPr id="9" name="Gráfico 8">
          <a:extLst>
            <a:ext uri="{FF2B5EF4-FFF2-40B4-BE49-F238E27FC236}">
              <a16:creationId xmlns:a16="http://schemas.microsoft.com/office/drawing/2014/main" id="{B28C9FB2-346D-49BC-8737-C31FA75A3E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xdr:col>
      <xdr:colOff>666750</xdr:colOff>
      <xdr:row>27</xdr:row>
      <xdr:rowOff>9526</xdr:rowOff>
    </xdr:from>
    <xdr:to>
      <xdr:col>15</xdr:col>
      <xdr:colOff>714375</xdr:colOff>
      <xdr:row>35</xdr:row>
      <xdr:rowOff>152401</xdr:rowOff>
    </xdr:to>
    <xdr:graphicFrame macro="">
      <xdr:nvGraphicFramePr>
        <xdr:cNvPr id="10" name="Gráfico 9">
          <a:extLst>
            <a:ext uri="{FF2B5EF4-FFF2-40B4-BE49-F238E27FC236}">
              <a16:creationId xmlns:a16="http://schemas.microsoft.com/office/drawing/2014/main" id="{75841D9A-2A8B-428D-BA51-4D3FB7C0B0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xdr:col>
      <xdr:colOff>171451</xdr:colOff>
      <xdr:row>40</xdr:row>
      <xdr:rowOff>188912</xdr:rowOff>
    </xdr:from>
    <xdr:to>
      <xdr:col>9</xdr:col>
      <xdr:colOff>237159</xdr:colOff>
      <xdr:row>57</xdr:row>
      <xdr:rowOff>55562</xdr:rowOff>
    </xdr:to>
    <xdr:graphicFrame macro="">
      <xdr:nvGraphicFramePr>
        <xdr:cNvPr id="11" name="Gráfico 10">
          <a:extLst>
            <a:ext uri="{FF2B5EF4-FFF2-40B4-BE49-F238E27FC236}">
              <a16:creationId xmlns:a16="http://schemas.microsoft.com/office/drawing/2014/main" id="{93FD2EC6-E143-4BEB-8ADA-565E8A2325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9</xdr:col>
      <xdr:colOff>371475</xdr:colOff>
      <xdr:row>40</xdr:row>
      <xdr:rowOff>179387</xdr:rowOff>
    </xdr:from>
    <xdr:to>
      <xdr:col>15</xdr:col>
      <xdr:colOff>523875</xdr:colOff>
      <xdr:row>57</xdr:row>
      <xdr:rowOff>65087</xdr:rowOff>
    </xdr:to>
    <xdr:graphicFrame macro="">
      <xdr:nvGraphicFramePr>
        <xdr:cNvPr id="15" name="Gráfico 14">
          <a:extLst>
            <a:ext uri="{FF2B5EF4-FFF2-40B4-BE49-F238E27FC236}">
              <a16:creationId xmlns:a16="http://schemas.microsoft.com/office/drawing/2014/main" id="{3337B03B-4966-47B7-BF94-20EC9A7BBB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18</xdr:col>
      <xdr:colOff>57150</xdr:colOff>
      <xdr:row>48</xdr:row>
      <xdr:rowOff>95250</xdr:rowOff>
    </xdr:from>
    <xdr:to>
      <xdr:col>27</xdr:col>
      <xdr:colOff>1466850</xdr:colOff>
      <xdr:row>64</xdr:row>
      <xdr:rowOff>142875</xdr:rowOff>
    </xdr:to>
    <xdr:graphicFrame macro="">
      <xdr:nvGraphicFramePr>
        <xdr:cNvPr id="17" name="Gráfico 16">
          <a:extLst>
            <a:ext uri="{FF2B5EF4-FFF2-40B4-BE49-F238E27FC236}">
              <a16:creationId xmlns:a16="http://schemas.microsoft.com/office/drawing/2014/main" id="{5B44D141-01BA-4752-90A1-92B3AA1C6C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18</xdr:col>
      <xdr:colOff>23812</xdr:colOff>
      <xdr:row>38</xdr:row>
      <xdr:rowOff>28574</xdr:rowOff>
    </xdr:from>
    <xdr:to>
      <xdr:col>27</xdr:col>
      <xdr:colOff>1439862</xdr:colOff>
      <xdr:row>47</xdr:row>
      <xdr:rowOff>44448</xdr:rowOff>
    </xdr:to>
    <xdr:graphicFrame macro="">
      <xdr:nvGraphicFramePr>
        <xdr:cNvPr id="18" name="Gráfico 17">
          <a:extLst>
            <a:ext uri="{FF2B5EF4-FFF2-40B4-BE49-F238E27FC236}">
              <a16:creationId xmlns:a16="http://schemas.microsoft.com/office/drawing/2014/main" id="{30B9C88A-6202-446E-86C7-0AA4A820B5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38100</xdr:colOff>
      <xdr:row>0</xdr:row>
      <xdr:rowOff>57150</xdr:rowOff>
    </xdr:from>
    <xdr:to>
      <xdr:col>1</xdr:col>
      <xdr:colOff>962025</xdr:colOff>
      <xdr:row>0</xdr:row>
      <xdr:rowOff>219075</xdr:rowOff>
    </xdr:to>
    <xdr:sp macro="" textlink="">
      <xdr:nvSpPr>
        <xdr:cNvPr id="3" name="Retângulo: Cantos Arredondados 2">
          <a:hlinkClick xmlns:r="http://schemas.openxmlformats.org/officeDocument/2006/relationships" r:id="rId1"/>
          <a:extLst>
            <a:ext uri="{FF2B5EF4-FFF2-40B4-BE49-F238E27FC236}">
              <a16:creationId xmlns:a16="http://schemas.microsoft.com/office/drawing/2014/main" id="{00000000-0008-0000-0300-000003000000}"/>
            </a:ext>
          </a:extLst>
        </xdr:cNvPr>
        <xdr:cNvSpPr/>
      </xdr:nvSpPr>
      <xdr:spPr>
        <a:xfrm>
          <a:off x="161925" y="57150"/>
          <a:ext cx="923925" cy="16192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l"/>
          <a:r>
            <a:rPr lang="en-US" sz="1000" b="1"/>
            <a:t>RESUMO</a:t>
          </a:r>
        </a:p>
      </xdr:txBody>
    </xdr:sp>
    <xdr:clientData/>
  </xdr:twoCellAnchor>
  <xdr:twoCellAnchor>
    <xdr:from>
      <xdr:col>2</xdr:col>
      <xdr:colOff>3826650</xdr:colOff>
      <xdr:row>0</xdr:row>
      <xdr:rowOff>0</xdr:rowOff>
    </xdr:from>
    <xdr:to>
      <xdr:col>2</xdr:col>
      <xdr:colOff>4596179</xdr:colOff>
      <xdr:row>0</xdr:row>
      <xdr:rowOff>607308</xdr:rowOff>
    </xdr:to>
    <xdr:grpSp>
      <xdr:nvGrpSpPr>
        <xdr:cNvPr id="17" name="Agrupar 16">
          <a:extLst>
            <a:ext uri="{FF2B5EF4-FFF2-40B4-BE49-F238E27FC236}">
              <a16:creationId xmlns:a16="http://schemas.microsoft.com/office/drawing/2014/main" id="{00000000-0008-0000-0300-000011000000}"/>
            </a:ext>
          </a:extLst>
        </xdr:cNvPr>
        <xdr:cNvGrpSpPr/>
      </xdr:nvGrpSpPr>
      <xdr:grpSpPr>
        <a:xfrm>
          <a:off x="6779400" y="0"/>
          <a:ext cx="769529" cy="607308"/>
          <a:chOff x="8074800" y="1518403"/>
          <a:chExt cx="769529" cy="607308"/>
        </a:xfrm>
      </xdr:grpSpPr>
      <xdr:grpSp>
        <xdr:nvGrpSpPr>
          <xdr:cNvPr id="16" name="Agrupar 15">
            <a:extLst>
              <a:ext uri="{FF2B5EF4-FFF2-40B4-BE49-F238E27FC236}">
                <a16:creationId xmlns:a16="http://schemas.microsoft.com/office/drawing/2014/main" id="{00000000-0008-0000-0300-000010000000}"/>
              </a:ext>
            </a:extLst>
          </xdr:cNvPr>
          <xdr:cNvGrpSpPr/>
        </xdr:nvGrpSpPr>
        <xdr:grpSpPr>
          <a:xfrm>
            <a:off x="8074800" y="1559700"/>
            <a:ext cx="769529" cy="533400"/>
            <a:chOff x="8074800" y="1559700"/>
            <a:chExt cx="769529" cy="533400"/>
          </a:xfrm>
        </xdr:grpSpPr>
        <xdr:sp macro="[0]!Enviar_Email" textlink="">
          <xdr:nvSpPr>
            <xdr:cNvPr id="11" name="Retângulo: Cantos Arredondados 10">
              <a:extLst>
                <a:ext uri="{FF2B5EF4-FFF2-40B4-BE49-F238E27FC236}">
                  <a16:creationId xmlns:a16="http://schemas.microsoft.com/office/drawing/2014/main" id="{00000000-0008-0000-0300-00000B000000}"/>
                </a:ext>
              </a:extLst>
            </xdr:cNvPr>
            <xdr:cNvSpPr/>
          </xdr:nvSpPr>
          <xdr:spPr>
            <a:xfrm>
              <a:off x="8088157" y="1579522"/>
              <a:ext cx="756172" cy="486704"/>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viar_Email" textlink="">
          <xdr:nvSpPr>
            <xdr:cNvPr id="10" name="Gráfico 8" descr="Envelope com preenchimento sólido">
              <a:extLst>
                <a:ext uri="{FF2B5EF4-FFF2-40B4-BE49-F238E27FC236}">
                  <a16:creationId xmlns:a16="http://schemas.microsoft.com/office/drawing/2014/main" id="{00000000-0008-0000-0300-00000A000000}"/>
                </a:ext>
              </a:extLst>
            </xdr:cNvPr>
            <xdr:cNvSpPr/>
          </xdr:nvSpPr>
          <xdr:spPr>
            <a:xfrm>
              <a:off x="8074800" y="1559700"/>
              <a:ext cx="762024" cy="533400"/>
            </a:xfrm>
            <a:custGeom>
              <a:avLst/>
              <a:gdLst>
                <a:gd name="connsiteX0" fmla="*/ 0 w 762000"/>
                <a:gd name="connsiteY0" fmla="*/ 0 h 533400"/>
                <a:gd name="connsiteX1" fmla="*/ 0 w 762000"/>
                <a:gd name="connsiteY1" fmla="*/ 533400 h 533400"/>
                <a:gd name="connsiteX2" fmla="*/ 762000 w 762000"/>
                <a:gd name="connsiteY2" fmla="*/ 533400 h 533400"/>
                <a:gd name="connsiteX3" fmla="*/ 762000 w 762000"/>
                <a:gd name="connsiteY3" fmla="*/ 0 h 533400"/>
                <a:gd name="connsiteX4" fmla="*/ 0 w 762000"/>
                <a:gd name="connsiteY4" fmla="*/ 0 h 533400"/>
                <a:gd name="connsiteX5" fmla="*/ 394335 w 762000"/>
                <a:gd name="connsiteY5" fmla="*/ 332423 h 533400"/>
                <a:gd name="connsiteX6" fmla="*/ 367665 w 762000"/>
                <a:gd name="connsiteY6" fmla="*/ 332423 h 533400"/>
                <a:gd name="connsiteX7" fmla="*/ 85725 w 762000"/>
                <a:gd name="connsiteY7" fmla="*/ 57150 h 533400"/>
                <a:gd name="connsiteX8" fmla="*/ 677228 w 762000"/>
                <a:gd name="connsiteY8" fmla="*/ 57150 h 533400"/>
                <a:gd name="connsiteX9" fmla="*/ 394335 w 762000"/>
                <a:gd name="connsiteY9" fmla="*/ 332423 h 533400"/>
                <a:gd name="connsiteX10" fmla="*/ 242888 w 762000"/>
                <a:gd name="connsiteY10" fmla="*/ 263843 h 533400"/>
                <a:gd name="connsiteX11" fmla="*/ 57150 w 762000"/>
                <a:gd name="connsiteY11" fmla="*/ 450533 h 533400"/>
                <a:gd name="connsiteX12" fmla="*/ 57150 w 762000"/>
                <a:gd name="connsiteY12" fmla="*/ 81915 h 533400"/>
                <a:gd name="connsiteX13" fmla="*/ 242888 w 762000"/>
                <a:gd name="connsiteY13" fmla="*/ 263843 h 533400"/>
                <a:gd name="connsiteX14" fmla="*/ 270510 w 762000"/>
                <a:gd name="connsiteY14" fmla="*/ 290513 h 533400"/>
                <a:gd name="connsiteX15" fmla="*/ 341948 w 762000"/>
                <a:gd name="connsiteY15" fmla="*/ 360045 h 533400"/>
                <a:gd name="connsiteX16" fmla="*/ 381953 w 762000"/>
                <a:gd name="connsiteY16" fmla="*/ 376238 h 533400"/>
                <a:gd name="connsiteX17" fmla="*/ 421958 w 762000"/>
                <a:gd name="connsiteY17" fmla="*/ 360045 h 533400"/>
                <a:gd name="connsiteX18" fmla="*/ 493395 w 762000"/>
                <a:gd name="connsiteY18" fmla="*/ 290513 h 533400"/>
                <a:gd name="connsiteX19" fmla="*/ 678180 w 762000"/>
                <a:gd name="connsiteY19" fmla="*/ 476250 h 533400"/>
                <a:gd name="connsiteX20" fmla="*/ 84773 w 762000"/>
                <a:gd name="connsiteY20" fmla="*/ 476250 h 533400"/>
                <a:gd name="connsiteX21" fmla="*/ 270510 w 762000"/>
                <a:gd name="connsiteY21" fmla="*/ 290513 h 533400"/>
                <a:gd name="connsiteX22" fmla="*/ 519113 w 762000"/>
                <a:gd name="connsiteY22" fmla="*/ 263843 h 533400"/>
                <a:gd name="connsiteX23" fmla="*/ 704850 w 762000"/>
                <a:gd name="connsiteY23" fmla="*/ 82868 h 533400"/>
                <a:gd name="connsiteX24" fmla="*/ 704850 w 762000"/>
                <a:gd name="connsiteY24" fmla="*/ 449580 h 533400"/>
                <a:gd name="connsiteX25" fmla="*/ 519113 w 762000"/>
                <a:gd name="connsiteY25" fmla="*/ 263843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62000" h="533400">
                  <a:moveTo>
                    <a:pt x="0" y="0"/>
                  </a:moveTo>
                  <a:lnTo>
                    <a:pt x="0" y="533400"/>
                  </a:lnTo>
                  <a:lnTo>
                    <a:pt x="762000" y="533400"/>
                  </a:lnTo>
                  <a:lnTo>
                    <a:pt x="762000" y="0"/>
                  </a:lnTo>
                  <a:lnTo>
                    <a:pt x="0" y="0"/>
                  </a:lnTo>
                  <a:close/>
                  <a:moveTo>
                    <a:pt x="394335" y="332423"/>
                  </a:moveTo>
                  <a:cubicBezTo>
                    <a:pt x="386715" y="340043"/>
                    <a:pt x="375285" y="340043"/>
                    <a:pt x="367665" y="332423"/>
                  </a:cubicBezTo>
                  <a:lnTo>
                    <a:pt x="85725" y="57150"/>
                  </a:lnTo>
                  <a:lnTo>
                    <a:pt x="677228" y="57150"/>
                  </a:lnTo>
                  <a:lnTo>
                    <a:pt x="394335" y="332423"/>
                  </a:lnTo>
                  <a:close/>
                  <a:moveTo>
                    <a:pt x="242888" y="263843"/>
                  </a:moveTo>
                  <a:lnTo>
                    <a:pt x="57150" y="450533"/>
                  </a:lnTo>
                  <a:lnTo>
                    <a:pt x="57150" y="81915"/>
                  </a:lnTo>
                  <a:lnTo>
                    <a:pt x="242888" y="263843"/>
                  </a:lnTo>
                  <a:close/>
                  <a:moveTo>
                    <a:pt x="270510" y="290513"/>
                  </a:moveTo>
                  <a:lnTo>
                    <a:pt x="341948" y="360045"/>
                  </a:lnTo>
                  <a:cubicBezTo>
                    <a:pt x="353378" y="370523"/>
                    <a:pt x="367665" y="376238"/>
                    <a:pt x="381953" y="376238"/>
                  </a:cubicBezTo>
                  <a:cubicBezTo>
                    <a:pt x="396240" y="376238"/>
                    <a:pt x="410528" y="370523"/>
                    <a:pt x="421958" y="360045"/>
                  </a:cubicBezTo>
                  <a:lnTo>
                    <a:pt x="493395" y="290513"/>
                  </a:lnTo>
                  <a:lnTo>
                    <a:pt x="678180" y="476250"/>
                  </a:lnTo>
                  <a:lnTo>
                    <a:pt x="84773" y="476250"/>
                  </a:lnTo>
                  <a:lnTo>
                    <a:pt x="270510" y="290513"/>
                  </a:lnTo>
                  <a:close/>
                  <a:moveTo>
                    <a:pt x="519113" y="263843"/>
                  </a:moveTo>
                  <a:lnTo>
                    <a:pt x="704850" y="82868"/>
                  </a:lnTo>
                  <a:lnTo>
                    <a:pt x="704850" y="449580"/>
                  </a:lnTo>
                  <a:lnTo>
                    <a:pt x="519113" y="263843"/>
                  </a:lnTo>
                  <a:close/>
                </a:path>
              </a:pathLst>
            </a:custGeom>
            <a:solidFill>
              <a:srgbClr val="00B0F0"/>
            </a:solidFill>
            <a:ln>
              <a:noFill/>
            </a:ln>
          </xdr:spPr>
          <xdr:style>
            <a:lnRef idx="2">
              <a:schemeClr val="dk1"/>
            </a:lnRef>
            <a:fillRef idx="1">
              <a:schemeClr val="lt1"/>
            </a:fillRef>
            <a:effectRef idx="0">
              <a:schemeClr val="dk1"/>
            </a:effectRef>
            <a:fontRef idx="minor">
              <a:schemeClr val="dk1"/>
            </a:fontRef>
          </xdr:style>
          <xdr:txBody>
            <a:bodyPr rtlCol="0" anchor="ctr"/>
            <a:lstStyle/>
            <a:p>
              <a:endParaRPr lang="en-US"/>
            </a:p>
          </xdr:txBody>
        </xdr:sp>
      </xdr:grpSp>
      <xdr:sp macro="[0]!Enviar_Email" textlink="">
        <xdr:nvSpPr>
          <xdr:cNvPr id="13" name="Gráfico 6" descr="Enviar com preenchimento sólido">
            <a:extLst>
              <a:ext uri="{FF2B5EF4-FFF2-40B4-BE49-F238E27FC236}">
                <a16:creationId xmlns:a16="http://schemas.microsoft.com/office/drawing/2014/main" id="{00000000-0008-0000-0300-00000D000000}"/>
              </a:ext>
            </a:extLst>
          </xdr:cNvPr>
          <xdr:cNvSpPr/>
        </xdr:nvSpPr>
        <xdr:spPr>
          <a:xfrm>
            <a:off x="8202768" y="1611831"/>
            <a:ext cx="454508" cy="424932"/>
          </a:xfrm>
          <a:custGeom>
            <a:avLst/>
            <a:gdLst>
              <a:gd name="connsiteX0" fmla="*/ 377235 w 455155"/>
              <a:gd name="connsiteY0" fmla="*/ 355180 h 422332"/>
              <a:gd name="connsiteX1" fmla="*/ 274973 w 455155"/>
              <a:gd name="connsiteY1" fmla="*/ 319826 h 422332"/>
              <a:gd name="connsiteX2" fmla="*/ 274404 w 455155"/>
              <a:gd name="connsiteY2" fmla="*/ 319826 h 422332"/>
              <a:gd name="connsiteX3" fmla="*/ 233499 w 455155"/>
              <a:gd name="connsiteY3" fmla="*/ 305571 h 422332"/>
              <a:gd name="connsiteX4" fmla="*/ 424958 w 455155"/>
              <a:gd name="connsiteY4" fmla="*/ 51824 h 422332"/>
              <a:gd name="connsiteX5" fmla="*/ 377235 w 455155"/>
              <a:gd name="connsiteY5" fmla="*/ 355180 h 422332"/>
              <a:gd name="connsiteX6" fmla="*/ 249407 w 455155"/>
              <a:gd name="connsiteY6" fmla="*/ 335792 h 422332"/>
              <a:gd name="connsiteX7" fmla="*/ 211911 w 455155"/>
              <a:gd name="connsiteY7" fmla="*/ 373427 h 422332"/>
              <a:gd name="connsiteX8" fmla="*/ 222137 w 455155"/>
              <a:gd name="connsiteY8" fmla="*/ 326669 h 422332"/>
              <a:gd name="connsiteX9" fmla="*/ 249407 w 455155"/>
              <a:gd name="connsiteY9" fmla="*/ 335792 h 422332"/>
              <a:gd name="connsiteX10" fmla="*/ 249407 w 455155"/>
              <a:gd name="connsiteY10" fmla="*/ 335792 h 422332"/>
              <a:gd name="connsiteX11" fmla="*/ 203957 w 455155"/>
              <a:gd name="connsiteY11" fmla="*/ 306711 h 422332"/>
              <a:gd name="connsiteX12" fmla="*/ 201684 w 455155"/>
              <a:gd name="connsiteY12" fmla="*/ 311273 h 422332"/>
              <a:gd name="connsiteX13" fmla="*/ 199980 w 455155"/>
              <a:gd name="connsiteY13" fmla="*/ 318686 h 422332"/>
              <a:gd name="connsiteX14" fmla="*/ 188618 w 455155"/>
              <a:gd name="connsiteY14" fmla="*/ 370576 h 422332"/>
              <a:gd name="connsiteX15" fmla="*/ 161348 w 455155"/>
              <a:gd name="connsiteY15" fmla="*/ 290745 h 422332"/>
              <a:gd name="connsiteX16" fmla="*/ 373826 w 455155"/>
              <a:gd name="connsiteY16" fmla="*/ 85467 h 422332"/>
              <a:gd name="connsiteX17" fmla="*/ 210774 w 455155"/>
              <a:gd name="connsiteY17" fmla="*/ 298158 h 422332"/>
              <a:gd name="connsiteX18" fmla="*/ 203957 w 455155"/>
              <a:gd name="connsiteY18" fmla="*/ 306711 h 422332"/>
              <a:gd name="connsiteX19" fmla="*/ 39769 w 455155"/>
              <a:gd name="connsiteY19" fmla="*/ 239426 h 422332"/>
              <a:gd name="connsiteX20" fmla="*/ 372690 w 455155"/>
              <a:gd name="connsiteY20" fmla="*/ 61518 h 422332"/>
              <a:gd name="connsiteX21" fmla="*/ 144872 w 455155"/>
              <a:gd name="connsiteY21" fmla="*/ 275349 h 422332"/>
              <a:gd name="connsiteX22" fmla="*/ 39769 w 455155"/>
              <a:gd name="connsiteY22" fmla="*/ 239426 h 422332"/>
              <a:gd name="connsiteX23" fmla="*/ 449955 w 455155"/>
              <a:gd name="connsiteY23" fmla="*/ 2216 h 422332"/>
              <a:gd name="connsiteX24" fmla="*/ 437456 w 455155"/>
              <a:gd name="connsiteY24" fmla="*/ 1645 h 422332"/>
              <a:gd name="connsiteX25" fmla="*/ 6249 w 455155"/>
              <a:gd name="connsiteY25" fmla="*/ 231443 h 422332"/>
              <a:gd name="connsiteX26" fmla="*/ 0 w 455155"/>
              <a:gd name="connsiteY26" fmla="*/ 242277 h 422332"/>
              <a:gd name="connsiteX27" fmla="*/ 7386 w 455155"/>
              <a:gd name="connsiteY27" fmla="*/ 251970 h 422332"/>
              <a:gd name="connsiteX28" fmla="*/ 125556 w 455155"/>
              <a:gd name="connsiteY28" fmla="*/ 292456 h 422332"/>
              <a:gd name="connsiteX29" fmla="*/ 140327 w 455155"/>
              <a:gd name="connsiteY29" fmla="*/ 297588 h 422332"/>
              <a:gd name="connsiteX30" fmla="*/ 143736 w 455155"/>
              <a:gd name="connsiteY30" fmla="*/ 307281 h 422332"/>
              <a:gd name="connsiteX31" fmla="*/ 178959 w 455155"/>
              <a:gd name="connsiteY31" fmla="*/ 413342 h 422332"/>
              <a:gd name="connsiteX32" fmla="*/ 178959 w 455155"/>
              <a:gd name="connsiteY32" fmla="*/ 413912 h 422332"/>
              <a:gd name="connsiteX33" fmla="*/ 178959 w 455155"/>
              <a:gd name="connsiteY33" fmla="*/ 414482 h 422332"/>
              <a:gd name="connsiteX34" fmla="*/ 187481 w 455155"/>
              <a:gd name="connsiteY34" fmla="*/ 421895 h 422332"/>
              <a:gd name="connsiteX35" fmla="*/ 198276 w 455155"/>
              <a:gd name="connsiteY35" fmla="*/ 419044 h 422332"/>
              <a:gd name="connsiteX36" fmla="*/ 198844 w 455155"/>
              <a:gd name="connsiteY36" fmla="*/ 418474 h 422332"/>
              <a:gd name="connsiteX37" fmla="*/ 202252 w 455155"/>
              <a:gd name="connsiteY37" fmla="*/ 415052 h 422332"/>
              <a:gd name="connsiteX38" fmla="*/ 273836 w 455155"/>
              <a:gd name="connsiteY38" fmla="*/ 344346 h 422332"/>
              <a:gd name="connsiteX39" fmla="*/ 382916 w 455155"/>
              <a:gd name="connsiteY39" fmla="*/ 381980 h 422332"/>
              <a:gd name="connsiteX40" fmla="*/ 392574 w 455155"/>
              <a:gd name="connsiteY40" fmla="*/ 380839 h 422332"/>
              <a:gd name="connsiteX41" fmla="*/ 398256 w 455155"/>
              <a:gd name="connsiteY41" fmla="*/ 372856 h 422332"/>
              <a:gd name="connsiteX42" fmla="*/ 455068 w 455155"/>
              <a:gd name="connsiteY42" fmla="*/ 13620 h 422332"/>
              <a:gd name="connsiteX43" fmla="*/ 449955 w 455155"/>
              <a:gd name="connsiteY43" fmla="*/ 2216 h 422332"/>
              <a:gd name="connsiteX0" fmla="*/ 377235 w 455154"/>
              <a:gd name="connsiteY0" fmla="*/ 355180 h 422331"/>
              <a:gd name="connsiteX1" fmla="*/ 274973 w 455154"/>
              <a:gd name="connsiteY1" fmla="*/ 319826 h 422331"/>
              <a:gd name="connsiteX2" fmla="*/ 274404 w 455154"/>
              <a:gd name="connsiteY2" fmla="*/ 319826 h 422331"/>
              <a:gd name="connsiteX3" fmla="*/ 233499 w 455154"/>
              <a:gd name="connsiteY3" fmla="*/ 305571 h 422331"/>
              <a:gd name="connsiteX4" fmla="*/ 424958 w 455154"/>
              <a:gd name="connsiteY4" fmla="*/ 51824 h 422331"/>
              <a:gd name="connsiteX5" fmla="*/ 377235 w 455154"/>
              <a:gd name="connsiteY5" fmla="*/ 355180 h 422331"/>
              <a:gd name="connsiteX6" fmla="*/ 249407 w 455154"/>
              <a:gd name="connsiteY6" fmla="*/ 335792 h 422331"/>
              <a:gd name="connsiteX7" fmla="*/ 211911 w 455154"/>
              <a:gd name="connsiteY7" fmla="*/ 373427 h 422331"/>
              <a:gd name="connsiteX8" fmla="*/ 222137 w 455154"/>
              <a:gd name="connsiteY8" fmla="*/ 326669 h 422331"/>
              <a:gd name="connsiteX9" fmla="*/ 249407 w 455154"/>
              <a:gd name="connsiteY9" fmla="*/ 335792 h 422331"/>
              <a:gd name="connsiteX10" fmla="*/ 249407 w 455154"/>
              <a:gd name="connsiteY10" fmla="*/ 335792 h 422331"/>
              <a:gd name="connsiteX11" fmla="*/ 203957 w 455154"/>
              <a:gd name="connsiteY11" fmla="*/ 306711 h 422331"/>
              <a:gd name="connsiteX12" fmla="*/ 201684 w 455154"/>
              <a:gd name="connsiteY12" fmla="*/ 311273 h 422331"/>
              <a:gd name="connsiteX13" fmla="*/ 199980 w 455154"/>
              <a:gd name="connsiteY13" fmla="*/ 318686 h 422331"/>
              <a:gd name="connsiteX14" fmla="*/ 188618 w 455154"/>
              <a:gd name="connsiteY14" fmla="*/ 370576 h 422331"/>
              <a:gd name="connsiteX15" fmla="*/ 161348 w 455154"/>
              <a:gd name="connsiteY15" fmla="*/ 290745 h 422331"/>
              <a:gd name="connsiteX16" fmla="*/ 272496 w 455154"/>
              <a:gd name="connsiteY16" fmla="*/ 174513 h 422331"/>
              <a:gd name="connsiteX17" fmla="*/ 210774 w 455154"/>
              <a:gd name="connsiteY17" fmla="*/ 298158 h 422331"/>
              <a:gd name="connsiteX18" fmla="*/ 203957 w 455154"/>
              <a:gd name="connsiteY18" fmla="*/ 306711 h 422331"/>
              <a:gd name="connsiteX19" fmla="*/ 39769 w 455154"/>
              <a:gd name="connsiteY19" fmla="*/ 239426 h 422331"/>
              <a:gd name="connsiteX20" fmla="*/ 372690 w 455154"/>
              <a:gd name="connsiteY20" fmla="*/ 61518 h 422331"/>
              <a:gd name="connsiteX21" fmla="*/ 144872 w 455154"/>
              <a:gd name="connsiteY21" fmla="*/ 275349 h 422331"/>
              <a:gd name="connsiteX22" fmla="*/ 39769 w 455154"/>
              <a:gd name="connsiteY22" fmla="*/ 239426 h 422331"/>
              <a:gd name="connsiteX23" fmla="*/ 449955 w 455154"/>
              <a:gd name="connsiteY23" fmla="*/ 2216 h 422331"/>
              <a:gd name="connsiteX24" fmla="*/ 437456 w 455154"/>
              <a:gd name="connsiteY24" fmla="*/ 1645 h 422331"/>
              <a:gd name="connsiteX25" fmla="*/ 6249 w 455154"/>
              <a:gd name="connsiteY25" fmla="*/ 231443 h 422331"/>
              <a:gd name="connsiteX26" fmla="*/ 0 w 455154"/>
              <a:gd name="connsiteY26" fmla="*/ 242277 h 422331"/>
              <a:gd name="connsiteX27" fmla="*/ 7386 w 455154"/>
              <a:gd name="connsiteY27" fmla="*/ 251970 h 422331"/>
              <a:gd name="connsiteX28" fmla="*/ 125556 w 455154"/>
              <a:gd name="connsiteY28" fmla="*/ 292456 h 422331"/>
              <a:gd name="connsiteX29" fmla="*/ 140327 w 455154"/>
              <a:gd name="connsiteY29" fmla="*/ 297588 h 422331"/>
              <a:gd name="connsiteX30" fmla="*/ 143736 w 455154"/>
              <a:gd name="connsiteY30" fmla="*/ 307281 h 422331"/>
              <a:gd name="connsiteX31" fmla="*/ 178959 w 455154"/>
              <a:gd name="connsiteY31" fmla="*/ 413342 h 422331"/>
              <a:gd name="connsiteX32" fmla="*/ 178959 w 455154"/>
              <a:gd name="connsiteY32" fmla="*/ 413912 h 422331"/>
              <a:gd name="connsiteX33" fmla="*/ 178959 w 455154"/>
              <a:gd name="connsiteY33" fmla="*/ 414482 h 422331"/>
              <a:gd name="connsiteX34" fmla="*/ 187481 w 455154"/>
              <a:gd name="connsiteY34" fmla="*/ 421895 h 422331"/>
              <a:gd name="connsiteX35" fmla="*/ 198276 w 455154"/>
              <a:gd name="connsiteY35" fmla="*/ 419044 h 422331"/>
              <a:gd name="connsiteX36" fmla="*/ 198844 w 455154"/>
              <a:gd name="connsiteY36" fmla="*/ 418474 h 422331"/>
              <a:gd name="connsiteX37" fmla="*/ 202252 w 455154"/>
              <a:gd name="connsiteY37" fmla="*/ 415052 h 422331"/>
              <a:gd name="connsiteX38" fmla="*/ 273836 w 455154"/>
              <a:gd name="connsiteY38" fmla="*/ 344346 h 422331"/>
              <a:gd name="connsiteX39" fmla="*/ 382916 w 455154"/>
              <a:gd name="connsiteY39" fmla="*/ 381980 h 422331"/>
              <a:gd name="connsiteX40" fmla="*/ 392574 w 455154"/>
              <a:gd name="connsiteY40" fmla="*/ 380839 h 422331"/>
              <a:gd name="connsiteX41" fmla="*/ 398256 w 455154"/>
              <a:gd name="connsiteY41" fmla="*/ 372856 h 422331"/>
              <a:gd name="connsiteX42" fmla="*/ 455068 w 455154"/>
              <a:gd name="connsiteY42" fmla="*/ 13620 h 422331"/>
              <a:gd name="connsiteX43" fmla="*/ 449955 w 455154"/>
              <a:gd name="connsiteY43" fmla="*/ 2216 h 422331"/>
              <a:gd name="connsiteX0" fmla="*/ 377235 w 455154"/>
              <a:gd name="connsiteY0" fmla="*/ 355180 h 422331"/>
              <a:gd name="connsiteX1" fmla="*/ 274973 w 455154"/>
              <a:gd name="connsiteY1" fmla="*/ 319826 h 422331"/>
              <a:gd name="connsiteX2" fmla="*/ 274404 w 455154"/>
              <a:gd name="connsiteY2" fmla="*/ 319826 h 422331"/>
              <a:gd name="connsiteX3" fmla="*/ 233499 w 455154"/>
              <a:gd name="connsiteY3" fmla="*/ 305571 h 422331"/>
              <a:gd name="connsiteX4" fmla="*/ 424958 w 455154"/>
              <a:gd name="connsiteY4" fmla="*/ 51824 h 422331"/>
              <a:gd name="connsiteX5" fmla="*/ 377235 w 455154"/>
              <a:gd name="connsiteY5" fmla="*/ 355180 h 422331"/>
              <a:gd name="connsiteX6" fmla="*/ 249407 w 455154"/>
              <a:gd name="connsiteY6" fmla="*/ 335792 h 422331"/>
              <a:gd name="connsiteX7" fmla="*/ 211911 w 455154"/>
              <a:gd name="connsiteY7" fmla="*/ 373427 h 422331"/>
              <a:gd name="connsiteX8" fmla="*/ 222137 w 455154"/>
              <a:gd name="connsiteY8" fmla="*/ 326669 h 422331"/>
              <a:gd name="connsiteX9" fmla="*/ 249407 w 455154"/>
              <a:gd name="connsiteY9" fmla="*/ 335792 h 422331"/>
              <a:gd name="connsiteX10" fmla="*/ 249407 w 455154"/>
              <a:gd name="connsiteY10" fmla="*/ 335792 h 422331"/>
              <a:gd name="connsiteX11" fmla="*/ 203957 w 455154"/>
              <a:gd name="connsiteY11" fmla="*/ 306711 h 422331"/>
              <a:gd name="connsiteX12" fmla="*/ 201684 w 455154"/>
              <a:gd name="connsiteY12" fmla="*/ 311273 h 422331"/>
              <a:gd name="connsiteX13" fmla="*/ 199980 w 455154"/>
              <a:gd name="connsiteY13" fmla="*/ 318686 h 422331"/>
              <a:gd name="connsiteX14" fmla="*/ 188618 w 455154"/>
              <a:gd name="connsiteY14" fmla="*/ 370576 h 422331"/>
              <a:gd name="connsiteX15" fmla="*/ 161348 w 455154"/>
              <a:gd name="connsiteY15" fmla="*/ 290745 h 422331"/>
              <a:gd name="connsiteX16" fmla="*/ 210774 w 455154"/>
              <a:gd name="connsiteY16" fmla="*/ 298158 h 422331"/>
              <a:gd name="connsiteX17" fmla="*/ 203957 w 455154"/>
              <a:gd name="connsiteY17" fmla="*/ 306711 h 422331"/>
              <a:gd name="connsiteX18" fmla="*/ 39769 w 455154"/>
              <a:gd name="connsiteY18" fmla="*/ 239426 h 422331"/>
              <a:gd name="connsiteX19" fmla="*/ 372690 w 455154"/>
              <a:gd name="connsiteY19" fmla="*/ 61518 h 422331"/>
              <a:gd name="connsiteX20" fmla="*/ 144872 w 455154"/>
              <a:gd name="connsiteY20" fmla="*/ 275349 h 422331"/>
              <a:gd name="connsiteX21" fmla="*/ 39769 w 455154"/>
              <a:gd name="connsiteY21" fmla="*/ 239426 h 422331"/>
              <a:gd name="connsiteX22" fmla="*/ 449955 w 455154"/>
              <a:gd name="connsiteY22" fmla="*/ 2216 h 422331"/>
              <a:gd name="connsiteX23" fmla="*/ 437456 w 455154"/>
              <a:gd name="connsiteY23" fmla="*/ 1645 h 422331"/>
              <a:gd name="connsiteX24" fmla="*/ 6249 w 455154"/>
              <a:gd name="connsiteY24" fmla="*/ 231443 h 422331"/>
              <a:gd name="connsiteX25" fmla="*/ 0 w 455154"/>
              <a:gd name="connsiteY25" fmla="*/ 242277 h 422331"/>
              <a:gd name="connsiteX26" fmla="*/ 7386 w 455154"/>
              <a:gd name="connsiteY26" fmla="*/ 251970 h 422331"/>
              <a:gd name="connsiteX27" fmla="*/ 125556 w 455154"/>
              <a:gd name="connsiteY27" fmla="*/ 292456 h 422331"/>
              <a:gd name="connsiteX28" fmla="*/ 140327 w 455154"/>
              <a:gd name="connsiteY28" fmla="*/ 297588 h 422331"/>
              <a:gd name="connsiteX29" fmla="*/ 143736 w 455154"/>
              <a:gd name="connsiteY29" fmla="*/ 307281 h 422331"/>
              <a:gd name="connsiteX30" fmla="*/ 178959 w 455154"/>
              <a:gd name="connsiteY30" fmla="*/ 413342 h 422331"/>
              <a:gd name="connsiteX31" fmla="*/ 178959 w 455154"/>
              <a:gd name="connsiteY31" fmla="*/ 413912 h 422331"/>
              <a:gd name="connsiteX32" fmla="*/ 178959 w 455154"/>
              <a:gd name="connsiteY32" fmla="*/ 414482 h 422331"/>
              <a:gd name="connsiteX33" fmla="*/ 187481 w 455154"/>
              <a:gd name="connsiteY33" fmla="*/ 421895 h 422331"/>
              <a:gd name="connsiteX34" fmla="*/ 198276 w 455154"/>
              <a:gd name="connsiteY34" fmla="*/ 419044 h 422331"/>
              <a:gd name="connsiteX35" fmla="*/ 198844 w 455154"/>
              <a:gd name="connsiteY35" fmla="*/ 418474 h 422331"/>
              <a:gd name="connsiteX36" fmla="*/ 202252 w 455154"/>
              <a:gd name="connsiteY36" fmla="*/ 415052 h 422331"/>
              <a:gd name="connsiteX37" fmla="*/ 273836 w 455154"/>
              <a:gd name="connsiteY37" fmla="*/ 344346 h 422331"/>
              <a:gd name="connsiteX38" fmla="*/ 382916 w 455154"/>
              <a:gd name="connsiteY38" fmla="*/ 381980 h 422331"/>
              <a:gd name="connsiteX39" fmla="*/ 392574 w 455154"/>
              <a:gd name="connsiteY39" fmla="*/ 380839 h 422331"/>
              <a:gd name="connsiteX40" fmla="*/ 398256 w 455154"/>
              <a:gd name="connsiteY40" fmla="*/ 372856 h 422331"/>
              <a:gd name="connsiteX41" fmla="*/ 455068 w 455154"/>
              <a:gd name="connsiteY41" fmla="*/ 13620 h 422331"/>
              <a:gd name="connsiteX42" fmla="*/ 449955 w 455154"/>
              <a:gd name="connsiteY42" fmla="*/ 2216 h 422331"/>
              <a:gd name="connsiteX0" fmla="*/ 377235 w 455154"/>
              <a:gd name="connsiteY0" fmla="*/ 355180 h 422331"/>
              <a:gd name="connsiteX1" fmla="*/ 274973 w 455154"/>
              <a:gd name="connsiteY1" fmla="*/ 319826 h 422331"/>
              <a:gd name="connsiteX2" fmla="*/ 274404 w 455154"/>
              <a:gd name="connsiteY2" fmla="*/ 319826 h 422331"/>
              <a:gd name="connsiteX3" fmla="*/ 233499 w 455154"/>
              <a:gd name="connsiteY3" fmla="*/ 305571 h 422331"/>
              <a:gd name="connsiteX4" fmla="*/ 424958 w 455154"/>
              <a:gd name="connsiteY4" fmla="*/ 51824 h 422331"/>
              <a:gd name="connsiteX5" fmla="*/ 377235 w 455154"/>
              <a:gd name="connsiteY5" fmla="*/ 355180 h 422331"/>
              <a:gd name="connsiteX6" fmla="*/ 249407 w 455154"/>
              <a:gd name="connsiteY6" fmla="*/ 335792 h 422331"/>
              <a:gd name="connsiteX7" fmla="*/ 211911 w 455154"/>
              <a:gd name="connsiteY7" fmla="*/ 373427 h 422331"/>
              <a:gd name="connsiteX8" fmla="*/ 222137 w 455154"/>
              <a:gd name="connsiteY8" fmla="*/ 326669 h 422331"/>
              <a:gd name="connsiteX9" fmla="*/ 249407 w 455154"/>
              <a:gd name="connsiteY9" fmla="*/ 335792 h 422331"/>
              <a:gd name="connsiteX10" fmla="*/ 249407 w 455154"/>
              <a:gd name="connsiteY10" fmla="*/ 335792 h 422331"/>
              <a:gd name="connsiteX11" fmla="*/ 203957 w 455154"/>
              <a:gd name="connsiteY11" fmla="*/ 306711 h 422331"/>
              <a:gd name="connsiteX12" fmla="*/ 201684 w 455154"/>
              <a:gd name="connsiteY12" fmla="*/ 311273 h 422331"/>
              <a:gd name="connsiteX13" fmla="*/ 199980 w 455154"/>
              <a:gd name="connsiteY13" fmla="*/ 318686 h 422331"/>
              <a:gd name="connsiteX14" fmla="*/ 188618 w 455154"/>
              <a:gd name="connsiteY14" fmla="*/ 370576 h 422331"/>
              <a:gd name="connsiteX15" fmla="*/ 161348 w 455154"/>
              <a:gd name="connsiteY15" fmla="*/ 290745 h 422331"/>
              <a:gd name="connsiteX16" fmla="*/ 210774 w 455154"/>
              <a:gd name="connsiteY16" fmla="*/ 298158 h 422331"/>
              <a:gd name="connsiteX17" fmla="*/ 203957 w 455154"/>
              <a:gd name="connsiteY17" fmla="*/ 306711 h 422331"/>
              <a:gd name="connsiteX18" fmla="*/ 39769 w 455154"/>
              <a:gd name="connsiteY18" fmla="*/ 239426 h 422331"/>
              <a:gd name="connsiteX19" fmla="*/ 144872 w 455154"/>
              <a:gd name="connsiteY19" fmla="*/ 275349 h 422331"/>
              <a:gd name="connsiteX20" fmla="*/ 39769 w 455154"/>
              <a:gd name="connsiteY20" fmla="*/ 239426 h 422331"/>
              <a:gd name="connsiteX21" fmla="*/ 449955 w 455154"/>
              <a:gd name="connsiteY21" fmla="*/ 2216 h 422331"/>
              <a:gd name="connsiteX22" fmla="*/ 437456 w 455154"/>
              <a:gd name="connsiteY22" fmla="*/ 1645 h 422331"/>
              <a:gd name="connsiteX23" fmla="*/ 6249 w 455154"/>
              <a:gd name="connsiteY23" fmla="*/ 231443 h 422331"/>
              <a:gd name="connsiteX24" fmla="*/ 0 w 455154"/>
              <a:gd name="connsiteY24" fmla="*/ 242277 h 422331"/>
              <a:gd name="connsiteX25" fmla="*/ 7386 w 455154"/>
              <a:gd name="connsiteY25" fmla="*/ 251970 h 422331"/>
              <a:gd name="connsiteX26" fmla="*/ 125556 w 455154"/>
              <a:gd name="connsiteY26" fmla="*/ 292456 h 422331"/>
              <a:gd name="connsiteX27" fmla="*/ 140327 w 455154"/>
              <a:gd name="connsiteY27" fmla="*/ 297588 h 422331"/>
              <a:gd name="connsiteX28" fmla="*/ 143736 w 455154"/>
              <a:gd name="connsiteY28" fmla="*/ 307281 h 422331"/>
              <a:gd name="connsiteX29" fmla="*/ 178959 w 455154"/>
              <a:gd name="connsiteY29" fmla="*/ 413342 h 422331"/>
              <a:gd name="connsiteX30" fmla="*/ 178959 w 455154"/>
              <a:gd name="connsiteY30" fmla="*/ 413912 h 422331"/>
              <a:gd name="connsiteX31" fmla="*/ 178959 w 455154"/>
              <a:gd name="connsiteY31" fmla="*/ 414482 h 422331"/>
              <a:gd name="connsiteX32" fmla="*/ 187481 w 455154"/>
              <a:gd name="connsiteY32" fmla="*/ 421895 h 422331"/>
              <a:gd name="connsiteX33" fmla="*/ 198276 w 455154"/>
              <a:gd name="connsiteY33" fmla="*/ 419044 h 422331"/>
              <a:gd name="connsiteX34" fmla="*/ 198844 w 455154"/>
              <a:gd name="connsiteY34" fmla="*/ 418474 h 422331"/>
              <a:gd name="connsiteX35" fmla="*/ 202252 w 455154"/>
              <a:gd name="connsiteY35" fmla="*/ 415052 h 422331"/>
              <a:gd name="connsiteX36" fmla="*/ 273836 w 455154"/>
              <a:gd name="connsiteY36" fmla="*/ 344346 h 422331"/>
              <a:gd name="connsiteX37" fmla="*/ 382916 w 455154"/>
              <a:gd name="connsiteY37" fmla="*/ 381980 h 422331"/>
              <a:gd name="connsiteX38" fmla="*/ 392574 w 455154"/>
              <a:gd name="connsiteY38" fmla="*/ 380839 h 422331"/>
              <a:gd name="connsiteX39" fmla="*/ 398256 w 455154"/>
              <a:gd name="connsiteY39" fmla="*/ 372856 h 422331"/>
              <a:gd name="connsiteX40" fmla="*/ 455068 w 455154"/>
              <a:gd name="connsiteY40" fmla="*/ 13620 h 422331"/>
              <a:gd name="connsiteX41" fmla="*/ 449955 w 455154"/>
              <a:gd name="connsiteY41" fmla="*/ 2216 h 422331"/>
              <a:gd name="connsiteX0" fmla="*/ 377235 w 455154"/>
              <a:gd name="connsiteY0" fmla="*/ 355180 h 422331"/>
              <a:gd name="connsiteX1" fmla="*/ 274973 w 455154"/>
              <a:gd name="connsiteY1" fmla="*/ 319826 h 422331"/>
              <a:gd name="connsiteX2" fmla="*/ 274404 w 455154"/>
              <a:gd name="connsiteY2" fmla="*/ 319826 h 422331"/>
              <a:gd name="connsiteX3" fmla="*/ 233499 w 455154"/>
              <a:gd name="connsiteY3" fmla="*/ 305571 h 422331"/>
              <a:gd name="connsiteX4" fmla="*/ 377235 w 455154"/>
              <a:gd name="connsiteY4" fmla="*/ 355180 h 422331"/>
              <a:gd name="connsiteX5" fmla="*/ 249407 w 455154"/>
              <a:gd name="connsiteY5" fmla="*/ 335792 h 422331"/>
              <a:gd name="connsiteX6" fmla="*/ 211911 w 455154"/>
              <a:gd name="connsiteY6" fmla="*/ 373427 h 422331"/>
              <a:gd name="connsiteX7" fmla="*/ 222137 w 455154"/>
              <a:gd name="connsiteY7" fmla="*/ 326669 h 422331"/>
              <a:gd name="connsiteX8" fmla="*/ 249407 w 455154"/>
              <a:gd name="connsiteY8" fmla="*/ 335792 h 422331"/>
              <a:gd name="connsiteX9" fmla="*/ 249407 w 455154"/>
              <a:gd name="connsiteY9" fmla="*/ 335792 h 422331"/>
              <a:gd name="connsiteX10" fmla="*/ 203957 w 455154"/>
              <a:gd name="connsiteY10" fmla="*/ 306711 h 422331"/>
              <a:gd name="connsiteX11" fmla="*/ 201684 w 455154"/>
              <a:gd name="connsiteY11" fmla="*/ 311273 h 422331"/>
              <a:gd name="connsiteX12" fmla="*/ 199980 w 455154"/>
              <a:gd name="connsiteY12" fmla="*/ 318686 h 422331"/>
              <a:gd name="connsiteX13" fmla="*/ 188618 w 455154"/>
              <a:gd name="connsiteY13" fmla="*/ 370576 h 422331"/>
              <a:gd name="connsiteX14" fmla="*/ 161348 w 455154"/>
              <a:gd name="connsiteY14" fmla="*/ 290745 h 422331"/>
              <a:gd name="connsiteX15" fmla="*/ 210774 w 455154"/>
              <a:gd name="connsiteY15" fmla="*/ 298158 h 422331"/>
              <a:gd name="connsiteX16" fmla="*/ 203957 w 455154"/>
              <a:gd name="connsiteY16" fmla="*/ 306711 h 422331"/>
              <a:gd name="connsiteX17" fmla="*/ 39769 w 455154"/>
              <a:gd name="connsiteY17" fmla="*/ 239426 h 422331"/>
              <a:gd name="connsiteX18" fmla="*/ 144872 w 455154"/>
              <a:gd name="connsiteY18" fmla="*/ 275349 h 422331"/>
              <a:gd name="connsiteX19" fmla="*/ 39769 w 455154"/>
              <a:gd name="connsiteY19" fmla="*/ 239426 h 422331"/>
              <a:gd name="connsiteX20" fmla="*/ 449955 w 455154"/>
              <a:gd name="connsiteY20" fmla="*/ 2216 h 422331"/>
              <a:gd name="connsiteX21" fmla="*/ 437456 w 455154"/>
              <a:gd name="connsiteY21" fmla="*/ 1645 h 422331"/>
              <a:gd name="connsiteX22" fmla="*/ 6249 w 455154"/>
              <a:gd name="connsiteY22" fmla="*/ 231443 h 422331"/>
              <a:gd name="connsiteX23" fmla="*/ 0 w 455154"/>
              <a:gd name="connsiteY23" fmla="*/ 242277 h 422331"/>
              <a:gd name="connsiteX24" fmla="*/ 7386 w 455154"/>
              <a:gd name="connsiteY24" fmla="*/ 251970 h 422331"/>
              <a:gd name="connsiteX25" fmla="*/ 125556 w 455154"/>
              <a:gd name="connsiteY25" fmla="*/ 292456 h 422331"/>
              <a:gd name="connsiteX26" fmla="*/ 140327 w 455154"/>
              <a:gd name="connsiteY26" fmla="*/ 297588 h 422331"/>
              <a:gd name="connsiteX27" fmla="*/ 143736 w 455154"/>
              <a:gd name="connsiteY27" fmla="*/ 307281 h 422331"/>
              <a:gd name="connsiteX28" fmla="*/ 178959 w 455154"/>
              <a:gd name="connsiteY28" fmla="*/ 413342 h 422331"/>
              <a:gd name="connsiteX29" fmla="*/ 178959 w 455154"/>
              <a:gd name="connsiteY29" fmla="*/ 413912 h 422331"/>
              <a:gd name="connsiteX30" fmla="*/ 178959 w 455154"/>
              <a:gd name="connsiteY30" fmla="*/ 414482 h 422331"/>
              <a:gd name="connsiteX31" fmla="*/ 187481 w 455154"/>
              <a:gd name="connsiteY31" fmla="*/ 421895 h 422331"/>
              <a:gd name="connsiteX32" fmla="*/ 198276 w 455154"/>
              <a:gd name="connsiteY32" fmla="*/ 419044 h 422331"/>
              <a:gd name="connsiteX33" fmla="*/ 198844 w 455154"/>
              <a:gd name="connsiteY33" fmla="*/ 418474 h 422331"/>
              <a:gd name="connsiteX34" fmla="*/ 202252 w 455154"/>
              <a:gd name="connsiteY34" fmla="*/ 415052 h 422331"/>
              <a:gd name="connsiteX35" fmla="*/ 273836 w 455154"/>
              <a:gd name="connsiteY35" fmla="*/ 344346 h 422331"/>
              <a:gd name="connsiteX36" fmla="*/ 382916 w 455154"/>
              <a:gd name="connsiteY36" fmla="*/ 381980 h 422331"/>
              <a:gd name="connsiteX37" fmla="*/ 392574 w 455154"/>
              <a:gd name="connsiteY37" fmla="*/ 380839 h 422331"/>
              <a:gd name="connsiteX38" fmla="*/ 398256 w 455154"/>
              <a:gd name="connsiteY38" fmla="*/ 372856 h 422331"/>
              <a:gd name="connsiteX39" fmla="*/ 455068 w 455154"/>
              <a:gd name="connsiteY39" fmla="*/ 13620 h 422331"/>
              <a:gd name="connsiteX40" fmla="*/ 449955 w 455154"/>
              <a:gd name="connsiteY40" fmla="*/ 2216 h 422331"/>
              <a:gd name="connsiteX0" fmla="*/ 377235 w 455154"/>
              <a:gd name="connsiteY0" fmla="*/ 355180 h 422331"/>
              <a:gd name="connsiteX1" fmla="*/ 274973 w 455154"/>
              <a:gd name="connsiteY1" fmla="*/ 319826 h 422331"/>
              <a:gd name="connsiteX2" fmla="*/ 274404 w 455154"/>
              <a:gd name="connsiteY2" fmla="*/ 319826 h 422331"/>
              <a:gd name="connsiteX3" fmla="*/ 233499 w 455154"/>
              <a:gd name="connsiteY3" fmla="*/ 305571 h 422331"/>
              <a:gd name="connsiteX4" fmla="*/ 377235 w 455154"/>
              <a:gd name="connsiteY4" fmla="*/ 355180 h 422331"/>
              <a:gd name="connsiteX5" fmla="*/ 249407 w 455154"/>
              <a:gd name="connsiteY5" fmla="*/ 335792 h 422331"/>
              <a:gd name="connsiteX6" fmla="*/ 211911 w 455154"/>
              <a:gd name="connsiteY6" fmla="*/ 373427 h 422331"/>
              <a:gd name="connsiteX7" fmla="*/ 222137 w 455154"/>
              <a:gd name="connsiteY7" fmla="*/ 326669 h 422331"/>
              <a:gd name="connsiteX8" fmla="*/ 249407 w 455154"/>
              <a:gd name="connsiteY8" fmla="*/ 335792 h 422331"/>
              <a:gd name="connsiteX9" fmla="*/ 249407 w 455154"/>
              <a:gd name="connsiteY9" fmla="*/ 335792 h 422331"/>
              <a:gd name="connsiteX10" fmla="*/ 203957 w 455154"/>
              <a:gd name="connsiteY10" fmla="*/ 306711 h 422331"/>
              <a:gd name="connsiteX11" fmla="*/ 201684 w 455154"/>
              <a:gd name="connsiteY11" fmla="*/ 311273 h 422331"/>
              <a:gd name="connsiteX12" fmla="*/ 199980 w 455154"/>
              <a:gd name="connsiteY12" fmla="*/ 318686 h 422331"/>
              <a:gd name="connsiteX13" fmla="*/ 188618 w 455154"/>
              <a:gd name="connsiteY13" fmla="*/ 370576 h 422331"/>
              <a:gd name="connsiteX14" fmla="*/ 210774 w 455154"/>
              <a:gd name="connsiteY14" fmla="*/ 298158 h 422331"/>
              <a:gd name="connsiteX15" fmla="*/ 203957 w 455154"/>
              <a:gd name="connsiteY15" fmla="*/ 306711 h 422331"/>
              <a:gd name="connsiteX16" fmla="*/ 39769 w 455154"/>
              <a:gd name="connsiteY16" fmla="*/ 239426 h 422331"/>
              <a:gd name="connsiteX17" fmla="*/ 144872 w 455154"/>
              <a:gd name="connsiteY17" fmla="*/ 275349 h 422331"/>
              <a:gd name="connsiteX18" fmla="*/ 39769 w 455154"/>
              <a:gd name="connsiteY18" fmla="*/ 239426 h 422331"/>
              <a:gd name="connsiteX19" fmla="*/ 449955 w 455154"/>
              <a:gd name="connsiteY19" fmla="*/ 2216 h 422331"/>
              <a:gd name="connsiteX20" fmla="*/ 437456 w 455154"/>
              <a:gd name="connsiteY20" fmla="*/ 1645 h 422331"/>
              <a:gd name="connsiteX21" fmla="*/ 6249 w 455154"/>
              <a:gd name="connsiteY21" fmla="*/ 231443 h 422331"/>
              <a:gd name="connsiteX22" fmla="*/ 0 w 455154"/>
              <a:gd name="connsiteY22" fmla="*/ 242277 h 422331"/>
              <a:gd name="connsiteX23" fmla="*/ 7386 w 455154"/>
              <a:gd name="connsiteY23" fmla="*/ 251970 h 422331"/>
              <a:gd name="connsiteX24" fmla="*/ 125556 w 455154"/>
              <a:gd name="connsiteY24" fmla="*/ 292456 h 422331"/>
              <a:gd name="connsiteX25" fmla="*/ 140327 w 455154"/>
              <a:gd name="connsiteY25" fmla="*/ 297588 h 422331"/>
              <a:gd name="connsiteX26" fmla="*/ 143736 w 455154"/>
              <a:gd name="connsiteY26" fmla="*/ 307281 h 422331"/>
              <a:gd name="connsiteX27" fmla="*/ 178959 w 455154"/>
              <a:gd name="connsiteY27" fmla="*/ 413342 h 422331"/>
              <a:gd name="connsiteX28" fmla="*/ 178959 w 455154"/>
              <a:gd name="connsiteY28" fmla="*/ 413912 h 422331"/>
              <a:gd name="connsiteX29" fmla="*/ 178959 w 455154"/>
              <a:gd name="connsiteY29" fmla="*/ 414482 h 422331"/>
              <a:gd name="connsiteX30" fmla="*/ 187481 w 455154"/>
              <a:gd name="connsiteY30" fmla="*/ 421895 h 422331"/>
              <a:gd name="connsiteX31" fmla="*/ 198276 w 455154"/>
              <a:gd name="connsiteY31" fmla="*/ 419044 h 422331"/>
              <a:gd name="connsiteX32" fmla="*/ 198844 w 455154"/>
              <a:gd name="connsiteY32" fmla="*/ 418474 h 422331"/>
              <a:gd name="connsiteX33" fmla="*/ 202252 w 455154"/>
              <a:gd name="connsiteY33" fmla="*/ 415052 h 422331"/>
              <a:gd name="connsiteX34" fmla="*/ 273836 w 455154"/>
              <a:gd name="connsiteY34" fmla="*/ 344346 h 422331"/>
              <a:gd name="connsiteX35" fmla="*/ 382916 w 455154"/>
              <a:gd name="connsiteY35" fmla="*/ 381980 h 422331"/>
              <a:gd name="connsiteX36" fmla="*/ 392574 w 455154"/>
              <a:gd name="connsiteY36" fmla="*/ 380839 h 422331"/>
              <a:gd name="connsiteX37" fmla="*/ 398256 w 455154"/>
              <a:gd name="connsiteY37" fmla="*/ 372856 h 422331"/>
              <a:gd name="connsiteX38" fmla="*/ 455068 w 455154"/>
              <a:gd name="connsiteY38" fmla="*/ 13620 h 422331"/>
              <a:gd name="connsiteX39" fmla="*/ 449955 w 455154"/>
              <a:gd name="connsiteY39" fmla="*/ 2216 h 422331"/>
              <a:gd name="connsiteX0" fmla="*/ 377235 w 455154"/>
              <a:gd name="connsiteY0" fmla="*/ 355180 h 422331"/>
              <a:gd name="connsiteX1" fmla="*/ 274973 w 455154"/>
              <a:gd name="connsiteY1" fmla="*/ 319826 h 422331"/>
              <a:gd name="connsiteX2" fmla="*/ 274404 w 455154"/>
              <a:gd name="connsiteY2" fmla="*/ 319826 h 422331"/>
              <a:gd name="connsiteX3" fmla="*/ 233499 w 455154"/>
              <a:gd name="connsiteY3" fmla="*/ 305571 h 422331"/>
              <a:gd name="connsiteX4" fmla="*/ 377235 w 455154"/>
              <a:gd name="connsiteY4" fmla="*/ 355180 h 422331"/>
              <a:gd name="connsiteX5" fmla="*/ 249407 w 455154"/>
              <a:gd name="connsiteY5" fmla="*/ 335792 h 422331"/>
              <a:gd name="connsiteX6" fmla="*/ 211911 w 455154"/>
              <a:gd name="connsiteY6" fmla="*/ 373427 h 422331"/>
              <a:gd name="connsiteX7" fmla="*/ 222137 w 455154"/>
              <a:gd name="connsiteY7" fmla="*/ 326669 h 422331"/>
              <a:gd name="connsiteX8" fmla="*/ 249407 w 455154"/>
              <a:gd name="connsiteY8" fmla="*/ 335792 h 422331"/>
              <a:gd name="connsiteX9" fmla="*/ 203957 w 455154"/>
              <a:gd name="connsiteY9" fmla="*/ 306711 h 422331"/>
              <a:gd name="connsiteX10" fmla="*/ 201684 w 455154"/>
              <a:gd name="connsiteY10" fmla="*/ 311273 h 422331"/>
              <a:gd name="connsiteX11" fmla="*/ 199980 w 455154"/>
              <a:gd name="connsiteY11" fmla="*/ 318686 h 422331"/>
              <a:gd name="connsiteX12" fmla="*/ 188618 w 455154"/>
              <a:gd name="connsiteY12" fmla="*/ 370576 h 422331"/>
              <a:gd name="connsiteX13" fmla="*/ 210774 w 455154"/>
              <a:gd name="connsiteY13" fmla="*/ 298158 h 422331"/>
              <a:gd name="connsiteX14" fmla="*/ 203957 w 455154"/>
              <a:gd name="connsiteY14" fmla="*/ 306711 h 422331"/>
              <a:gd name="connsiteX15" fmla="*/ 39769 w 455154"/>
              <a:gd name="connsiteY15" fmla="*/ 239426 h 422331"/>
              <a:gd name="connsiteX16" fmla="*/ 144872 w 455154"/>
              <a:gd name="connsiteY16" fmla="*/ 275349 h 422331"/>
              <a:gd name="connsiteX17" fmla="*/ 39769 w 455154"/>
              <a:gd name="connsiteY17" fmla="*/ 239426 h 422331"/>
              <a:gd name="connsiteX18" fmla="*/ 449955 w 455154"/>
              <a:gd name="connsiteY18" fmla="*/ 2216 h 422331"/>
              <a:gd name="connsiteX19" fmla="*/ 437456 w 455154"/>
              <a:gd name="connsiteY19" fmla="*/ 1645 h 422331"/>
              <a:gd name="connsiteX20" fmla="*/ 6249 w 455154"/>
              <a:gd name="connsiteY20" fmla="*/ 231443 h 422331"/>
              <a:gd name="connsiteX21" fmla="*/ 0 w 455154"/>
              <a:gd name="connsiteY21" fmla="*/ 242277 h 422331"/>
              <a:gd name="connsiteX22" fmla="*/ 7386 w 455154"/>
              <a:gd name="connsiteY22" fmla="*/ 251970 h 422331"/>
              <a:gd name="connsiteX23" fmla="*/ 125556 w 455154"/>
              <a:gd name="connsiteY23" fmla="*/ 292456 h 422331"/>
              <a:gd name="connsiteX24" fmla="*/ 140327 w 455154"/>
              <a:gd name="connsiteY24" fmla="*/ 297588 h 422331"/>
              <a:gd name="connsiteX25" fmla="*/ 143736 w 455154"/>
              <a:gd name="connsiteY25" fmla="*/ 307281 h 422331"/>
              <a:gd name="connsiteX26" fmla="*/ 178959 w 455154"/>
              <a:gd name="connsiteY26" fmla="*/ 413342 h 422331"/>
              <a:gd name="connsiteX27" fmla="*/ 178959 w 455154"/>
              <a:gd name="connsiteY27" fmla="*/ 413912 h 422331"/>
              <a:gd name="connsiteX28" fmla="*/ 178959 w 455154"/>
              <a:gd name="connsiteY28" fmla="*/ 414482 h 422331"/>
              <a:gd name="connsiteX29" fmla="*/ 187481 w 455154"/>
              <a:gd name="connsiteY29" fmla="*/ 421895 h 422331"/>
              <a:gd name="connsiteX30" fmla="*/ 198276 w 455154"/>
              <a:gd name="connsiteY30" fmla="*/ 419044 h 422331"/>
              <a:gd name="connsiteX31" fmla="*/ 198844 w 455154"/>
              <a:gd name="connsiteY31" fmla="*/ 418474 h 422331"/>
              <a:gd name="connsiteX32" fmla="*/ 202252 w 455154"/>
              <a:gd name="connsiteY32" fmla="*/ 415052 h 422331"/>
              <a:gd name="connsiteX33" fmla="*/ 273836 w 455154"/>
              <a:gd name="connsiteY33" fmla="*/ 344346 h 422331"/>
              <a:gd name="connsiteX34" fmla="*/ 382916 w 455154"/>
              <a:gd name="connsiteY34" fmla="*/ 381980 h 422331"/>
              <a:gd name="connsiteX35" fmla="*/ 392574 w 455154"/>
              <a:gd name="connsiteY35" fmla="*/ 380839 h 422331"/>
              <a:gd name="connsiteX36" fmla="*/ 398256 w 455154"/>
              <a:gd name="connsiteY36" fmla="*/ 372856 h 422331"/>
              <a:gd name="connsiteX37" fmla="*/ 455068 w 455154"/>
              <a:gd name="connsiteY37" fmla="*/ 13620 h 422331"/>
              <a:gd name="connsiteX38" fmla="*/ 449955 w 455154"/>
              <a:gd name="connsiteY38" fmla="*/ 2216 h 422331"/>
              <a:gd name="connsiteX0" fmla="*/ 377235 w 455154"/>
              <a:gd name="connsiteY0" fmla="*/ 355180 h 422331"/>
              <a:gd name="connsiteX1" fmla="*/ 274973 w 455154"/>
              <a:gd name="connsiteY1" fmla="*/ 319826 h 422331"/>
              <a:gd name="connsiteX2" fmla="*/ 274404 w 455154"/>
              <a:gd name="connsiteY2" fmla="*/ 319826 h 422331"/>
              <a:gd name="connsiteX3" fmla="*/ 233499 w 455154"/>
              <a:gd name="connsiteY3" fmla="*/ 305571 h 422331"/>
              <a:gd name="connsiteX4" fmla="*/ 377235 w 455154"/>
              <a:gd name="connsiteY4" fmla="*/ 355180 h 422331"/>
              <a:gd name="connsiteX5" fmla="*/ 222137 w 455154"/>
              <a:gd name="connsiteY5" fmla="*/ 326669 h 422331"/>
              <a:gd name="connsiteX6" fmla="*/ 211911 w 455154"/>
              <a:gd name="connsiteY6" fmla="*/ 373427 h 422331"/>
              <a:gd name="connsiteX7" fmla="*/ 222137 w 455154"/>
              <a:gd name="connsiteY7" fmla="*/ 326669 h 422331"/>
              <a:gd name="connsiteX8" fmla="*/ 203957 w 455154"/>
              <a:gd name="connsiteY8" fmla="*/ 306711 h 422331"/>
              <a:gd name="connsiteX9" fmla="*/ 201684 w 455154"/>
              <a:gd name="connsiteY9" fmla="*/ 311273 h 422331"/>
              <a:gd name="connsiteX10" fmla="*/ 199980 w 455154"/>
              <a:gd name="connsiteY10" fmla="*/ 318686 h 422331"/>
              <a:gd name="connsiteX11" fmla="*/ 188618 w 455154"/>
              <a:gd name="connsiteY11" fmla="*/ 370576 h 422331"/>
              <a:gd name="connsiteX12" fmla="*/ 210774 w 455154"/>
              <a:gd name="connsiteY12" fmla="*/ 298158 h 422331"/>
              <a:gd name="connsiteX13" fmla="*/ 203957 w 455154"/>
              <a:gd name="connsiteY13" fmla="*/ 306711 h 422331"/>
              <a:gd name="connsiteX14" fmla="*/ 39769 w 455154"/>
              <a:gd name="connsiteY14" fmla="*/ 239426 h 422331"/>
              <a:gd name="connsiteX15" fmla="*/ 144872 w 455154"/>
              <a:gd name="connsiteY15" fmla="*/ 275349 h 422331"/>
              <a:gd name="connsiteX16" fmla="*/ 39769 w 455154"/>
              <a:gd name="connsiteY16" fmla="*/ 239426 h 422331"/>
              <a:gd name="connsiteX17" fmla="*/ 449955 w 455154"/>
              <a:gd name="connsiteY17" fmla="*/ 2216 h 422331"/>
              <a:gd name="connsiteX18" fmla="*/ 437456 w 455154"/>
              <a:gd name="connsiteY18" fmla="*/ 1645 h 422331"/>
              <a:gd name="connsiteX19" fmla="*/ 6249 w 455154"/>
              <a:gd name="connsiteY19" fmla="*/ 231443 h 422331"/>
              <a:gd name="connsiteX20" fmla="*/ 0 w 455154"/>
              <a:gd name="connsiteY20" fmla="*/ 242277 h 422331"/>
              <a:gd name="connsiteX21" fmla="*/ 7386 w 455154"/>
              <a:gd name="connsiteY21" fmla="*/ 251970 h 422331"/>
              <a:gd name="connsiteX22" fmla="*/ 125556 w 455154"/>
              <a:gd name="connsiteY22" fmla="*/ 292456 h 422331"/>
              <a:gd name="connsiteX23" fmla="*/ 140327 w 455154"/>
              <a:gd name="connsiteY23" fmla="*/ 297588 h 422331"/>
              <a:gd name="connsiteX24" fmla="*/ 143736 w 455154"/>
              <a:gd name="connsiteY24" fmla="*/ 307281 h 422331"/>
              <a:gd name="connsiteX25" fmla="*/ 178959 w 455154"/>
              <a:gd name="connsiteY25" fmla="*/ 413342 h 422331"/>
              <a:gd name="connsiteX26" fmla="*/ 178959 w 455154"/>
              <a:gd name="connsiteY26" fmla="*/ 413912 h 422331"/>
              <a:gd name="connsiteX27" fmla="*/ 178959 w 455154"/>
              <a:gd name="connsiteY27" fmla="*/ 414482 h 422331"/>
              <a:gd name="connsiteX28" fmla="*/ 187481 w 455154"/>
              <a:gd name="connsiteY28" fmla="*/ 421895 h 422331"/>
              <a:gd name="connsiteX29" fmla="*/ 198276 w 455154"/>
              <a:gd name="connsiteY29" fmla="*/ 419044 h 422331"/>
              <a:gd name="connsiteX30" fmla="*/ 198844 w 455154"/>
              <a:gd name="connsiteY30" fmla="*/ 418474 h 422331"/>
              <a:gd name="connsiteX31" fmla="*/ 202252 w 455154"/>
              <a:gd name="connsiteY31" fmla="*/ 415052 h 422331"/>
              <a:gd name="connsiteX32" fmla="*/ 273836 w 455154"/>
              <a:gd name="connsiteY32" fmla="*/ 344346 h 422331"/>
              <a:gd name="connsiteX33" fmla="*/ 382916 w 455154"/>
              <a:gd name="connsiteY33" fmla="*/ 381980 h 422331"/>
              <a:gd name="connsiteX34" fmla="*/ 392574 w 455154"/>
              <a:gd name="connsiteY34" fmla="*/ 380839 h 422331"/>
              <a:gd name="connsiteX35" fmla="*/ 398256 w 455154"/>
              <a:gd name="connsiteY35" fmla="*/ 372856 h 422331"/>
              <a:gd name="connsiteX36" fmla="*/ 455068 w 455154"/>
              <a:gd name="connsiteY36" fmla="*/ 13620 h 422331"/>
              <a:gd name="connsiteX37" fmla="*/ 449955 w 455154"/>
              <a:gd name="connsiteY37" fmla="*/ 2216 h 422331"/>
              <a:gd name="connsiteX0" fmla="*/ 377235 w 455154"/>
              <a:gd name="connsiteY0" fmla="*/ 355180 h 422331"/>
              <a:gd name="connsiteX1" fmla="*/ 274973 w 455154"/>
              <a:gd name="connsiteY1" fmla="*/ 319826 h 422331"/>
              <a:gd name="connsiteX2" fmla="*/ 274404 w 455154"/>
              <a:gd name="connsiteY2" fmla="*/ 319826 h 422331"/>
              <a:gd name="connsiteX3" fmla="*/ 233499 w 455154"/>
              <a:gd name="connsiteY3" fmla="*/ 305571 h 422331"/>
              <a:gd name="connsiteX4" fmla="*/ 377235 w 455154"/>
              <a:gd name="connsiteY4" fmla="*/ 355180 h 422331"/>
              <a:gd name="connsiteX5" fmla="*/ 203957 w 455154"/>
              <a:gd name="connsiteY5" fmla="*/ 306711 h 422331"/>
              <a:gd name="connsiteX6" fmla="*/ 201684 w 455154"/>
              <a:gd name="connsiteY6" fmla="*/ 311273 h 422331"/>
              <a:gd name="connsiteX7" fmla="*/ 199980 w 455154"/>
              <a:gd name="connsiteY7" fmla="*/ 318686 h 422331"/>
              <a:gd name="connsiteX8" fmla="*/ 188618 w 455154"/>
              <a:gd name="connsiteY8" fmla="*/ 370576 h 422331"/>
              <a:gd name="connsiteX9" fmla="*/ 210774 w 455154"/>
              <a:gd name="connsiteY9" fmla="*/ 298158 h 422331"/>
              <a:gd name="connsiteX10" fmla="*/ 203957 w 455154"/>
              <a:gd name="connsiteY10" fmla="*/ 306711 h 422331"/>
              <a:gd name="connsiteX11" fmla="*/ 39769 w 455154"/>
              <a:gd name="connsiteY11" fmla="*/ 239426 h 422331"/>
              <a:gd name="connsiteX12" fmla="*/ 144872 w 455154"/>
              <a:gd name="connsiteY12" fmla="*/ 275349 h 422331"/>
              <a:gd name="connsiteX13" fmla="*/ 39769 w 455154"/>
              <a:gd name="connsiteY13" fmla="*/ 239426 h 422331"/>
              <a:gd name="connsiteX14" fmla="*/ 449955 w 455154"/>
              <a:gd name="connsiteY14" fmla="*/ 2216 h 422331"/>
              <a:gd name="connsiteX15" fmla="*/ 437456 w 455154"/>
              <a:gd name="connsiteY15" fmla="*/ 1645 h 422331"/>
              <a:gd name="connsiteX16" fmla="*/ 6249 w 455154"/>
              <a:gd name="connsiteY16" fmla="*/ 231443 h 422331"/>
              <a:gd name="connsiteX17" fmla="*/ 0 w 455154"/>
              <a:gd name="connsiteY17" fmla="*/ 242277 h 422331"/>
              <a:gd name="connsiteX18" fmla="*/ 7386 w 455154"/>
              <a:gd name="connsiteY18" fmla="*/ 251970 h 422331"/>
              <a:gd name="connsiteX19" fmla="*/ 125556 w 455154"/>
              <a:gd name="connsiteY19" fmla="*/ 292456 h 422331"/>
              <a:gd name="connsiteX20" fmla="*/ 140327 w 455154"/>
              <a:gd name="connsiteY20" fmla="*/ 297588 h 422331"/>
              <a:gd name="connsiteX21" fmla="*/ 143736 w 455154"/>
              <a:gd name="connsiteY21" fmla="*/ 307281 h 422331"/>
              <a:gd name="connsiteX22" fmla="*/ 178959 w 455154"/>
              <a:gd name="connsiteY22" fmla="*/ 413342 h 422331"/>
              <a:gd name="connsiteX23" fmla="*/ 178959 w 455154"/>
              <a:gd name="connsiteY23" fmla="*/ 413912 h 422331"/>
              <a:gd name="connsiteX24" fmla="*/ 178959 w 455154"/>
              <a:gd name="connsiteY24" fmla="*/ 414482 h 422331"/>
              <a:gd name="connsiteX25" fmla="*/ 187481 w 455154"/>
              <a:gd name="connsiteY25" fmla="*/ 421895 h 422331"/>
              <a:gd name="connsiteX26" fmla="*/ 198276 w 455154"/>
              <a:gd name="connsiteY26" fmla="*/ 419044 h 422331"/>
              <a:gd name="connsiteX27" fmla="*/ 198844 w 455154"/>
              <a:gd name="connsiteY27" fmla="*/ 418474 h 422331"/>
              <a:gd name="connsiteX28" fmla="*/ 202252 w 455154"/>
              <a:gd name="connsiteY28" fmla="*/ 415052 h 422331"/>
              <a:gd name="connsiteX29" fmla="*/ 273836 w 455154"/>
              <a:gd name="connsiteY29" fmla="*/ 344346 h 422331"/>
              <a:gd name="connsiteX30" fmla="*/ 382916 w 455154"/>
              <a:gd name="connsiteY30" fmla="*/ 381980 h 422331"/>
              <a:gd name="connsiteX31" fmla="*/ 392574 w 455154"/>
              <a:gd name="connsiteY31" fmla="*/ 380839 h 422331"/>
              <a:gd name="connsiteX32" fmla="*/ 398256 w 455154"/>
              <a:gd name="connsiteY32" fmla="*/ 372856 h 422331"/>
              <a:gd name="connsiteX33" fmla="*/ 455068 w 455154"/>
              <a:gd name="connsiteY33" fmla="*/ 13620 h 422331"/>
              <a:gd name="connsiteX34" fmla="*/ 449955 w 455154"/>
              <a:gd name="connsiteY34" fmla="*/ 2216 h 422331"/>
              <a:gd name="connsiteX0" fmla="*/ 377235 w 455154"/>
              <a:gd name="connsiteY0" fmla="*/ 355180 h 422331"/>
              <a:gd name="connsiteX1" fmla="*/ 274973 w 455154"/>
              <a:gd name="connsiteY1" fmla="*/ 319826 h 422331"/>
              <a:gd name="connsiteX2" fmla="*/ 274404 w 455154"/>
              <a:gd name="connsiteY2" fmla="*/ 319826 h 422331"/>
              <a:gd name="connsiteX3" fmla="*/ 233499 w 455154"/>
              <a:gd name="connsiteY3" fmla="*/ 305571 h 422331"/>
              <a:gd name="connsiteX4" fmla="*/ 377235 w 455154"/>
              <a:gd name="connsiteY4" fmla="*/ 355180 h 422331"/>
              <a:gd name="connsiteX5" fmla="*/ 203957 w 455154"/>
              <a:gd name="connsiteY5" fmla="*/ 306711 h 422331"/>
              <a:gd name="connsiteX6" fmla="*/ 201684 w 455154"/>
              <a:gd name="connsiteY6" fmla="*/ 311273 h 422331"/>
              <a:gd name="connsiteX7" fmla="*/ 199980 w 455154"/>
              <a:gd name="connsiteY7" fmla="*/ 318686 h 422331"/>
              <a:gd name="connsiteX8" fmla="*/ 188618 w 455154"/>
              <a:gd name="connsiteY8" fmla="*/ 370576 h 422331"/>
              <a:gd name="connsiteX9" fmla="*/ 203957 w 455154"/>
              <a:gd name="connsiteY9" fmla="*/ 306711 h 422331"/>
              <a:gd name="connsiteX10" fmla="*/ 39769 w 455154"/>
              <a:gd name="connsiteY10" fmla="*/ 239426 h 422331"/>
              <a:gd name="connsiteX11" fmla="*/ 144872 w 455154"/>
              <a:gd name="connsiteY11" fmla="*/ 275349 h 422331"/>
              <a:gd name="connsiteX12" fmla="*/ 39769 w 455154"/>
              <a:gd name="connsiteY12" fmla="*/ 239426 h 422331"/>
              <a:gd name="connsiteX13" fmla="*/ 449955 w 455154"/>
              <a:gd name="connsiteY13" fmla="*/ 2216 h 422331"/>
              <a:gd name="connsiteX14" fmla="*/ 437456 w 455154"/>
              <a:gd name="connsiteY14" fmla="*/ 1645 h 422331"/>
              <a:gd name="connsiteX15" fmla="*/ 6249 w 455154"/>
              <a:gd name="connsiteY15" fmla="*/ 231443 h 422331"/>
              <a:gd name="connsiteX16" fmla="*/ 0 w 455154"/>
              <a:gd name="connsiteY16" fmla="*/ 242277 h 422331"/>
              <a:gd name="connsiteX17" fmla="*/ 7386 w 455154"/>
              <a:gd name="connsiteY17" fmla="*/ 251970 h 422331"/>
              <a:gd name="connsiteX18" fmla="*/ 125556 w 455154"/>
              <a:gd name="connsiteY18" fmla="*/ 292456 h 422331"/>
              <a:gd name="connsiteX19" fmla="*/ 140327 w 455154"/>
              <a:gd name="connsiteY19" fmla="*/ 297588 h 422331"/>
              <a:gd name="connsiteX20" fmla="*/ 143736 w 455154"/>
              <a:gd name="connsiteY20" fmla="*/ 307281 h 422331"/>
              <a:gd name="connsiteX21" fmla="*/ 178959 w 455154"/>
              <a:gd name="connsiteY21" fmla="*/ 413342 h 422331"/>
              <a:gd name="connsiteX22" fmla="*/ 178959 w 455154"/>
              <a:gd name="connsiteY22" fmla="*/ 413912 h 422331"/>
              <a:gd name="connsiteX23" fmla="*/ 178959 w 455154"/>
              <a:gd name="connsiteY23" fmla="*/ 414482 h 422331"/>
              <a:gd name="connsiteX24" fmla="*/ 187481 w 455154"/>
              <a:gd name="connsiteY24" fmla="*/ 421895 h 422331"/>
              <a:gd name="connsiteX25" fmla="*/ 198276 w 455154"/>
              <a:gd name="connsiteY25" fmla="*/ 419044 h 422331"/>
              <a:gd name="connsiteX26" fmla="*/ 198844 w 455154"/>
              <a:gd name="connsiteY26" fmla="*/ 418474 h 422331"/>
              <a:gd name="connsiteX27" fmla="*/ 202252 w 455154"/>
              <a:gd name="connsiteY27" fmla="*/ 415052 h 422331"/>
              <a:gd name="connsiteX28" fmla="*/ 273836 w 455154"/>
              <a:gd name="connsiteY28" fmla="*/ 344346 h 422331"/>
              <a:gd name="connsiteX29" fmla="*/ 382916 w 455154"/>
              <a:gd name="connsiteY29" fmla="*/ 381980 h 422331"/>
              <a:gd name="connsiteX30" fmla="*/ 392574 w 455154"/>
              <a:gd name="connsiteY30" fmla="*/ 380839 h 422331"/>
              <a:gd name="connsiteX31" fmla="*/ 398256 w 455154"/>
              <a:gd name="connsiteY31" fmla="*/ 372856 h 422331"/>
              <a:gd name="connsiteX32" fmla="*/ 455068 w 455154"/>
              <a:gd name="connsiteY32" fmla="*/ 13620 h 422331"/>
              <a:gd name="connsiteX33" fmla="*/ 449955 w 455154"/>
              <a:gd name="connsiteY33" fmla="*/ 2216 h 422331"/>
              <a:gd name="connsiteX0" fmla="*/ 377235 w 455154"/>
              <a:gd name="connsiteY0" fmla="*/ 355180 h 422331"/>
              <a:gd name="connsiteX1" fmla="*/ 274973 w 455154"/>
              <a:gd name="connsiteY1" fmla="*/ 319826 h 422331"/>
              <a:gd name="connsiteX2" fmla="*/ 274404 w 455154"/>
              <a:gd name="connsiteY2" fmla="*/ 319826 h 422331"/>
              <a:gd name="connsiteX3" fmla="*/ 233499 w 455154"/>
              <a:gd name="connsiteY3" fmla="*/ 305571 h 422331"/>
              <a:gd name="connsiteX4" fmla="*/ 377235 w 455154"/>
              <a:gd name="connsiteY4" fmla="*/ 355180 h 422331"/>
              <a:gd name="connsiteX5" fmla="*/ 188618 w 455154"/>
              <a:gd name="connsiteY5" fmla="*/ 370576 h 422331"/>
              <a:gd name="connsiteX6" fmla="*/ 201684 w 455154"/>
              <a:gd name="connsiteY6" fmla="*/ 311273 h 422331"/>
              <a:gd name="connsiteX7" fmla="*/ 199980 w 455154"/>
              <a:gd name="connsiteY7" fmla="*/ 318686 h 422331"/>
              <a:gd name="connsiteX8" fmla="*/ 188618 w 455154"/>
              <a:gd name="connsiteY8" fmla="*/ 370576 h 422331"/>
              <a:gd name="connsiteX9" fmla="*/ 39769 w 455154"/>
              <a:gd name="connsiteY9" fmla="*/ 239426 h 422331"/>
              <a:gd name="connsiteX10" fmla="*/ 144872 w 455154"/>
              <a:gd name="connsiteY10" fmla="*/ 275349 h 422331"/>
              <a:gd name="connsiteX11" fmla="*/ 39769 w 455154"/>
              <a:gd name="connsiteY11" fmla="*/ 239426 h 422331"/>
              <a:gd name="connsiteX12" fmla="*/ 449955 w 455154"/>
              <a:gd name="connsiteY12" fmla="*/ 2216 h 422331"/>
              <a:gd name="connsiteX13" fmla="*/ 437456 w 455154"/>
              <a:gd name="connsiteY13" fmla="*/ 1645 h 422331"/>
              <a:gd name="connsiteX14" fmla="*/ 6249 w 455154"/>
              <a:gd name="connsiteY14" fmla="*/ 231443 h 422331"/>
              <a:gd name="connsiteX15" fmla="*/ 0 w 455154"/>
              <a:gd name="connsiteY15" fmla="*/ 242277 h 422331"/>
              <a:gd name="connsiteX16" fmla="*/ 7386 w 455154"/>
              <a:gd name="connsiteY16" fmla="*/ 251970 h 422331"/>
              <a:gd name="connsiteX17" fmla="*/ 125556 w 455154"/>
              <a:gd name="connsiteY17" fmla="*/ 292456 h 422331"/>
              <a:gd name="connsiteX18" fmla="*/ 140327 w 455154"/>
              <a:gd name="connsiteY18" fmla="*/ 297588 h 422331"/>
              <a:gd name="connsiteX19" fmla="*/ 143736 w 455154"/>
              <a:gd name="connsiteY19" fmla="*/ 307281 h 422331"/>
              <a:gd name="connsiteX20" fmla="*/ 178959 w 455154"/>
              <a:gd name="connsiteY20" fmla="*/ 413342 h 422331"/>
              <a:gd name="connsiteX21" fmla="*/ 178959 w 455154"/>
              <a:gd name="connsiteY21" fmla="*/ 413912 h 422331"/>
              <a:gd name="connsiteX22" fmla="*/ 178959 w 455154"/>
              <a:gd name="connsiteY22" fmla="*/ 414482 h 422331"/>
              <a:gd name="connsiteX23" fmla="*/ 187481 w 455154"/>
              <a:gd name="connsiteY23" fmla="*/ 421895 h 422331"/>
              <a:gd name="connsiteX24" fmla="*/ 198276 w 455154"/>
              <a:gd name="connsiteY24" fmla="*/ 419044 h 422331"/>
              <a:gd name="connsiteX25" fmla="*/ 198844 w 455154"/>
              <a:gd name="connsiteY25" fmla="*/ 418474 h 422331"/>
              <a:gd name="connsiteX26" fmla="*/ 202252 w 455154"/>
              <a:gd name="connsiteY26" fmla="*/ 415052 h 422331"/>
              <a:gd name="connsiteX27" fmla="*/ 273836 w 455154"/>
              <a:gd name="connsiteY27" fmla="*/ 344346 h 422331"/>
              <a:gd name="connsiteX28" fmla="*/ 382916 w 455154"/>
              <a:gd name="connsiteY28" fmla="*/ 381980 h 422331"/>
              <a:gd name="connsiteX29" fmla="*/ 392574 w 455154"/>
              <a:gd name="connsiteY29" fmla="*/ 380839 h 422331"/>
              <a:gd name="connsiteX30" fmla="*/ 398256 w 455154"/>
              <a:gd name="connsiteY30" fmla="*/ 372856 h 422331"/>
              <a:gd name="connsiteX31" fmla="*/ 455068 w 455154"/>
              <a:gd name="connsiteY31" fmla="*/ 13620 h 422331"/>
              <a:gd name="connsiteX32" fmla="*/ 449955 w 455154"/>
              <a:gd name="connsiteY32" fmla="*/ 2216 h 422331"/>
              <a:gd name="connsiteX0" fmla="*/ 377235 w 455154"/>
              <a:gd name="connsiteY0" fmla="*/ 355180 h 422331"/>
              <a:gd name="connsiteX1" fmla="*/ 274973 w 455154"/>
              <a:gd name="connsiteY1" fmla="*/ 319826 h 422331"/>
              <a:gd name="connsiteX2" fmla="*/ 274404 w 455154"/>
              <a:gd name="connsiteY2" fmla="*/ 319826 h 422331"/>
              <a:gd name="connsiteX3" fmla="*/ 233499 w 455154"/>
              <a:gd name="connsiteY3" fmla="*/ 305571 h 422331"/>
              <a:gd name="connsiteX4" fmla="*/ 377235 w 455154"/>
              <a:gd name="connsiteY4" fmla="*/ 355180 h 422331"/>
              <a:gd name="connsiteX5" fmla="*/ 188618 w 455154"/>
              <a:gd name="connsiteY5" fmla="*/ 370576 h 422331"/>
              <a:gd name="connsiteX6" fmla="*/ 201684 w 455154"/>
              <a:gd name="connsiteY6" fmla="*/ 311273 h 422331"/>
              <a:gd name="connsiteX7" fmla="*/ 188618 w 455154"/>
              <a:gd name="connsiteY7" fmla="*/ 370576 h 422331"/>
              <a:gd name="connsiteX8" fmla="*/ 39769 w 455154"/>
              <a:gd name="connsiteY8" fmla="*/ 239426 h 422331"/>
              <a:gd name="connsiteX9" fmla="*/ 144872 w 455154"/>
              <a:gd name="connsiteY9" fmla="*/ 275349 h 422331"/>
              <a:gd name="connsiteX10" fmla="*/ 39769 w 455154"/>
              <a:gd name="connsiteY10" fmla="*/ 239426 h 422331"/>
              <a:gd name="connsiteX11" fmla="*/ 449955 w 455154"/>
              <a:gd name="connsiteY11" fmla="*/ 2216 h 422331"/>
              <a:gd name="connsiteX12" fmla="*/ 437456 w 455154"/>
              <a:gd name="connsiteY12" fmla="*/ 1645 h 422331"/>
              <a:gd name="connsiteX13" fmla="*/ 6249 w 455154"/>
              <a:gd name="connsiteY13" fmla="*/ 231443 h 422331"/>
              <a:gd name="connsiteX14" fmla="*/ 0 w 455154"/>
              <a:gd name="connsiteY14" fmla="*/ 242277 h 422331"/>
              <a:gd name="connsiteX15" fmla="*/ 7386 w 455154"/>
              <a:gd name="connsiteY15" fmla="*/ 251970 h 422331"/>
              <a:gd name="connsiteX16" fmla="*/ 125556 w 455154"/>
              <a:gd name="connsiteY16" fmla="*/ 292456 h 422331"/>
              <a:gd name="connsiteX17" fmla="*/ 140327 w 455154"/>
              <a:gd name="connsiteY17" fmla="*/ 297588 h 422331"/>
              <a:gd name="connsiteX18" fmla="*/ 143736 w 455154"/>
              <a:gd name="connsiteY18" fmla="*/ 307281 h 422331"/>
              <a:gd name="connsiteX19" fmla="*/ 178959 w 455154"/>
              <a:gd name="connsiteY19" fmla="*/ 413342 h 422331"/>
              <a:gd name="connsiteX20" fmla="*/ 178959 w 455154"/>
              <a:gd name="connsiteY20" fmla="*/ 413912 h 422331"/>
              <a:gd name="connsiteX21" fmla="*/ 178959 w 455154"/>
              <a:gd name="connsiteY21" fmla="*/ 414482 h 422331"/>
              <a:gd name="connsiteX22" fmla="*/ 187481 w 455154"/>
              <a:gd name="connsiteY22" fmla="*/ 421895 h 422331"/>
              <a:gd name="connsiteX23" fmla="*/ 198276 w 455154"/>
              <a:gd name="connsiteY23" fmla="*/ 419044 h 422331"/>
              <a:gd name="connsiteX24" fmla="*/ 198844 w 455154"/>
              <a:gd name="connsiteY24" fmla="*/ 418474 h 422331"/>
              <a:gd name="connsiteX25" fmla="*/ 202252 w 455154"/>
              <a:gd name="connsiteY25" fmla="*/ 415052 h 422331"/>
              <a:gd name="connsiteX26" fmla="*/ 273836 w 455154"/>
              <a:gd name="connsiteY26" fmla="*/ 344346 h 422331"/>
              <a:gd name="connsiteX27" fmla="*/ 382916 w 455154"/>
              <a:gd name="connsiteY27" fmla="*/ 381980 h 422331"/>
              <a:gd name="connsiteX28" fmla="*/ 392574 w 455154"/>
              <a:gd name="connsiteY28" fmla="*/ 380839 h 422331"/>
              <a:gd name="connsiteX29" fmla="*/ 398256 w 455154"/>
              <a:gd name="connsiteY29" fmla="*/ 372856 h 422331"/>
              <a:gd name="connsiteX30" fmla="*/ 455068 w 455154"/>
              <a:gd name="connsiteY30" fmla="*/ 13620 h 422331"/>
              <a:gd name="connsiteX31" fmla="*/ 449955 w 455154"/>
              <a:gd name="connsiteY31" fmla="*/ 2216 h 422331"/>
              <a:gd name="connsiteX0" fmla="*/ 377235 w 455154"/>
              <a:gd name="connsiteY0" fmla="*/ 355180 h 422331"/>
              <a:gd name="connsiteX1" fmla="*/ 274973 w 455154"/>
              <a:gd name="connsiteY1" fmla="*/ 319826 h 422331"/>
              <a:gd name="connsiteX2" fmla="*/ 274404 w 455154"/>
              <a:gd name="connsiteY2" fmla="*/ 319826 h 422331"/>
              <a:gd name="connsiteX3" fmla="*/ 233499 w 455154"/>
              <a:gd name="connsiteY3" fmla="*/ 305571 h 422331"/>
              <a:gd name="connsiteX4" fmla="*/ 377235 w 455154"/>
              <a:gd name="connsiteY4" fmla="*/ 355180 h 422331"/>
              <a:gd name="connsiteX5" fmla="*/ 39769 w 455154"/>
              <a:gd name="connsiteY5" fmla="*/ 239426 h 422331"/>
              <a:gd name="connsiteX6" fmla="*/ 144872 w 455154"/>
              <a:gd name="connsiteY6" fmla="*/ 275349 h 422331"/>
              <a:gd name="connsiteX7" fmla="*/ 39769 w 455154"/>
              <a:gd name="connsiteY7" fmla="*/ 239426 h 422331"/>
              <a:gd name="connsiteX8" fmla="*/ 449955 w 455154"/>
              <a:gd name="connsiteY8" fmla="*/ 2216 h 422331"/>
              <a:gd name="connsiteX9" fmla="*/ 437456 w 455154"/>
              <a:gd name="connsiteY9" fmla="*/ 1645 h 422331"/>
              <a:gd name="connsiteX10" fmla="*/ 6249 w 455154"/>
              <a:gd name="connsiteY10" fmla="*/ 231443 h 422331"/>
              <a:gd name="connsiteX11" fmla="*/ 0 w 455154"/>
              <a:gd name="connsiteY11" fmla="*/ 242277 h 422331"/>
              <a:gd name="connsiteX12" fmla="*/ 7386 w 455154"/>
              <a:gd name="connsiteY12" fmla="*/ 251970 h 422331"/>
              <a:gd name="connsiteX13" fmla="*/ 125556 w 455154"/>
              <a:gd name="connsiteY13" fmla="*/ 292456 h 422331"/>
              <a:gd name="connsiteX14" fmla="*/ 140327 w 455154"/>
              <a:gd name="connsiteY14" fmla="*/ 297588 h 422331"/>
              <a:gd name="connsiteX15" fmla="*/ 143736 w 455154"/>
              <a:gd name="connsiteY15" fmla="*/ 307281 h 422331"/>
              <a:gd name="connsiteX16" fmla="*/ 178959 w 455154"/>
              <a:gd name="connsiteY16" fmla="*/ 413342 h 422331"/>
              <a:gd name="connsiteX17" fmla="*/ 178959 w 455154"/>
              <a:gd name="connsiteY17" fmla="*/ 413912 h 422331"/>
              <a:gd name="connsiteX18" fmla="*/ 178959 w 455154"/>
              <a:gd name="connsiteY18" fmla="*/ 414482 h 422331"/>
              <a:gd name="connsiteX19" fmla="*/ 187481 w 455154"/>
              <a:gd name="connsiteY19" fmla="*/ 421895 h 422331"/>
              <a:gd name="connsiteX20" fmla="*/ 198276 w 455154"/>
              <a:gd name="connsiteY20" fmla="*/ 419044 h 422331"/>
              <a:gd name="connsiteX21" fmla="*/ 198844 w 455154"/>
              <a:gd name="connsiteY21" fmla="*/ 418474 h 422331"/>
              <a:gd name="connsiteX22" fmla="*/ 202252 w 455154"/>
              <a:gd name="connsiteY22" fmla="*/ 415052 h 422331"/>
              <a:gd name="connsiteX23" fmla="*/ 273836 w 455154"/>
              <a:gd name="connsiteY23" fmla="*/ 344346 h 422331"/>
              <a:gd name="connsiteX24" fmla="*/ 382916 w 455154"/>
              <a:gd name="connsiteY24" fmla="*/ 381980 h 422331"/>
              <a:gd name="connsiteX25" fmla="*/ 392574 w 455154"/>
              <a:gd name="connsiteY25" fmla="*/ 380839 h 422331"/>
              <a:gd name="connsiteX26" fmla="*/ 398256 w 455154"/>
              <a:gd name="connsiteY26" fmla="*/ 372856 h 422331"/>
              <a:gd name="connsiteX27" fmla="*/ 455068 w 455154"/>
              <a:gd name="connsiteY27" fmla="*/ 13620 h 422331"/>
              <a:gd name="connsiteX28" fmla="*/ 449955 w 455154"/>
              <a:gd name="connsiteY28" fmla="*/ 2216 h 422331"/>
              <a:gd name="connsiteX0" fmla="*/ 377235 w 455154"/>
              <a:gd name="connsiteY0" fmla="*/ 355180 h 422331"/>
              <a:gd name="connsiteX1" fmla="*/ 274973 w 455154"/>
              <a:gd name="connsiteY1" fmla="*/ 319826 h 422331"/>
              <a:gd name="connsiteX2" fmla="*/ 274404 w 455154"/>
              <a:gd name="connsiteY2" fmla="*/ 319826 h 422331"/>
              <a:gd name="connsiteX3" fmla="*/ 377235 w 455154"/>
              <a:gd name="connsiteY3" fmla="*/ 355180 h 422331"/>
              <a:gd name="connsiteX4" fmla="*/ 39769 w 455154"/>
              <a:gd name="connsiteY4" fmla="*/ 239426 h 422331"/>
              <a:gd name="connsiteX5" fmla="*/ 144872 w 455154"/>
              <a:gd name="connsiteY5" fmla="*/ 275349 h 422331"/>
              <a:gd name="connsiteX6" fmla="*/ 39769 w 455154"/>
              <a:gd name="connsiteY6" fmla="*/ 239426 h 422331"/>
              <a:gd name="connsiteX7" fmla="*/ 449955 w 455154"/>
              <a:gd name="connsiteY7" fmla="*/ 2216 h 422331"/>
              <a:gd name="connsiteX8" fmla="*/ 437456 w 455154"/>
              <a:gd name="connsiteY8" fmla="*/ 1645 h 422331"/>
              <a:gd name="connsiteX9" fmla="*/ 6249 w 455154"/>
              <a:gd name="connsiteY9" fmla="*/ 231443 h 422331"/>
              <a:gd name="connsiteX10" fmla="*/ 0 w 455154"/>
              <a:gd name="connsiteY10" fmla="*/ 242277 h 422331"/>
              <a:gd name="connsiteX11" fmla="*/ 7386 w 455154"/>
              <a:gd name="connsiteY11" fmla="*/ 251970 h 422331"/>
              <a:gd name="connsiteX12" fmla="*/ 125556 w 455154"/>
              <a:gd name="connsiteY12" fmla="*/ 292456 h 422331"/>
              <a:gd name="connsiteX13" fmla="*/ 140327 w 455154"/>
              <a:gd name="connsiteY13" fmla="*/ 297588 h 422331"/>
              <a:gd name="connsiteX14" fmla="*/ 143736 w 455154"/>
              <a:gd name="connsiteY14" fmla="*/ 307281 h 422331"/>
              <a:gd name="connsiteX15" fmla="*/ 178959 w 455154"/>
              <a:gd name="connsiteY15" fmla="*/ 413342 h 422331"/>
              <a:gd name="connsiteX16" fmla="*/ 178959 w 455154"/>
              <a:gd name="connsiteY16" fmla="*/ 413912 h 422331"/>
              <a:gd name="connsiteX17" fmla="*/ 178959 w 455154"/>
              <a:gd name="connsiteY17" fmla="*/ 414482 h 422331"/>
              <a:gd name="connsiteX18" fmla="*/ 187481 w 455154"/>
              <a:gd name="connsiteY18" fmla="*/ 421895 h 422331"/>
              <a:gd name="connsiteX19" fmla="*/ 198276 w 455154"/>
              <a:gd name="connsiteY19" fmla="*/ 419044 h 422331"/>
              <a:gd name="connsiteX20" fmla="*/ 198844 w 455154"/>
              <a:gd name="connsiteY20" fmla="*/ 418474 h 422331"/>
              <a:gd name="connsiteX21" fmla="*/ 202252 w 455154"/>
              <a:gd name="connsiteY21" fmla="*/ 415052 h 422331"/>
              <a:gd name="connsiteX22" fmla="*/ 273836 w 455154"/>
              <a:gd name="connsiteY22" fmla="*/ 344346 h 422331"/>
              <a:gd name="connsiteX23" fmla="*/ 382916 w 455154"/>
              <a:gd name="connsiteY23" fmla="*/ 381980 h 422331"/>
              <a:gd name="connsiteX24" fmla="*/ 392574 w 455154"/>
              <a:gd name="connsiteY24" fmla="*/ 380839 h 422331"/>
              <a:gd name="connsiteX25" fmla="*/ 398256 w 455154"/>
              <a:gd name="connsiteY25" fmla="*/ 372856 h 422331"/>
              <a:gd name="connsiteX26" fmla="*/ 455068 w 455154"/>
              <a:gd name="connsiteY26" fmla="*/ 13620 h 422331"/>
              <a:gd name="connsiteX27" fmla="*/ 449955 w 455154"/>
              <a:gd name="connsiteY27" fmla="*/ 2216 h 422331"/>
              <a:gd name="connsiteX0" fmla="*/ 377235 w 455154"/>
              <a:gd name="connsiteY0" fmla="*/ 355180 h 422331"/>
              <a:gd name="connsiteX1" fmla="*/ 274973 w 455154"/>
              <a:gd name="connsiteY1" fmla="*/ 319826 h 422331"/>
              <a:gd name="connsiteX2" fmla="*/ 377235 w 455154"/>
              <a:gd name="connsiteY2" fmla="*/ 355180 h 422331"/>
              <a:gd name="connsiteX3" fmla="*/ 39769 w 455154"/>
              <a:gd name="connsiteY3" fmla="*/ 239426 h 422331"/>
              <a:gd name="connsiteX4" fmla="*/ 144872 w 455154"/>
              <a:gd name="connsiteY4" fmla="*/ 275349 h 422331"/>
              <a:gd name="connsiteX5" fmla="*/ 39769 w 455154"/>
              <a:gd name="connsiteY5" fmla="*/ 239426 h 422331"/>
              <a:gd name="connsiteX6" fmla="*/ 449955 w 455154"/>
              <a:gd name="connsiteY6" fmla="*/ 2216 h 422331"/>
              <a:gd name="connsiteX7" fmla="*/ 437456 w 455154"/>
              <a:gd name="connsiteY7" fmla="*/ 1645 h 422331"/>
              <a:gd name="connsiteX8" fmla="*/ 6249 w 455154"/>
              <a:gd name="connsiteY8" fmla="*/ 231443 h 422331"/>
              <a:gd name="connsiteX9" fmla="*/ 0 w 455154"/>
              <a:gd name="connsiteY9" fmla="*/ 242277 h 422331"/>
              <a:gd name="connsiteX10" fmla="*/ 7386 w 455154"/>
              <a:gd name="connsiteY10" fmla="*/ 251970 h 422331"/>
              <a:gd name="connsiteX11" fmla="*/ 125556 w 455154"/>
              <a:gd name="connsiteY11" fmla="*/ 292456 h 422331"/>
              <a:gd name="connsiteX12" fmla="*/ 140327 w 455154"/>
              <a:gd name="connsiteY12" fmla="*/ 297588 h 422331"/>
              <a:gd name="connsiteX13" fmla="*/ 143736 w 455154"/>
              <a:gd name="connsiteY13" fmla="*/ 307281 h 422331"/>
              <a:gd name="connsiteX14" fmla="*/ 178959 w 455154"/>
              <a:gd name="connsiteY14" fmla="*/ 413342 h 422331"/>
              <a:gd name="connsiteX15" fmla="*/ 178959 w 455154"/>
              <a:gd name="connsiteY15" fmla="*/ 413912 h 422331"/>
              <a:gd name="connsiteX16" fmla="*/ 178959 w 455154"/>
              <a:gd name="connsiteY16" fmla="*/ 414482 h 422331"/>
              <a:gd name="connsiteX17" fmla="*/ 187481 w 455154"/>
              <a:gd name="connsiteY17" fmla="*/ 421895 h 422331"/>
              <a:gd name="connsiteX18" fmla="*/ 198276 w 455154"/>
              <a:gd name="connsiteY18" fmla="*/ 419044 h 422331"/>
              <a:gd name="connsiteX19" fmla="*/ 198844 w 455154"/>
              <a:gd name="connsiteY19" fmla="*/ 418474 h 422331"/>
              <a:gd name="connsiteX20" fmla="*/ 202252 w 455154"/>
              <a:gd name="connsiteY20" fmla="*/ 415052 h 422331"/>
              <a:gd name="connsiteX21" fmla="*/ 273836 w 455154"/>
              <a:gd name="connsiteY21" fmla="*/ 344346 h 422331"/>
              <a:gd name="connsiteX22" fmla="*/ 382916 w 455154"/>
              <a:gd name="connsiteY22" fmla="*/ 381980 h 422331"/>
              <a:gd name="connsiteX23" fmla="*/ 392574 w 455154"/>
              <a:gd name="connsiteY23" fmla="*/ 380839 h 422331"/>
              <a:gd name="connsiteX24" fmla="*/ 398256 w 455154"/>
              <a:gd name="connsiteY24" fmla="*/ 372856 h 422331"/>
              <a:gd name="connsiteX25" fmla="*/ 455068 w 455154"/>
              <a:gd name="connsiteY25" fmla="*/ 13620 h 422331"/>
              <a:gd name="connsiteX26" fmla="*/ 449955 w 455154"/>
              <a:gd name="connsiteY26" fmla="*/ 2216 h 422331"/>
              <a:gd name="connsiteX0" fmla="*/ 39769 w 455154"/>
              <a:gd name="connsiteY0" fmla="*/ 239426 h 422331"/>
              <a:gd name="connsiteX1" fmla="*/ 144872 w 455154"/>
              <a:gd name="connsiteY1" fmla="*/ 275349 h 422331"/>
              <a:gd name="connsiteX2" fmla="*/ 39769 w 455154"/>
              <a:gd name="connsiteY2" fmla="*/ 239426 h 422331"/>
              <a:gd name="connsiteX3" fmla="*/ 449955 w 455154"/>
              <a:gd name="connsiteY3" fmla="*/ 2216 h 422331"/>
              <a:gd name="connsiteX4" fmla="*/ 437456 w 455154"/>
              <a:gd name="connsiteY4" fmla="*/ 1645 h 422331"/>
              <a:gd name="connsiteX5" fmla="*/ 6249 w 455154"/>
              <a:gd name="connsiteY5" fmla="*/ 231443 h 422331"/>
              <a:gd name="connsiteX6" fmla="*/ 0 w 455154"/>
              <a:gd name="connsiteY6" fmla="*/ 242277 h 422331"/>
              <a:gd name="connsiteX7" fmla="*/ 7386 w 455154"/>
              <a:gd name="connsiteY7" fmla="*/ 251970 h 422331"/>
              <a:gd name="connsiteX8" fmla="*/ 125556 w 455154"/>
              <a:gd name="connsiteY8" fmla="*/ 292456 h 422331"/>
              <a:gd name="connsiteX9" fmla="*/ 140327 w 455154"/>
              <a:gd name="connsiteY9" fmla="*/ 297588 h 422331"/>
              <a:gd name="connsiteX10" fmla="*/ 143736 w 455154"/>
              <a:gd name="connsiteY10" fmla="*/ 307281 h 422331"/>
              <a:gd name="connsiteX11" fmla="*/ 178959 w 455154"/>
              <a:gd name="connsiteY11" fmla="*/ 413342 h 422331"/>
              <a:gd name="connsiteX12" fmla="*/ 178959 w 455154"/>
              <a:gd name="connsiteY12" fmla="*/ 413912 h 422331"/>
              <a:gd name="connsiteX13" fmla="*/ 178959 w 455154"/>
              <a:gd name="connsiteY13" fmla="*/ 414482 h 422331"/>
              <a:gd name="connsiteX14" fmla="*/ 187481 w 455154"/>
              <a:gd name="connsiteY14" fmla="*/ 421895 h 422331"/>
              <a:gd name="connsiteX15" fmla="*/ 198276 w 455154"/>
              <a:gd name="connsiteY15" fmla="*/ 419044 h 422331"/>
              <a:gd name="connsiteX16" fmla="*/ 198844 w 455154"/>
              <a:gd name="connsiteY16" fmla="*/ 418474 h 422331"/>
              <a:gd name="connsiteX17" fmla="*/ 202252 w 455154"/>
              <a:gd name="connsiteY17" fmla="*/ 415052 h 422331"/>
              <a:gd name="connsiteX18" fmla="*/ 273836 w 455154"/>
              <a:gd name="connsiteY18" fmla="*/ 344346 h 422331"/>
              <a:gd name="connsiteX19" fmla="*/ 382916 w 455154"/>
              <a:gd name="connsiteY19" fmla="*/ 381980 h 422331"/>
              <a:gd name="connsiteX20" fmla="*/ 392574 w 455154"/>
              <a:gd name="connsiteY20" fmla="*/ 380839 h 422331"/>
              <a:gd name="connsiteX21" fmla="*/ 398256 w 455154"/>
              <a:gd name="connsiteY21" fmla="*/ 372856 h 422331"/>
              <a:gd name="connsiteX22" fmla="*/ 455068 w 455154"/>
              <a:gd name="connsiteY22" fmla="*/ 13620 h 422331"/>
              <a:gd name="connsiteX23" fmla="*/ 449955 w 455154"/>
              <a:gd name="connsiteY23" fmla="*/ 2216 h 422331"/>
              <a:gd name="connsiteX0" fmla="*/ 449955 w 455154"/>
              <a:gd name="connsiteY0" fmla="*/ 2216 h 422331"/>
              <a:gd name="connsiteX1" fmla="*/ 437456 w 455154"/>
              <a:gd name="connsiteY1" fmla="*/ 1645 h 422331"/>
              <a:gd name="connsiteX2" fmla="*/ 6249 w 455154"/>
              <a:gd name="connsiteY2" fmla="*/ 231443 h 422331"/>
              <a:gd name="connsiteX3" fmla="*/ 0 w 455154"/>
              <a:gd name="connsiteY3" fmla="*/ 242277 h 422331"/>
              <a:gd name="connsiteX4" fmla="*/ 7386 w 455154"/>
              <a:gd name="connsiteY4" fmla="*/ 251970 h 422331"/>
              <a:gd name="connsiteX5" fmla="*/ 125556 w 455154"/>
              <a:gd name="connsiteY5" fmla="*/ 292456 h 422331"/>
              <a:gd name="connsiteX6" fmla="*/ 140327 w 455154"/>
              <a:gd name="connsiteY6" fmla="*/ 297588 h 422331"/>
              <a:gd name="connsiteX7" fmla="*/ 143736 w 455154"/>
              <a:gd name="connsiteY7" fmla="*/ 307281 h 422331"/>
              <a:gd name="connsiteX8" fmla="*/ 178959 w 455154"/>
              <a:gd name="connsiteY8" fmla="*/ 413342 h 422331"/>
              <a:gd name="connsiteX9" fmla="*/ 178959 w 455154"/>
              <a:gd name="connsiteY9" fmla="*/ 413912 h 422331"/>
              <a:gd name="connsiteX10" fmla="*/ 178959 w 455154"/>
              <a:gd name="connsiteY10" fmla="*/ 414482 h 422331"/>
              <a:gd name="connsiteX11" fmla="*/ 187481 w 455154"/>
              <a:gd name="connsiteY11" fmla="*/ 421895 h 422331"/>
              <a:gd name="connsiteX12" fmla="*/ 198276 w 455154"/>
              <a:gd name="connsiteY12" fmla="*/ 419044 h 422331"/>
              <a:gd name="connsiteX13" fmla="*/ 198844 w 455154"/>
              <a:gd name="connsiteY13" fmla="*/ 418474 h 422331"/>
              <a:gd name="connsiteX14" fmla="*/ 202252 w 455154"/>
              <a:gd name="connsiteY14" fmla="*/ 415052 h 422331"/>
              <a:gd name="connsiteX15" fmla="*/ 273836 w 455154"/>
              <a:gd name="connsiteY15" fmla="*/ 344346 h 422331"/>
              <a:gd name="connsiteX16" fmla="*/ 382916 w 455154"/>
              <a:gd name="connsiteY16" fmla="*/ 381980 h 422331"/>
              <a:gd name="connsiteX17" fmla="*/ 392574 w 455154"/>
              <a:gd name="connsiteY17" fmla="*/ 380839 h 422331"/>
              <a:gd name="connsiteX18" fmla="*/ 398256 w 455154"/>
              <a:gd name="connsiteY18" fmla="*/ 372856 h 422331"/>
              <a:gd name="connsiteX19" fmla="*/ 455068 w 455154"/>
              <a:gd name="connsiteY19" fmla="*/ 13620 h 422331"/>
              <a:gd name="connsiteX20" fmla="*/ 449955 w 455154"/>
              <a:gd name="connsiteY20" fmla="*/ 2216 h 42233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455154" h="422331">
                <a:moveTo>
                  <a:pt x="449955" y="2216"/>
                </a:moveTo>
                <a:cubicBezTo>
                  <a:pt x="446546" y="-636"/>
                  <a:pt x="441433" y="-636"/>
                  <a:pt x="437456" y="1645"/>
                </a:cubicBezTo>
                <a:lnTo>
                  <a:pt x="6249" y="231443"/>
                </a:lnTo>
                <a:cubicBezTo>
                  <a:pt x="2272" y="233724"/>
                  <a:pt x="0" y="237715"/>
                  <a:pt x="0" y="242277"/>
                </a:cubicBezTo>
                <a:cubicBezTo>
                  <a:pt x="0" y="246838"/>
                  <a:pt x="3409" y="250830"/>
                  <a:pt x="7386" y="251970"/>
                </a:cubicBezTo>
                <a:lnTo>
                  <a:pt x="125556" y="292456"/>
                </a:lnTo>
                <a:lnTo>
                  <a:pt x="140327" y="297588"/>
                </a:lnTo>
                <a:lnTo>
                  <a:pt x="143736" y="307281"/>
                </a:lnTo>
                <a:lnTo>
                  <a:pt x="178959" y="413342"/>
                </a:lnTo>
                <a:lnTo>
                  <a:pt x="178959" y="413912"/>
                </a:lnTo>
                <a:lnTo>
                  <a:pt x="178959" y="414482"/>
                </a:lnTo>
                <a:cubicBezTo>
                  <a:pt x="180096" y="417904"/>
                  <a:pt x="183504" y="420755"/>
                  <a:pt x="187481" y="421895"/>
                </a:cubicBezTo>
                <a:cubicBezTo>
                  <a:pt x="191458" y="423035"/>
                  <a:pt x="195435" y="421895"/>
                  <a:pt x="198276" y="419044"/>
                </a:cubicBezTo>
                <a:lnTo>
                  <a:pt x="198844" y="418474"/>
                </a:lnTo>
                <a:lnTo>
                  <a:pt x="202252" y="415052"/>
                </a:lnTo>
                <a:lnTo>
                  <a:pt x="273836" y="344346"/>
                </a:lnTo>
                <a:lnTo>
                  <a:pt x="382916" y="381980"/>
                </a:lnTo>
                <a:cubicBezTo>
                  <a:pt x="386325" y="383120"/>
                  <a:pt x="389734" y="382550"/>
                  <a:pt x="392574" y="380839"/>
                </a:cubicBezTo>
                <a:cubicBezTo>
                  <a:pt x="395415" y="379129"/>
                  <a:pt x="397688" y="376278"/>
                  <a:pt x="398256" y="372856"/>
                </a:cubicBezTo>
                <a:lnTo>
                  <a:pt x="455068" y="13620"/>
                </a:lnTo>
                <a:cubicBezTo>
                  <a:pt x="455636" y="8488"/>
                  <a:pt x="453364" y="4496"/>
                  <a:pt x="449955" y="2216"/>
                </a:cubicBezTo>
                <a:close/>
              </a:path>
            </a:pathLst>
          </a:custGeom>
          <a:solidFill>
            <a:schemeClr val="bg1">
              <a:lumMod val="75000"/>
            </a:schemeClr>
          </a:solidFill>
          <a:ln w="5655" cap="flat">
            <a:noFill/>
            <a:prstDash val="solid"/>
            <a:miter/>
          </a:ln>
        </xdr:spPr>
        <xdr:txBody>
          <a:bodyPr rtlCol="0" anchor="ctr"/>
          <a:lstStyle/>
          <a:p>
            <a:endParaRPr lang="en-US"/>
          </a:p>
        </xdr:txBody>
      </xdr:sp>
      <xdr:pic macro="[0]!Enviar_Email">
        <xdr:nvPicPr>
          <xdr:cNvPr id="15" name="Gráfico 14" descr="Enviar estrutura de tópicos">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122174" y="1518403"/>
            <a:ext cx="603787" cy="607308"/>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6350</xdr:colOff>
      <xdr:row>1</xdr:row>
      <xdr:rowOff>130176</xdr:rowOff>
    </xdr:from>
    <xdr:to>
      <xdr:col>0</xdr:col>
      <xdr:colOff>590551</xdr:colOff>
      <xdr:row>1</xdr:row>
      <xdr:rowOff>282575</xdr:rowOff>
    </xdr:to>
    <xdr:sp macro="" textlink="">
      <xdr:nvSpPr>
        <xdr:cNvPr id="3" name="Retângulo: Cantos Arredondados 2">
          <a:hlinkClick xmlns:r="http://schemas.openxmlformats.org/officeDocument/2006/relationships" r:id="rId1"/>
          <a:extLst>
            <a:ext uri="{FF2B5EF4-FFF2-40B4-BE49-F238E27FC236}">
              <a16:creationId xmlns:a16="http://schemas.microsoft.com/office/drawing/2014/main" id="{00000000-0008-0000-0100-000003000000}"/>
            </a:ext>
          </a:extLst>
        </xdr:cNvPr>
        <xdr:cNvSpPr/>
      </xdr:nvSpPr>
      <xdr:spPr>
        <a:xfrm>
          <a:off x="6350" y="1377951"/>
          <a:ext cx="584201" cy="152399"/>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l"/>
          <a:r>
            <a:rPr lang="en-US" sz="800" b="1"/>
            <a:t>RESUMO</a:t>
          </a:r>
        </a:p>
      </xdr:txBody>
    </xdr:sp>
    <xdr:clientData/>
  </xdr:twoCellAnchor>
  <mc:AlternateContent xmlns:mc="http://schemas.openxmlformats.org/markup-compatibility/2006">
    <mc:Choice xmlns:a14="http://schemas.microsoft.com/office/drawing/2010/main" Requires="a14">
      <xdr:twoCellAnchor>
        <xdr:from>
          <xdr:col>0</xdr:col>
          <xdr:colOff>0</xdr:colOff>
          <xdr:row>1</xdr:row>
          <xdr:rowOff>323850</xdr:rowOff>
        </xdr:from>
        <xdr:to>
          <xdr:col>0</xdr:col>
          <xdr:colOff>581025</xdr:colOff>
          <xdr:row>1</xdr:row>
          <xdr:rowOff>504825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300-000003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Atualizar</a:t>
              </a:r>
            </a:p>
          </xdr:txBody>
        </xdr:sp>
        <xdr:clientData fPrintsWithSheet="0"/>
      </xdr:twoCellAnchor>
    </mc:Choice>
    <mc:Fallback/>
  </mc:AlternateContent>
  <xdr:twoCellAnchor editAs="absolute">
    <xdr:from>
      <xdr:col>3</xdr:col>
      <xdr:colOff>577946</xdr:colOff>
      <xdr:row>0</xdr:row>
      <xdr:rowOff>2</xdr:rowOff>
    </xdr:from>
    <xdr:to>
      <xdr:col>6</xdr:col>
      <xdr:colOff>808711</xdr:colOff>
      <xdr:row>1</xdr:row>
      <xdr:rowOff>977900</xdr:rowOff>
    </xdr:to>
    <mc:AlternateContent xmlns:mc="http://schemas.openxmlformats.org/markup-compatibility/2006" xmlns:sle15="http://schemas.microsoft.com/office/drawing/2012/slicer">
      <mc:Choice Requires="sle15">
        <xdr:graphicFrame macro="">
          <xdr:nvGraphicFramePr>
            <xdr:cNvPr id="2" name="Procedência ">
              <a:extLst>
                <a:ext uri="{FF2B5EF4-FFF2-40B4-BE49-F238E27FC236}">
                  <a16:creationId xmlns:a16="http://schemas.microsoft.com/office/drawing/2014/main" id="{0CF935B5-F4BE-7A4D-8843-C8788C8002E6}"/>
                </a:ext>
              </a:extLst>
            </xdr:cNvPr>
            <xdr:cNvGraphicFramePr/>
          </xdr:nvGraphicFramePr>
          <xdr:xfrm>
            <a:off x="0" y="0"/>
            <a:ext cx="0" cy="0"/>
          </xdr:xfrm>
          <a:graphic>
            <a:graphicData uri="http://schemas.microsoft.com/office/drawing/2010/slicer">
              <sle:slicer xmlns:sle="http://schemas.microsoft.com/office/drawing/2010/slicer" name="Procedência "/>
            </a:graphicData>
          </a:graphic>
        </xdr:graphicFrame>
      </mc:Choice>
      <mc:Fallback xmlns="">
        <xdr:sp macro="" textlink="">
          <xdr:nvSpPr>
            <xdr:cNvPr id="0" name=""/>
            <xdr:cNvSpPr>
              <a:spLocks noTextEdit="1"/>
            </xdr:cNvSpPr>
          </xdr:nvSpPr>
          <xdr:spPr>
            <a:xfrm>
              <a:off x="3973248" y="2"/>
              <a:ext cx="2837440" cy="1174748"/>
            </a:xfrm>
            <a:prstGeom prst="rect">
              <a:avLst/>
            </a:prstGeom>
            <a:solidFill>
              <a:prstClr val="white"/>
            </a:solidFill>
            <a:ln w="1">
              <a:solidFill>
                <a:prstClr val="green"/>
              </a:solidFill>
            </a:ln>
          </xdr:spPr>
          <xdr:txBody>
            <a:bodyPr vertOverflow="clip" horzOverflow="clip"/>
            <a:lstStyle/>
            <a:p>
              <a:r>
                <a:rPr lang="en-US" sz="1100"/>
                <a:t>Esta forma representa um slicer da tabela. As segmentações de dados da tabela não são suportadas nesta versão do Excel.
Se a forma tiver sido modificada em uma versão anterior do Excel, ou se a pasta de trabalho foi salva no Excel 2007 ou anterior, a segmentação de dados não pode ser usada.</a:t>
              </a:r>
            </a:p>
          </xdr:txBody>
        </xdr:sp>
      </mc:Fallback>
    </mc:AlternateContent>
    <xdr:clientData/>
  </xdr:twoCellAnchor>
  <xdr:twoCellAnchor editAs="absolute">
    <xdr:from>
      <xdr:col>1</xdr:col>
      <xdr:colOff>20915</xdr:colOff>
      <xdr:row>0</xdr:row>
      <xdr:rowOff>10432</xdr:rowOff>
    </xdr:from>
    <xdr:to>
      <xdr:col>3</xdr:col>
      <xdr:colOff>381221</xdr:colOff>
      <xdr:row>1</xdr:row>
      <xdr:rowOff>1001032</xdr:rowOff>
    </xdr:to>
    <mc:AlternateContent xmlns:mc="http://schemas.openxmlformats.org/markup-compatibility/2006" xmlns:sle15="http://schemas.microsoft.com/office/drawing/2012/slicer">
      <mc:Choice Requires="sle15">
        <xdr:graphicFrame macro="">
          <xdr:nvGraphicFramePr>
            <xdr:cNvPr id="4" name="Mês 1">
              <a:extLst>
                <a:ext uri="{FF2B5EF4-FFF2-40B4-BE49-F238E27FC236}">
                  <a16:creationId xmlns:a16="http://schemas.microsoft.com/office/drawing/2014/main" id="{7C9DD21F-D3FB-7C88-53E0-851CD3FF3CD3}"/>
                </a:ext>
              </a:extLst>
            </xdr:cNvPr>
            <xdr:cNvGraphicFramePr/>
          </xdr:nvGraphicFramePr>
          <xdr:xfrm>
            <a:off x="0" y="0"/>
            <a:ext cx="0" cy="0"/>
          </xdr:xfrm>
          <a:graphic>
            <a:graphicData uri="http://schemas.microsoft.com/office/drawing/2010/slicer">
              <sle:slicer xmlns:sle="http://schemas.microsoft.com/office/drawing/2010/slicer" name="Mês 1"/>
            </a:graphicData>
          </a:graphic>
        </xdr:graphicFrame>
      </mc:Choice>
      <mc:Fallback xmlns="">
        <xdr:sp macro="" textlink="">
          <xdr:nvSpPr>
            <xdr:cNvPr id="0" name=""/>
            <xdr:cNvSpPr>
              <a:spLocks noTextEdit="1"/>
            </xdr:cNvSpPr>
          </xdr:nvSpPr>
          <xdr:spPr>
            <a:xfrm>
              <a:off x="913379" y="13607"/>
              <a:ext cx="2868927" cy="1181100"/>
            </a:xfrm>
            <a:prstGeom prst="rect">
              <a:avLst/>
            </a:prstGeom>
            <a:solidFill>
              <a:prstClr val="white"/>
            </a:solidFill>
            <a:ln w="1">
              <a:solidFill>
                <a:prstClr val="green"/>
              </a:solidFill>
            </a:ln>
          </xdr:spPr>
          <xdr:txBody>
            <a:bodyPr vertOverflow="clip" horzOverflow="clip"/>
            <a:lstStyle/>
            <a:p>
              <a:r>
                <a:rPr lang="en-US" sz="1100"/>
                <a:t>Esta forma representa um slicer da tabela. As segmentações de dados da tabela não são suportadas nesta versão do Excel.
Se a forma tiver sido modificada em uma versão anterior do Excel, ou se a pasta de trabalho foi salva no Excel 2007 ou anterior, a segmentação de dados não pode ser usada.</a:t>
              </a:r>
            </a:p>
          </xdr:txBody>
        </xdr:sp>
      </mc:Fallback>
    </mc:AlternateContent>
    <xdr:clientData/>
  </xdr:twoCellAnchor>
  <xdr:twoCellAnchor editAs="absolute">
    <xdr:from>
      <xdr:col>6</xdr:col>
      <xdr:colOff>865520</xdr:colOff>
      <xdr:row>0</xdr:row>
      <xdr:rowOff>18256</xdr:rowOff>
    </xdr:from>
    <xdr:to>
      <xdr:col>8</xdr:col>
      <xdr:colOff>85510</xdr:colOff>
      <xdr:row>1</xdr:row>
      <xdr:rowOff>980282</xdr:rowOff>
    </xdr:to>
    <mc:AlternateContent xmlns:mc="http://schemas.openxmlformats.org/markup-compatibility/2006" xmlns:sle15="http://schemas.microsoft.com/office/drawing/2012/slicer">
      <mc:Choice Requires="sle15">
        <xdr:graphicFrame macro="">
          <xdr:nvGraphicFramePr>
            <xdr:cNvPr id="5" name="Território">
              <a:extLst>
                <a:ext uri="{FF2B5EF4-FFF2-40B4-BE49-F238E27FC236}">
                  <a16:creationId xmlns:a16="http://schemas.microsoft.com/office/drawing/2014/main" id="{AF260A2F-2E89-643B-0EC6-D015ACFED088}"/>
                </a:ext>
              </a:extLst>
            </xdr:cNvPr>
            <xdr:cNvGraphicFramePr/>
          </xdr:nvGraphicFramePr>
          <xdr:xfrm>
            <a:off x="0" y="0"/>
            <a:ext cx="0" cy="0"/>
          </xdr:xfrm>
          <a:graphic>
            <a:graphicData uri="http://schemas.microsoft.com/office/drawing/2010/slicer">
              <sle:slicer xmlns:sle="http://schemas.microsoft.com/office/drawing/2010/slicer" name="Território"/>
            </a:graphicData>
          </a:graphic>
        </xdr:graphicFrame>
      </mc:Choice>
      <mc:Fallback xmlns="">
        <xdr:sp macro="" textlink="">
          <xdr:nvSpPr>
            <xdr:cNvPr id="0" name=""/>
            <xdr:cNvSpPr>
              <a:spLocks noTextEdit="1"/>
            </xdr:cNvSpPr>
          </xdr:nvSpPr>
          <xdr:spPr>
            <a:xfrm>
              <a:off x="6871920" y="18256"/>
              <a:ext cx="1708519" cy="1155701"/>
            </a:xfrm>
            <a:prstGeom prst="rect">
              <a:avLst/>
            </a:prstGeom>
            <a:solidFill>
              <a:prstClr val="white"/>
            </a:solidFill>
            <a:ln w="1">
              <a:solidFill>
                <a:prstClr val="green"/>
              </a:solidFill>
            </a:ln>
          </xdr:spPr>
          <xdr:txBody>
            <a:bodyPr vertOverflow="clip" horzOverflow="clip"/>
            <a:lstStyle/>
            <a:p>
              <a:r>
                <a:rPr lang="en-US" sz="1100"/>
                <a:t>Esta forma representa um slicer da tabela. As segmentações de dados da tabela não são suportadas nesta versão do Excel.
Se a forma tiver sido modificada em uma versão anterior do Excel, ou se a pasta de trabalho foi salva no Excel 2007 ou anterior, a segmentação de dados não pode ser usada.</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tia De Fatima Boaventura De Souza" refreshedDate="46232.777264236109" createdVersion="8" refreshedVersion="8" minRefreshableVersion="3" recordCount="305" xr:uid="{2C910CB0-D036-4EDA-A0BF-4357016A9B49}">
  <cacheSource type="worksheet">
    <worksheetSource name="Table1"/>
  </cacheSource>
  <cacheFields count="37">
    <cacheField name="Procedência " numFmtId="0">
      <sharedItems containsBlank="1" count="15">
        <s v="DESCONSIDERADA"/>
        <s v="IMPROCEDENTE"/>
        <s v="PROCEDENTE"/>
        <s v="DUPLICADA"/>
        <s v="PENDENTE"/>
        <s v="DESCONSIDERADA " u="1"/>
        <s v="DUPLICADA " u="1"/>
        <s v="REAVALIAR" u="1"/>
        <s v="DUPLICADO" u="1"/>
        <s v="Falta de Fábrica " u="1"/>
        <s v="FALTA DA FABRICA " u="1"/>
        <s v="PENDENTE " u="1"/>
        <m u="1"/>
        <s v="DESCONSIDERADA  " u="1"/>
        <s v="DEESCONSIDERADA " u="1"/>
      </sharedItems>
    </cacheField>
    <cacheField name="Status OC" numFmtId="14">
      <sharedItems/>
    </cacheField>
    <cacheField name="Mês" numFmtId="14">
      <sharedItems containsBlank="1" count="17">
        <s v="Janeiro   "/>
        <s v="Fevereiro "/>
        <s v="Março"/>
        <s v="Abril "/>
        <s v="Maio"/>
        <s v="Junho"/>
        <s v="Julho"/>
        <s v="Abril" u="1"/>
        <s v="JANEIRO  " u="1"/>
        <s v="Janeiro" u="1"/>
        <s v="Fevereiro" u="1"/>
        <s v="Agosto" u="1"/>
        <s v="Setembro" u="1"/>
        <s v="Outubro" u="1"/>
        <s v="Novembro " u="1"/>
        <s v="Dezembro " u="1"/>
        <m u="1"/>
      </sharedItems>
    </cacheField>
    <cacheField name="Semana" numFmtId="1">
      <sharedItems containsSemiMixedTypes="0" containsString="0" containsNumber="1" containsInteger="1" minValue="0" maxValue="53" count="54">
        <n v="1"/>
        <n v="2"/>
        <n v="3"/>
        <n v="4"/>
        <n v="5"/>
        <n v="6"/>
        <n v="7"/>
        <n v="8"/>
        <n v="9"/>
        <n v="10"/>
        <n v="11"/>
        <n v="12"/>
        <n v="13"/>
        <n v="14"/>
        <n v="15"/>
        <n v="16"/>
        <n v="17"/>
        <n v="18"/>
        <n v="19"/>
        <n v="20"/>
        <n v="21"/>
        <n v="22"/>
        <n v="23"/>
        <n v="24"/>
        <n v="25"/>
        <n v="26"/>
        <n v="27"/>
        <n v="28"/>
        <n v="29"/>
        <n v="30"/>
        <n v="31"/>
        <n v="32" u="1"/>
        <n v="33" u="1"/>
        <n v="34" u="1"/>
        <n v="35" u="1"/>
        <n v="36" u="1"/>
        <n v="37" u="1"/>
        <n v="38" u="1"/>
        <n v="39" u="1"/>
        <n v="40" u="1"/>
        <n v="41" u="1"/>
        <n v="42" u="1"/>
        <n v="43" u="1"/>
        <n v="44" u="1"/>
        <n v="45" u="1"/>
        <n v="46" u="1"/>
        <n v="47" u="1"/>
        <n v="48" u="1"/>
        <n v="49" u="1"/>
        <n v="50" u="1"/>
        <n v="51" u="1"/>
        <n v="52" u="1"/>
        <n v="53" u="1"/>
        <n v="0" u="1"/>
      </sharedItems>
    </cacheField>
    <cacheField name="Dt envio p Emergent" numFmtId="14">
      <sharedItems containsDate="1" containsMixedTypes="1" minDate="2026-01-03T00:00:00" maxDate="2026-07-29T00:00:00"/>
    </cacheField>
    <cacheField name="Dt da abertura" numFmtId="14">
      <sharedItems containsSemiMixedTypes="0" containsNonDate="0" containsDate="1" containsString="0" minDate="2025-01-06T00:00:00" maxDate="2026-07-30T00:00:00" count="352">
        <d v="2026-01-03T00:00:00"/>
        <d v="2026-01-07T00:00:00"/>
        <d v="2026-01-09T00:00:00"/>
        <d v="2026-01-12T00:00:00"/>
        <d v="2026-01-13T00:00:00"/>
        <d v="2026-01-14T00:00:00"/>
        <d v="2026-01-15T00:00:00"/>
        <d v="2026-01-16T00:00:00"/>
        <d v="2026-01-20T00:00:00"/>
        <d v="2026-01-21T00:00:00"/>
        <d v="2026-01-22T00:00:00"/>
        <d v="2026-01-23T00:00:00"/>
        <d v="2026-01-26T00:00:00"/>
        <d v="2026-01-27T00:00:00"/>
        <d v="2026-01-28T00:00:00"/>
        <d v="2026-01-29T00:00:00"/>
        <d v="2026-01-30T19:54:20"/>
        <d v="2026-02-04T00:00:00"/>
        <d v="2026-02-05T00:00:00"/>
        <d v="2026-02-10T00:00:00"/>
        <d v="2026-02-11T00:00:00"/>
        <d v="2026-02-12T00:00:00"/>
        <d v="2026-02-14T00:00:00"/>
        <d v="2026-02-18T00:00:00"/>
        <d v="2026-02-19T00:00:00"/>
        <d v="2026-02-20T00:00:00"/>
        <d v="2026-02-23T00:00:00"/>
        <d v="2026-02-24T00:00:00"/>
        <d v="2026-02-25T00:00:00"/>
        <d v="2026-02-26T00:00:00"/>
        <d v="2026-02-27T00:00:00"/>
        <d v="2026-02-28T00:00:00"/>
        <d v="2026-03-02T00:00:00"/>
        <d v="2026-03-03T00:00:00"/>
        <d v="2026-03-04T00:00:00"/>
        <d v="2026-03-06T00:00:00"/>
        <d v="2026-03-09T00:00:00"/>
        <d v="2026-03-10T00:00:00"/>
        <d v="2026-03-11T00:00:00"/>
        <d v="2026-03-12T00:00:00"/>
        <d v="2026-03-16T00:00:00"/>
        <d v="2026-03-18T00:00:00"/>
        <d v="2026-03-19T00:00:00"/>
        <d v="2026-03-24T00:00:00"/>
        <d v="2026-03-27T00:00:00"/>
        <d v="2026-03-30T00:00:00"/>
        <d v="2026-03-31T00:00:00"/>
        <d v="2026-04-01T00:00:00"/>
        <d v="2026-04-07T00:00:00"/>
        <d v="2026-04-10T00:00:00"/>
        <d v="2026-04-14T00:00:00"/>
        <d v="2026-04-16T00:00:00"/>
        <d v="2026-04-17T00:00:00"/>
        <d v="2026-04-22T00:00:00"/>
        <d v="2026-04-23T00:00:00"/>
        <d v="2026-04-24T00:00:00"/>
        <d v="2026-04-27T00:00:00"/>
        <d v="2026-04-28T00:00:00"/>
        <d v="2026-04-29T00:00:00"/>
        <d v="2026-04-30T00:00:00"/>
        <d v="2026-05-04T00:00:00"/>
        <d v="2026-05-05T00:00:00"/>
        <d v="2026-05-07T00:00:00"/>
        <d v="2026-05-08T00:00:00"/>
        <d v="2026-05-09T00:00:00"/>
        <d v="2026-05-12T00:00:00"/>
        <d v="2026-05-15T00:00:00"/>
        <d v="2026-05-20T00:00:00"/>
        <d v="2026-05-22T00:00:00"/>
        <d v="2026-05-26T00:00:00"/>
        <d v="2026-05-27T00:00:00"/>
        <d v="2026-05-28T00:00:00"/>
        <d v="2026-05-29T00:00:00"/>
        <d v="2026-05-30T00:00:00"/>
        <d v="2026-06-02T00:00:00"/>
        <d v="2026-06-03T00:00:00"/>
        <d v="2026-06-05T00:00:00"/>
        <d v="2026-06-08T00:00:00"/>
        <d v="2026-06-10T00:00:00"/>
        <d v="2026-06-11T00:00:00"/>
        <d v="2026-06-12T00:00:00"/>
        <d v="2026-06-15T00:00:00"/>
        <d v="2026-06-17T00:00:00"/>
        <d v="2026-06-18T00:00:00"/>
        <d v="2026-06-19T00:00:00"/>
        <d v="2026-06-23T00:00:00"/>
        <d v="2026-06-24T00:00:00"/>
        <d v="2026-06-25T00:00:00"/>
        <d v="2026-06-26T00:00:00"/>
        <d v="2026-06-29T00:00:00"/>
        <d v="2026-06-30T00:00:00"/>
        <d v="2026-07-01T00:00:00"/>
        <d v="2026-07-02T00:00:00"/>
        <d v="2026-07-06T00:00:00"/>
        <d v="2026-07-07T00:00:00"/>
        <d v="2026-07-08T00:00:00"/>
        <d v="2026-07-09T00:00:00"/>
        <d v="2026-07-10T00:00:00"/>
        <d v="2026-07-13T00:00:00"/>
        <d v="2026-07-14T00:00:00"/>
        <d v="2026-07-16T00:00:00"/>
        <d v="2026-07-17T00:00:00"/>
        <d v="2026-07-20T00:00:00"/>
        <d v="2026-07-21T00:00:00"/>
        <d v="2026-07-22T00:00:00"/>
        <d v="2026-07-23T00:00:00"/>
        <d v="2026-07-27T00:00:00"/>
        <d v="2026-07-28T00:00:00"/>
        <d v="2026-07-29T00:00:00"/>
        <d v="2025-01-06T00:00:00" u="1"/>
        <d v="2025-01-07T00:00:00" u="1"/>
        <d v="2025-01-08T00:00:00" u="1"/>
        <d v="2025-01-09T00:00:00" u="1"/>
        <d v="2025-01-10T00:00:00" u="1"/>
        <d v="2025-01-13T00:00:00" u="1"/>
        <d v="2025-01-14T00:00:00" u="1"/>
        <d v="2025-01-15T00:00:00" u="1"/>
        <d v="2025-01-16T00:00:00" u="1"/>
        <d v="2025-01-17T00:00:00" u="1"/>
        <d v="2025-01-20T00:00:00" u="1"/>
        <d v="2025-01-21T00:00:00" u="1"/>
        <d v="2025-01-22T00:00:00" u="1"/>
        <d v="2025-01-23T00:00:00" u="1"/>
        <d v="2025-01-24T00:00:00" u="1"/>
        <d v="2025-01-27T00:00:00" u="1"/>
        <d v="2025-01-28T00:00:00" u="1"/>
        <d v="2025-01-29T00:00:00" u="1"/>
        <d v="2025-01-30T00:00:00" u="1"/>
        <d v="2025-01-31T00:00:00" u="1"/>
        <d v="2025-02-04T00:00:00" u="1"/>
        <d v="2025-02-05T00:00:00" u="1"/>
        <d v="2025-02-10T00:00:00" u="1"/>
        <d v="2025-02-11T00:00:00" u="1"/>
        <d v="2025-02-12T00:00:00" u="1"/>
        <d v="2025-02-13T00:00:00" u="1"/>
        <d v="2025-02-14T00:00:00" u="1"/>
        <d v="2025-02-17T00:00:00" u="1"/>
        <d v="2025-02-18T00:00:00" u="1"/>
        <d v="2025-02-19T00:00:00" u="1"/>
        <d v="2025-02-20T00:00:00" u="1"/>
        <d v="2025-02-21T00:00:00" u="1"/>
        <d v="2025-02-24T00:00:00" u="1"/>
        <d v="2025-02-26T00:00:00" u="1"/>
        <d v="2025-02-27T00:00:00" u="1"/>
        <d v="2025-02-28T00:00:00" u="1"/>
        <d v="2025-03-05T00:00:00" u="1"/>
        <d v="2025-03-06T00:00:00" u="1"/>
        <d v="2025-03-07T00:00:00" u="1"/>
        <d v="2025-03-10T00:00:00" u="1"/>
        <d v="2025-03-11T00:00:00" u="1"/>
        <d v="2025-03-13T00:00:00" u="1"/>
        <d v="2025-03-14T00:00:00" u="1"/>
        <d v="2025-03-17T00:00:00" u="1"/>
        <d v="2025-03-20T00:00:00" u="1"/>
        <d v="2025-03-18T00:00:00" u="1"/>
        <d v="2025-03-19T00:00:00" u="1"/>
        <d v="2025-03-21T00:00:00" u="1"/>
        <d v="2025-03-25T00:00:00" u="1"/>
        <d v="2025-03-26T00:00:00" u="1"/>
        <d v="2025-03-27T00:00:00" u="1"/>
        <d v="2025-03-31T00:00:00" u="1"/>
        <d v="2025-04-02T00:00:00" u="1"/>
        <d v="2025-04-03T00:00:00" u="1"/>
        <d v="2025-04-04T00:00:00" u="1"/>
        <d v="2025-04-07T00:00:00" u="1"/>
        <d v="2025-04-08T00:00:00" u="1"/>
        <d v="2025-04-09T00:00:00" u="1"/>
        <d v="2025-04-10T00:00:00" u="1"/>
        <d v="2025-04-11T00:00:00" u="1"/>
        <d v="2025-04-14T00:00:00" u="1"/>
        <d v="2025-04-16T00:00:00" u="1"/>
        <d v="2025-04-21T00:00:00" u="1"/>
        <d v="2025-04-22T00:00:00" u="1"/>
        <d v="2025-04-23T00:00:00" u="1"/>
        <d v="2025-04-24T00:00:00" u="1"/>
        <d v="2025-04-25T00:00:00" u="1"/>
        <d v="2025-04-26T00:00:00" u="1"/>
        <d v="2025-04-29T00:00:00" u="1"/>
        <d v="2025-04-30T00:00:00" u="1"/>
        <d v="2025-05-02T00:00:00" u="1"/>
        <d v="2025-05-06T00:00:00" u="1"/>
        <d v="2025-05-07T00:00:00" u="1"/>
        <d v="2025-05-08T00:00:00" u="1"/>
        <d v="2025-05-13T00:00:00" u="1"/>
        <d v="2025-05-14T00:00:00" u="1"/>
        <d v="2025-05-15T00:00:00" u="1"/>
        <d v="2025-05-16T00:00:00" u="1"/>
        <d v="2025-05-19T00:00:00" u="1"/>
        <d v="2025-05-20T00:00:00" u="1"/>
        <d v="2025-05-27T00:00:00" u="1"/>
        <d v="2025-05-28T00:00:00" u="1"/>
        <d v="2025-05-22T00:00:00" u="1"/>
        <d v="2025-05-23T00:00:00" u="1"/>
        <d v="2025-05-26T00:00:00" u="1"/>
        <d v="2025-05-30T00:00:00" u="1"/>
        <d v="2025-06-02T00:00:00" u="1"/>
        <d v="2025-06-03T00:00:00" u="1"/>
        <d v="2025-06-04T00:00:00" u="1"/>
        <d v="2025-06-05T00:00:00" u="1"/>
        <d v="2025-06-10T00:00:00" u="1"/>
        <d v="2025-06-11T00:00:00" u="1"/>
        <d v="2025-06-12T00:00:00" u="1"/>
        <d v="2025-06-13T00:00:00" u="1"/>
        <d v="2025-06-16T00:00:00" u="1"/>
        <d v="2025-06-18T00:00:00" u="1"/>
        <d v="2025-06-20T00:00:00" u="1"/>
        <d v="2025-06-23T00:00:00" u="1"/>
        <d v="2025-06-24T00:00:00" u="1"/>
        <d v="2025-06-26T00:00:00" u="1"/>
        <d v="2025-06-27T00:00:00" u="1"/>
        <d v="2025-06-28T00:00:00" u="1"/>
        <d v="2025-06-30T00:00:00" u="1"/>
        <d v="2025-07-02T00:00:00" u="1"/>
        <d v="2025-07-03T00:00:00" u="1"/>
        <d v="2025-07-04T00:00:00" u="1"/>
        <d v="2025-07-08T00:00:00" u="1"/>
        <d v="2025-07-09T00:00:00" u="1"/>
        <d v="2025-07-10T00:00:00" u="1"/>
        <d v="2025-07-11T00:00:00" u="1"/>
        <d v="2025-07-14T00:00:00" u="1"/>
        <d v="2025-07-16T00:00:00" u="1"/>
        <d v="2025-07-18T00:00:00" u="1"/>
        <d v="2025-07-23T00:00:00" u="1"/>
        <d v="2025-07-24T00:00:00" u="1"/>
        <d v="2025-07-25T00:00:00" u="1"/>
        <d v="2025-07-28T00:00:00" u="1"/>
        <d v="2025-07-30T00:00:00" u="1"/>
        <d v="2025-07-31T00:00:00" u="1"/>
        <d v="2025-08-01T00:00:00" u="1"/>
        <d v="2025-08-04T00:00:00" u="1"/>
        <d v="2025-08-05T00:00:00" u="1"/>
        <d v="2025-08-06T00:00:00" u="1"/>
        <d v="2025-08-07T00:00:00" u="1"/>
        <d v="2025-08-08T00:00:00" u="1"/>
        <d v="2025-08-11T00:00:00" u="1"/>
        <d v="2025-08-12T00:00:00" u="1"/>
        <d v="2025-08-13T00:00:00" u="1"/>
        <d v="2025-08-14T00:00:00" u="1"/>
        <d v="2025-08-15T00:00:00" u="1"/>
        <d v="2025-08-18T00:00:00" u="1"/>
        <d v="2025-08-19T00:00:00" u="1"/>
        <d v="2025-08-20T00:00:00" u="1"/>
        <d v="2025-08-21T00:00:00" u="1"/>
        <d v="2025-08-22T00:00:00" u="1"/>
        <d v="2025-08-26T00:00:00" u="1"/>
        <d v="2025-08-27T00:00:00" u="1"/>
        <d v="2025-08-27T15:22:56" u="1"/>
        <d v="2025-08-28T10:11:11" u="1"/>
        <d v="2025-08-28T18:00:11" u="1"/>
        <d v="2025-08-29T13:36:52" u="1"/>
        <d v="2025-09-02T13:26:00" u="1"/>
        <d v="2025-09-02T15:01:46" u="1"/>
        <d v="2025-09-03T08:16:01" u="1"/>
        <d v="2025-09-04T16:16:48" u="1"/>
        <d v="2025-09-04T17:29:36" u="1"/>
        <d v="2025-09-05T09:06:53" u="1"/>
        <d v="2025-09-05T10:29:14" u="1"/>
        <d v="2025-09-05T15:25:14" u="1"/>
        <d v="2025-09-05T15:33:31" u="1"/>
        <d v="2025-09-09T08:15:30" u="1"/>
        <d v="2025-09-10T17:51:25" u="1"/>
        <d v="2025-09-11T07:24:24" u="1"/>
        <d v="2025-09-11T10:07:54" u="1"/>
        <d v="2025-09-11T10:11:32" u="1"/>
        <d v="2025-09-11T14:29:00" u="1"/>
        <d v="2025-09-11T14:57:19" u="1"/>
        <d v="2025-09-11T16:10:25" u="1"/>
        <d v="2025-09-11T17:30:25" u="1"/>
        <d v="2025-09-12T09:32:37" u="1"/>
        <d v="2025-09-12T10:41:04" u="1"/>
        <d v="2025-09-12T17:31:23" u="1"/>
        <d v="2025-09-17T13:44:06" u="1"/>
        <d v="2025-09-23T09:28:17" u="1"/>
        <d v="2025-09-23T13:20:21" u="1"/>
        <d v="2025-09-25T10:25:17" u="1"/>
        <d v="2025-09-25T17:00:20" u="1"/>
        <d v="2025-09-29T17:49:59" u="1"/>
        <d v="2025-09-30T10:46:12" u="1"/>
        <d v="2025-09-30T13:32:06" u="1"/>
        <d v="2025-10-01T11:05:01" u="1"/>
        <d v="2025-10-01T16:54:01" u="1"/>
        <d v="2025-10-03T00:00:00" u="1"/>
        <d v="2025-10-07T00:00:00" u="1"/>
        <d v="2025-10-08T00:00:00" u="1"/>
        <d v="2025-10-10T00:00:00" u="1"/>
        <d v="2025-10-13T00:00:00" u="1"/>
        <d v="2025-10-14T00:00:00" u="1"/>
        <d v="2025-10-15T00:00:00" u="1"/>
        <d v="2025-10-17T00:00:00" u="1"/>
        <d v="2025-10-20T00:00:00" u="1"/>
        <d v="2025-10-21T00:00:00" u="1"/>
        <d v="2025-10-23T00:00:00" u="1"/>
        <d v="2025-10-24T00:00:00" u="1"/>
        <d v="2025-10-27T00:00:00" u="1"/>
        <d v="2025-10-29T00:00:00" u="1"/>
        <d v="2025-10-31T00:00:00" u="1"/>
        <d v="2025-11-03T00:00:00" u="1"/>
        <d v="2025-11-04T00:00:00" u="1"/>
        <d v="2025-11-05T00:00:00" u="1"/>
        <d v="2025-11-06T00:00:00" u="1"/>
        <d v="2025-11-07T00:00:00" u="1"/>
        <d v="2025-11-11T00:00:00" u="1"/>
        <d v="2025-11-12T00:00:00" u="1"/>
        <d v="2025-11-13T00:00:00" u="1"/>
        <d v="2025-11-14T00:00:00" u="1"/>
        <d v="2025-11-17T00:00:00" u="1"/>
        <d v="2025-11-18T00:00:00" u="1"/>
        <d v="2025-11-25T00:00:00" u="1"/>
        <d v="2025-11-26T00:00:00" u="1"/>
        <d v="2025-11-27T00:00:00" u="1"/>
        <d v="2025-11-28T00:00:00" u="1"/>
        <d v="2025-12-02T00:00:00" u="1"/>
        <d v="2025-12-03T00:00:00" u="1"/>
        <d v="2025-12-04T00:00:00" u="1"/>
        <d v="2025-12-05T00:00:00" u="1"/>
        <d v="2025-12-09T00:00:00" u="1"/>
        <d v="2025-12-10T00:00:00" u="1"/>
        <d v="2025-12-11T00:00:00" u="1"/>
        <d v="2025-12-12T00:00:00" u="1"/>
        <d v="2025-12-16T00:00:00" u="1"/>
        <d v="2025-12-17T00:00:00" u="1"/>
        <d v="2025-12-18T00:00:00" u="1"/>
        <d v="2025-12-19T00:00:00" u="1"/>
        <d v="2025-12-20T00:00:00" u="1"/>
        <d v="2025-12-22T00:00:00" u="1"/>
        <d v="2025-12-23T00:00:00" u="1"/>
        <d v="2025-12-24T00:00:00" u="1"/>
        <d v="2025-12-26T00:00:00" u="1"/>
        <d v="2025-12-27T00:00:00" u="1"/>
        <d v="2025-12-29T00:00:00" u="1"/>
        <d v="2025-12-30T00:00:00" u="1"/>
        <d v="2025-12-31T00:00:00" u="1"/>
        <d v="2025-11-18T11:45:14" u="1"/>
        <d v="2025-11-18T11:52:14" u="1"/>
        <d v="2025-11-18T14:31:45" u="1"/>
        <d v="2025-11-19T07:00:18" u="1"/>
        <d v="2025-11-19T08:19:01" u="1"/>
        <d v="2025-11-19T08:20:39" u="1"/>
        <d v="2025-11-19T08:22:14" u="1"/>
        <d v="2025-10-22T00:00:00" u="1"/>
        <d v="2025-08-28T00:00:00" u="1"/>
        <d v="2025-09-02T00:00:00" u="1"/>
        <d v="2025-06-18T08:23:59" u="1"/>
        <d v="2025-06-18T08:34:24" u="1"/>
        <d v="2025-06-18T15:23:44" u="1"/>
        <d v="2025-02-06T00:00:00" u="1"/>
        <d v="2025-02-07T00:00:00" u="1"/>
        <d v="2025-06-13T07:56:13" u="1"/>
        <d v="2025-06-13T15:40:03" u="1"/>
        <d v="2025-06-13T16:22:12" u="1"/>
        <d v="2025-06-16T11:51:08" u="1"/>
        <d v="2025-06-16T14:41:47" u="1"/>
      </sharedItems>
    </cacheField>
    <cacheField name="Dt Prazo Retorno ao Campo" numFmtId="14">
      <sharedItems containsNonDate="0" containsDate="1" containsString="0" containsBlank="1" minDate="2026-01-09T00:00:00" maxDate="2026-08-01T00:00:00"/>
    </cacheField>
    <cacheField name="Dt de Retorno da analise" numFmtId="14">
      <sharedItems containsNonDate="0" containsDate="1" containsString="0" containsBlank="1" minDate="2026-01-08T00:00:00" maxDate="2026-07-30T00:00:00"/>
    </cacheField>
    <cacheField name="Dt da Reavaliação " numFmtId="14">
      <sharedItems containsBlank="1"/>
    </cacheField>
    <cacheField name="Tipo SKU" numFmtId="0">
      <sharedItems/>
    </cacheField>
    <cacheField name="Território" numFmtId="0">
      <sharedItems containsBlank="1" count="10">
        <s v="TD Curitiba"/>
        <s v="TV Curitiba 2"/>
        <s v="TV Cascavel"/>
        <s v="TV Curitiba 3"/>
        <s v="TV Curitiba 4"/>
        <s v="TV Curitiba 5"/>
        <s v="TV Curitiba 7"/>
        <m u="1"/>
        <e v="#N/A" u="1"/>
        <s v="TV Curitiba 1" u="1"/>
      </sharedItems>
    </cacheField>
    <cacheField name="3PL" numFmtId="0">
      <sharedItems containsBlank="1" count="5">
        <s v="FADEL"/>
        <s v="BAT"/>
        <e v="#N/A"/>
        <m u="1"/>
        <e v="#REF!" u="1"/>
      </sharedItems>
    </cacheField>
    <cacheField name="Data de pagamento" numFmtId="0">
      <sharedItems containsBlank="1"/>
    </cacheField>
    <cacheField name="Sede" numFmtId="0">
      <sharedItems/>
    </cacheField>
    <cacheField name="ID" numFmtId="0">
      <sharedItems containsSemiMixedTypes="0" containsString="0" containsNumber="1" containsInteger="1" minValue="368" maxValue="683"/>
    </cacheField>
    <cacheField name="Data de Abertura Chamado" numFmtId="14">
      <sharedItems containsSemiMixedTypes="0" containsNonDate="0" containsDate="1" containsString="0" minDate="2026-01-03T00:00:00" maxDate="2026-07-30T00:00:00"/>
    </cacheField>
    <cacheField name="Por qual deposito você é atendido." numFmtId="0">
      <sharedItems/>
    </cacheField>
    <cacheField name="E-mail" numFmtId="0">
      <sharedItems/>
    </cacheField>
    <cacheField name="Qual sua modalidade de Entrega" numFmtId="0">
      <sharedItems count="3">
        <s v="Entrega Terceirizada (PSL)"/>
        <s v="Pronta Entrega (VDC/TPE)"/>
        <s v="Entrega Própria (VAN)" u="1"/>
      </sharedItems>
    </cacheField>
    <cacheField name="Qual seu Carro de Entrega" numFmtId="0">
      <sharedItems/>
    </cacheField>
    <cacheField name="Qual data de Entrega ?" numFmtId="0">
      <sharedItems containsDate="1" containsMixedTypes="1" minDate="2025-12-16T00:00:00" maxDate="2026-07-30T00:00:00"/>
    </cacheField>
    <cacheField name="Qual a Numeração da Nota Fiscal com divergência ?" numFmtId="0">
      <sharedItems containsMixedTypes="1" containsNumber="1" containsInteger="1" minValue="442233" maxValue="15895309"/>
    </cacheField>
    <cacheField name="Qual a Remessa da Nota Fiscal com divergência ?" numFmtId="0">
      <sharedItems containsMixedTypes="1" containsNumber="1" containsInteger="1" minValue="0" maxValue="6878373280"/>
    </cacheField>
    <cacheField name="Qual o motivo da ocorrência ?" numFmtId="0">
      <sharedItems count="8">
        <s v="Falta"/>
        <s v="Inversão de Produto"/>
        <s v="Falta de todos os produtos da Nota Fiscal"/>
        <s v="Avaria na Entrega"/>
        <s v="Sobra"/>
        <s v="Falta na Entrega" u="1"/>
        <s v="Inversão na Entrega" u="1"/>
        <s v="Sobra na Entrega" u="1"/>
      </sharedItems>
    </cacheField>
    <cacheField name="Quais são os Produtos com Falta" numFmtId="0">
      <sharedItems containsBlank="1" containsMixedTypes="1" containsNumber="1" containsInteger="1" minValue="0" maxValue="10226368" longText="1"/>
    </cacheField>
    <cacheField name="Quais são os Produtos com Sobra" numFmtId="0">
      <sharedItems containsString="0" containsBlank="1" containsNumber="1" containsInteger="1" minValue="10224399" maxValue="10224399"/>
    </cacheField>
    <cacheField name="Quais são os Produtos com Avaria" numFmtId="0">
      <sharedItems containsNonDate="0" containsString="0" containsBlank="1"/>
    </cacheField>
    <cacheField name="Quais são os Produtos com Sobra2" numFmtId="0">
      <sharedItems containsBlank="1"/>
    </cacheField>
    <cacheField name="Quais são os Produtos com Falta2" numFmtId="0">
      <sharedItems containsNonDate="0" containsString="0" containsBlank="1"/>
    </cacheField>
    <cacheField name="informação adcional " numFmtId="0">
      <sharedItems containsBlank="1" containsMixedTypes="1" containsNumber="1" containsInteger="1" minValue="0" maxValue="226362"/>
    </cacheField>
    <cacheField name="Número Etiqueta" numFmtId="0">
      <sharedItems containsBlank="1" containsMixedTypes="1" containsNumber="1" containsInteger="1" minValue="0" maxValue="9375057916"/>
    </cacheField>
    <cacheField name="Qual ação foi tomada ?" numFmtId="0">
      <sharedItems containsBlank="1"/>
    </cacheField>
    <cacheField name="Procedência 2" numFmtId="0">
      <sharedItems containsNonDate="0" containsString="0" containsBlank="1"/>
    </cacheField>
    <cacheField name="Motivo" numFmtId="0">
      <sharedItems containsBlank="1" containsMixedTypes="1" containsNumber="1" containsInteger="1" minValue="0" maxValue="0"/>
    </cacheField>
    <cacheField name="Ação do Estoque" numFmtId="0">
      <sharedItems containsNonDate="0" containsString="0" containsBlank="1"/>
    </cacheField>
    <cacheField name="Incluir imagens " numFmtId="0">
      <sharedItems containsNonDate="0" containsString="0" containsBlank="1"/>
    </cacheField>
    <cacheField name="Obs" numFmtId="0">
      <sharedItems containsNonDate="0" containsString="0" containsBlank="1"/>
    </cacheField>
  </cacheFields>
  <extLst>
    <ext xmlns:x14="http://schemas.microsoft.com/office/spreadsheetml/2009/9/main" uri="{725AE2AE-9491-48be-B2B4-4EB974FC3084}">
      <x14:pivotCacheDefinition pivotCacheId="99836962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5">
  <r>
    <x v="0"/>
    <s v="No prazo"/>
    <x v="0"/>
    <x v="0"/>
    <d v="2026-01-03T00:00:00"/>
    <x v="0"/>
    <d v="2026-01-09T00:00:00"/>
    <d v="2026-01-09T00:00:00"/>
    <s v=" "/>
    <s v="MIL"/>
    <x v="0"/>
    <x v="0"/>
    <s v=" "/>
    <s v="CID Curitiba"/>
    <n v="368"/>
    <d v="2026-01-03T00:00:00"/>
    <s v="Curitiba"/>
    <s v="carlos.araujo@fadeltransportes.com.br"/>
    <x v="0"/>
    <s v="BR0075494"/>
    <d v="2025-12-30T00:00:00"/>
    <s v="1514564-9"/>
    <n v="6875057916"/>
    <x v="0"/>
    <s v="5094945 ISQ BIC MAX C/6, 6 CARTELAS  50055233 LAMINA BARB D. FIO WILKINSON 2 CARTELAS"/>
    <m/>
    <m/>
    <m/>
    <m/>
    <m/>
    <n v="9375057916"/>
    <s v="Nota Fiscal será retornada ao estoque"/>
    <m/>
    <s v="FALTA NA PRÉ SEPARAÇÃO DE ISQUEIRO E LÂMINA DE BARBEAR"/>
    <m/>
    <m/>
    <m/>
  </r>
  <r>
    <x v="1"/>
    <s v="No prazo"/>
    <x v="0"/>
    <x v="0"/>
    <d v="2026-01-03T00:00:00"/>
    <x v="0"/>
    <d v="2026-01-09T00:00:00"/>
    <d v="2026-01-12T00:00:00"/>
    <s v=" "/>
    <s v="MIL"/>
    <x v="1"/>
    <x v="1"/>
    <s v=" "/>
    <s v="CID Curitiba"/>
    <n v="371"/>
    <d v="2026-01-06T00:00:00"/>
    <s v="Curitiba"/>
    <s v="gi.omega@hotmail.com"/>
    <x v="1"/>
    <s v="BR0442243"/>
    <d v="2025-12-23T00:00:00"/>
    <n v="1511610"/>
    <n v="6874774184"/>
    <x v="0"/>
    <s v="25 pc cod 10224293 - Dunhill IN Blue Box Eg"/>
    <m/>
    <m/>
    <m/>
    <m/>
    <m/>
    <n v="0"/>
    <s v="Nota Fiscal será pendenciada"/>
    <m/>
    <s v="Falta "/>
    <m/>
    <m/>
    <m/>
  </r>
  <r>
    <x v="2"/>
    <s v="No prazo"/>
    <x v="0"/>
    <x v="0"/>
    <d v="2026-01-03T00:00:00"/>
    <x v="0"/>
    <d v="2026-01-09T00:00:00"/>
    <d v="2026-01-09T00:00:00"/>
    <s v=" "/>
    <s v="MIL"/>
    <x v="1"/>
    <x v="1"/>
    <s v=" "/>
    <s v="CID Curitiba"/>
    <n v="369"/>
    <d v="2026-01-06T00:00:00"/>
    <s v="Curitiba"/>
    <s v="francisco8511bat@gmail.com"/>
    <x v="1"/>
    <s v="BR0442240"/>
    <d v="2026-01-06T00:00:00"/>
    <n v="1515712"/>
    <n v="687511668"/>
    <x v="0"/>
    <s v="5 carteiras de luck strike red box "/>
    <m/>
    <m/>
    <m/>
    <m/>
    <m/>
    <n v="0"/>
    <s v="Nota Fiscal será entregue com falta."/>
    <m/>
    <s v="Carga tpe"/>
    <m/>
    <m/>
    <m/>
  </r>
  <r>
    <x v="2"/>
    <s v="No prazo"/>
    <x v="0"/>
    <x v="0"/>
    <d v="2026-01-03T00:00:00"/>
    <x v="0"/>
    <d v="2026-01-09T00:00:00"/>
    <d v="2026-01-09T00:00:00"/>
    <s v=" "/>
    <s v="MIL"/>
    <x v="0"/>
    <x v="0"/>
    <s v=" "/>
    <s v="CID Curitiba"/>
    <n v="370"/>
    <d v="2026-01-06T00:00:00"/>
    <s v="Curitiba"/>
    <s v="nedson.reis@fadeltransportes.com.br"/>
    <x v="0"/>
    <s v="BR0219603"/>
    <d v="2026-01-06T00:00:00"/>
    <n v="1516521"/>
    <n v="6875011608"/>
    <x v="1"/>
    <s v="10226374 falta 1 PCT roth double click, inversão com lucky strike red mix"/>
    <m/>
    <m/>
    <m/>
    <m/>
    <m/>
    <n v="9413945"/>
    <s v="Nota Fiscal será retornada ao estoque"/>
    <m/>
    <s v="Inversão de produto. Faltou 1 pct de rothmans inter double click box. E foi enviado 1 pct de lucky strike red mix."/>
    <m/>
    <m/>
    <m/>
  </r>
  <r>
    <x v="1"/>
    <s v="No prazo"/>
    <x v="0"/>
    <x v="1"/>
    <d v="2026-01-07T00:00:00"/>
    <x v="1"/>
    <d v="2026-01-09T00:00:00"/>
    <d v="2026-01-08T00:00:00"/>
    <s v=" "/>
    <s v="MIL"/>
    <x v="2"/>
    <x v="1"/>
    <s v=" "/>
    <s v="CID Curitiba"/>
    <n v="372"/>
    <d v="2026-01-07T00:00:00"/>
    <s v="Curitiba"/>
    <s v="vendedorsilvio@gmail.com"/>
    <x v="1"/>
    <s v="BR0442186"/>
    <d v="2026-01-06T00:00:00"/>
    <n v="1515183"/>
    <n v="6875021246"/>
    <x v="0"/>
    <s v="10226396 DUNHILL ON RED BOX"/>
    <m/>
    <m/>
    <m/>
    <m/>
    <m/>
    <s v="NA"/>
    <s v="Nota Fiscal será entregue com falta."/>
    <m/>
    <s v="Falta de 4 carteiras (0,080 cigarros)"/>
    <m/>
    <m/>
    <m/>
  </r>
  <r>
    <x v="2"/>
    <s v="No prazo"/>
    <x v="0"/>
    <x v="1"/>
    <d v="2026-01-07T00:00:00"/>
    <x v="1"/>
    <d v="2026-01-09T00:00:00"/>
    <d v="2026-01-09T00:00:00"/>
    <s v=" "/>
    <s v="MIL"/>
    <x v="0"/>
    <x v="0"/>
    <s v=" "/>
    <s v="CID Curitiba"/>
    <n v="373"/>
    <d v="2026-01-07T00:00:00"/>
    <s v="Curitiba"/>
    <s v="nedson.reis@fadeltransportes.com.br"/>
    <x v="0"/>
    <s v="BR0219562"/>
    <d v="2026-01-06T00:00:00"/>
    <n v="1516137"/>
    <n v="6875148512"/>
    <x v="0"/>
    <s v="10226374 Roth london intern double click box 1 pct"/>
    <m/>
    <m/>
    <m/>
    <m/>
    <m/>
    <n v="9414408"/>
    <s v="Nota Fiscal será retornada ao estoque"/>
    <m/>
    <s v="Foi faltando 1 pacote de roth double click"/>
    <m/>
    <m/>
    <m/>
  </r>
  <r>
    <x v="3"/>
    <s v="No prazo"/>
    <x v="0"/>
    <x v="1"/>
    <d v="2026-01-09T00:00:00"/>
    <x v="2"/>
    <d v="2026-01-13T00:00:00"/>
    <d v="2026-01-14T00:00:00"/>
    <s v=" "/>
    <s v="MIL"/>
    <x v="0"/>
    <x v="0"/>
    <s v=" "/>
    <s v="CID Curitiba"/>
    <n v="375"/>
    <d v="2026-01-09T00:00:00"/>
    <s v="Curitiba"/>
    <s v="nedson.reis@fadeltransportes.com.br"/>
    <x v="0"/>
    <s v="BR0075802"/>
    <d v="2026-01-09T00:00:00"/>
    <n v="1518214"/>
    <n v="6875213368"/>
    <x v="0"/>
    <s v="10226372 DUNHILL BLUE BLEND 2.0 BOX (FALTA 1 PACOTE)"/>
    <m/>
    <m/>
    <m/>
    <m/>
    <m/>
    <n v="9440490"/>
    <s v="Nota Fiscal será retornada ao estoque"/>
    <m/>
    <s v="falta 1 pacote de dunhill blue blend box "/>
    <m/>
    <m/>
    <m/>
  </r>
  <r>
    <x v="1"/>
    <s v="No prazo"/>
    <x v="0"/>
    <x v="1"/>
    <d v="2026-01-09T00:00:00"/>
    <x v="2"/>
    <d v="2026-01-13T00:00:00"/>
    <d v="2026-01-12T00:00:00"/>
    <s v=" "/>
    <s v="MIL"/>
    <x v="0"/>
    <x v="0"/>
    <s v=" "/>
    <s v="CID Curitiba"/>
    <n v="374"/>
    <d v="2026-01-09T00:00:00"/>
    <s v="Curitiba"/>
    <s v="caroline.machado@fadeltransportes .com "/>
    <x v="0"/>
    <s v="BR0075802"/>
    <d v="2026-01-09T00:00:00"/>
    <n v="1518214"/>
    <n v="6875213368"/>
    <x v="0"/>
    <s v="10226372 DUNHILL BLUE BLEND 2.0 BOX (FALTA 1 PACOTE)"/>
    <m/>
    <m/>
    <m/>
    <m/>
    <m/>
    <n v="9440490"/>
    <s v="Nota Fiscal será retornada ao estoque"/>
    <m/>
    <s v="Falta 1 pacote de dunhil blue blend"/>
    <m/>
    <m/>
    <m/>
  </r>
  <r>
    <x v="1"/>
    <s v="No prazo"/>
    <x v="0"/>
    <x v="2"/>
    <d v="2026-01-12T00:00:00"/>
    <x v="3"/>
    <d v="2026-01-14T00:00:00"/>
    <d v="2026-01-15T00:00:00"/>
    <s v=" "/>
    <s v="MIL"/>
    <x v="0"/>
    <x v="0"/>
    <s v=" "/>
    <s v="CID Curitiba"/>
    <n v="376"/>
    <d v="2026-01-12T00:00:00"/>
    <s v="Curitiba"/>
    <s v="nedson.reis@fadeltransportes.com.br"/>
    <x v="0"/>
    <s v="BR0075488"/>
    <d v="2026-01-09T00:00:00"/>
    <n v="1518164"/>
    <n v="6875217639"/>
    <x v="1"/>
    <s v="10223112 DUNHILL OF LONDON CARLTON BLEND BOX ( falta 1 PACOTE) 10223657 DUNHILL IN RED BOX EG ( sobra 1 PACOTE) "/>
    <m/>
    <m/>
    <m/>
    <m/>
    <m/>
    <s v="não possuo o número "/>
    <s v="Nota Fiscal será entregue com falta."/>
    <m/>
    <s v="Produtos invertidos"/>
    <m/>
    <m/>
    <m/>
  </r>
  <r>
    <x v="1"/>
    <s v="No prazo"/>
    <x v="0"/>
    <x v="2"/>
    <d v="2026-01-13T00:00:00"/>
    <x v="4"/>
    <d v="2026-01-15T00:00:00"/>
    <d v="2026-01-19T00:00:00"/>
    <s v=" "/>
    <s v="MIL"/>
    <x v="1"/>
    <x v="1"/>
    <s v=" "/>
    <s v="CID Curitiba"/>
    <n v="377"/>
    <d v="2026-01-13T00:00:00"/>
    <s v="Curitiba"/>
    <s v="Alessandropedroso21@gmail.com"/>
    <x v="1"/>
    <s v="BR0442233"/>
    <d v="2025-12-16T00:00:00"/>
    <n v="1508548"/>
    <n v="6874793120"/>
    <x v="2"/>
    <s v="Nao veio  na carga do dia 16.12"/>
    <m/>
    <m/>
    <m/>
    <m/>
    <m/>
    <n v="6874733120"/>
    <s v="Nota Fiscal será retornada ao estoque"/>
    <m/>
    <s v="Sso percebi quando fui conferir pois e produto que nao vende um minha região "/>
    <m/>
    <m/>
    <m/>
  </r>
  <r>
    <x v="2"/>
    <s v="No prazo"/>
    <x v="0"/>
    <x v="2"/>
    <d v="2026-01-14T00:00:00"/>
    <x v="5"/>
    <d v="2026-01-16T00:00:00"/>
    <d v="2026-01-19T00:00:00"/>
    <s v=" "/>
    <s v="MIL"/>
    <x v="0"/>
    <x v="0"/>
    <s v=" "/>
    <s v="CID Curitiba"/>
    <n v="378"/>
    <d v="2026-01-14T00:00:00"/>
    <s v="Curitiba"/>
    <s v="nedson.reis@fadeltransportes.com.br"/>
    <x v="0"/>
    <s v="BR0219599"/>
    <d v="2026-01-14T00:00:00"/>
    <n v="1519447"/>
    <n v="6875233418"/>
    <x v="1"/>
    <s v="Era para ter ido 1 Global Blue Box e foi no lugar um Lucky Fresh Ice"/>
    <m/>
    <m/>
    <m/>
    <m/>
    <m/>
    <n v="9471798"/>
    <s v="Nota Fiscal será entregue com falta."/>
    <m/>
    <s v="Inversao "/>
    <m/>
    <m/>
    <m/>
  </r>
  <r>
    <x v="2"/>
    <s v="No prazo"/>
    <x v="0"/>
    <x v="2"/>
    <d v="2026-01-15T00:00:00"/>
    <x v="6"/>
    <d v="2026-01-17T00:00:00"/>
    <d v="2026-01-19T00:00:00"/>
    <s v=" "/>
    <s v="MIL"/>
    <x v="1"/>
    <x v="1"/>
    <s v=" "/>
    <s v="CID Curitiba"/>
    <n v="379"/>
    <d v="2026-01-15T00:00:00"/>
    <s v="Curitiba"/>
    <s v="vilczak@hotmail.com"/>
    <x v="1"/>
    <s v="BR0442234"/>
    <d v="2026-01-06T00:00:00"/>
    <n v="1516135"/>
    <n v="6875053169"/>
    <x v="0"/>
    <s v="1 10223112 Dunhill of london carlton  4 50066993 Ap barb gillete preto3 champions c/12  12 10208004 rothmans cores blue  1 10165171 dunhill on kent Red  6 10208167 rothmans global blue"/>
    <m/>
    <m/>
    <m/>
    <m/>
    <m/>
    <s v="Nao veio "/>
    <s v="Nota Fiscal será retornada ao estoque"/>
    <m/>
    <s v="Veio a nota e nao veio os produtos."/>
    <m/>
    <m/>
    <m/>
  </r>
  <r>
    <x v="1"/>
    <s v="No prazo"/>
    <x v="0"/>
    <x v="2"/>
    <d v="2026-01-19T00:00:00"/>
    <x v="7"/>
    <d v="2026-01-21T00:00:00"/>
    <d v="2026-01-22T00:00:00"/>
    <s v=" "/>
    <s v="MIL"/>
    <x v="0"/>
    <x v="0"/>
    <s v=" "/>
    <s v="CID Curitiba"/>
    <n v="384"/>
    <d v="2026-01-19T00:00:00"/>
    <s v="Curitiba"/>
    <s v="nedson.reis@fadeltransportes.com.br"/>
    <x v="0"/>
    <s v="BR0219601"/>
    <d v="2026-01-15T00:00:00"/>
    <n v="1520108"/>
    <n v="6875295014"/>
    <x v="0"/>
    <s v="10224293  DUNHILL IN BLUE BOX 0.5 UNIDADES"/>
    <m/>
    <m/>
    <m/>
    <m/>
    <m/>
    <n v="9481046"/>
    <s v="Nota Fiscal será retornada ao estoque"/>
    <m/>
    <s v="Faltou na separação "/>
    <m/>
    <m/>
    <m/>
  </r>
  <r>
    <x v="2"/>
    <s v="No prazo"/>
    <x v="0"/>
    <x v="2"/>
    <d v="2026-01-16T00:00:00"/>
    <x v="7"/>
    <d v="2026-01-20T00:00:00"/>
    <d v="2026-01-20T00:00:00"/>
    <s v=" "/>
    <s v="MIL"/>
    <x v="1"/>
    <x v="1"/>
    <s v=" "/>
    <s v="CID Curitiba"/>
    <n v="380"/>
    <d v="2026-01-15T00:00:00"/>
    <s v="Curitiba"/>
    <s v="reservatvlondrina@gmail.com"/>
    <x v="1"/>
    <s v="BR0442242"/>
    <d v="2026-01-15T00:00:00"/>
    <n v="1519374"/>
    <n v="6875271361"/>
    <x v="0"/>
    <s v="10227309 rothmans London white Classic blue"/>
    <m/>
    <m/>
    <m/>
    <m/>
    <m/>
    <n v="0"/>
    <s v="Nota Fiscal será entregue com falta."/>
    <m/>
    <m/>
    <m/>
    <m/>
    <m/>
  </r>
  <r>
    <x v="2"/>
    <s v="No prazo"/>
    <x v="0"/>
    <x v="2"/>
    <d v="2026-01-16T00:00:00"/>
    <x v="7"/>
    <d v="2026-01-20T00:00:00"/>
    <d v="2026-01-20T00:00:00"/>
    <s v=" "/>
    <s v="MIL"/>
    <x v="1"/>
    <x v="1"/>
    <s v=" "/>
    <s v="CID Curitiba"/>
    <n v="381"/>
    <d v="2026-01-16T00:00:00"/>
    <s v="Curitiba"/>
    <s v="Dionewaleski22@gmail.com"/>
    <x v="1"/>
    <s v="BR0442251"/>
    <d v="2026-01-14T00:00:00"/>
    <n v="1518847"/>
    <n v="6875244282"/>
    <x v="0"/>
    <s v="Faltando 1 Display Mais Mu"/>
    <m/>
    <m/>
    <m/>
    <m/>
    <m/>
    <s v="NA"/>
    <s v="Produto foi retirado de outra nota fiscal."/>
    <m/>
    <m/>
    <m/>
    <m/>
    <m/>
  </r>
  <r>
    <x v="2"/>
    <s v="No prazo"/>
    <x v="0"/>
    <x v="2"/>
    <d v="2026-01-16T00:00:00"/>
    <x v="7"/>
    <d v="2026-01-20T00:00:00"/>
    <d v="2026-01-20T00:00:00"/>
    <s v=" "/>
    <s v="MIL"/>
    <x v="0"/>
    <x v="0"/>
    <s v=" "/>
    <s v="CID Curitiba"/>
    <n v="383"/>
    <d v="2026-01-16T00:00:00"/>
    <s v="Curitiba"/>
    <s v="nedson.reis@fadeltransportes.com.br"/>
    <x v="0"/>
    <s v="BR0075727"/>
    <d v="2026-01-16T00:00:00"/>
    <n v="1520625"/>
    <n v="6875273517"/>
    <x v="0"/>
    <s v="10223112 DUNHILL OF LONDON CARLTON BLEND BOX (FALTA 0.6) "/>
    <m/>
    <m/>
    <m/>
    <m/>
    <m/>
    <n v="9492229"/>
    <s v="Nota Fiscal será retornada ao estoque"/>
    <m/>
    <s v="FALTA 0.6 DUNHILL CARLTON "/>
    <m/>
    <m/>
    <m/>
  </r>
  <r>
    <x v="2"/>
    <s v="No prazo"/>
    <x v="0"/>
    <x v="3"/>
    <d v="2026-01-20T00:00:00"/>
    <x v="8"/>
    <d v="2026-01-22T00:00:00"/>
    <d v="2026-01-22T00:00:00"/>
    <s v=" "/>
    <s v="MIL"/>
    <x v="0"/>
    <x v="0"/>
    <s v=" "/>
    <s v="CID Curitiba"/>
    <n v="385"/>
    <d v="2026-01-20T00:00:00"/>
    <s v="Curitiba"/>
    <s v="nedson.reis@fadeltransportes.com.br"/>
    <x v="0"/>
    <s v="BR0075865"/>
    <d v="2026-01-20T00:00:00"/>
    <n v="1522065"/>
    <n v="6875352662"/>
    <x v="1"/>
    <s v="1022636 Roth inter click sense falta 5 Pacotes "/>
    <m/>
    <m/>
    <m/>
    <m/>
    <m/>
    <n v="9505956"/>
    <s v="Nota Fiscal será retornada ao estoque"/>
    <m/>
    <s v="Sobra 5 kent pro Red e falta 5 roth click sense"/>
    <m/>
    <m/>
    <m/>
  </r>
  <r>
    <x v="2"/>
    <s v="No prazo"/>
    <x v="0"/>
    <x v="3"/>
    <d v="2026-01-20T00:00:00"/>
    <x v="8"/>
    <d v="2026-01-22T00:00:00"/>
    <d v="2026-01-22T00:00:00"/>
    <s v=" "/>
    <s v="MIL"/>
    <x v="0"/>
    <x v="0"/>
    <s v=" "/>
    <s v="CID Curitiba"/>
    <n v="386"/>
    <d v="2026-01-20T00:00:00"/>
    <s v="Curitiba"/>
    <s v="nedson.reis@fadeltransportes.com.br"/>
    <x v="0"/>
    <s v="BR0075485"/>
    <d v="2026-01-20T00:00:00"/>
    <n v="1521696"/>
    <n v="6875365711"/>
    <x v="1"/>
    <s v="Inversão entre Isqueiro Bic MAX e Bic mini"/>
    <m/>
    <m/>
    <m/>
    <m/>
    <m/>
    <n v="9505600"/>
    <s v="Nota Fiscal será entregue com falta."/>
    <m/>
    <s v="A NF solicita 2 bic max c/6 e 1 bic min c/6 Mas foi enviado 1 bic max c/6 e 2 bic min c/6"/>
    <m/>
    <m/>
    <m/>
  </r>
  <r>
    <x v="2"/>
    <s v="No prazo"/>
    <x v="0"/>
    <x v="3"/>
    <d v="2026-01-21T00:00:00"/>
    <x v="9"/>
    <d v="2026-01-23T00:00:00"/>
    <d v="2026-01-22T00:00:00"/>
    <s v=" "/>
    <s v="MIL"/>
    <x v="0"/>
    <x v="0"/>
    <s v=" "/>
    <s v="CID Curitiba"/>
    <n v="387"/>
    <d v="2026-01-21T00:00:00"/>
    <s v="Curitiba"/>
    <s v="nedson.reis@fadeltransportes.com.br"/>
    <x v="0"/>
    <s v="BR0219603"/>
    <d v="2026-01-21T00:00:00"/>
    <n v="1522610"/>
    <n v="6875381648"/>
    <x v="0"/>
    <s v="50065260 BIC COMFORT3 C/12"/>
    <m/>
    <m/>
    <m/>
    <m/>
    <m/>
    <n v="9518317"/>
    <s v="Nota Fiscal será retornada ao estoque"/>
    <m/>
    <s v="faltando bic comfort 3 "/>
    <m/>
    <m/>
    <m/>
  </r>
  <r>
    <x v="2"/>
    <s v="No prazo"/>
    <x v="0"/>
    <x v="3"/>
    <d v="2026-01-21T00:00:00"/>
    <x v="9"/>
    <d v="2026-01-23T00:00:00"/>
    <d v="2026-01-22T00:00:00"/>
    <s v=" "/>
    <s v="MIL"/>
    <x v="0"/>
    <x v="0"/>
    <s v=" "/>
    <s v="CID Curitiba"/>
    <n v="388"/>
    <d v="2026-01-21T00:00:00"/>
    <s v="Curitiba"/>
    <s v="nedson.reis@fadeltransportes.com.br"/>
    <x v="0"/>
    <s v="BR0219600"/>
    <d v="2026-01-21T00:00:00"/>
    <n v="1522351"/>
    <n v="6875400240"/>
    <x v="1"/>
    <s v="Era para ter sido enviado Dunhill carlton blend e foi enviado Dunhill blue "/>
    <m/>
    <m/>
    <m/>
    <m/>
    <m/>
    <n v="9518558"/>
    <s v="Nota Fiscal será retornada ao estoque"/>
    <m/>
    <s v="Era para ter sido enviado Dunhill carlton blend e foi enviado Dunhill blue "/>
    <m/>
    <m/>
    <m/>
  </r>
  <r>
    <x v="0"/>
    <s v="No prazo"/>
    <x v="0"/>
    <x v="3"/>
    <d v="2026-01-22T00:00:00"/>
    <x v="10"/>
    <d v="2026-01-26T00:00:00"/>
    <d v="2026-01-23T00:00:00"/>
    <s v=" "/>
    <s v="MIL"/>
    <x v="1"/>
    <x v="1"/>
    <s v=" "/>
    <s v="CID Curitiba"/>
    <n v="389"/>
    <d v="2026-01-22T00:00:00"/>
    <s v="Curitiba"/>
    <s v="francisco8511bat@gmail.com"/>
    <x v="1"/>
    <s v="BR0442240"/>
    <d v="2026-01-22T00:00:00"/>
    <n v="1522165"/>
    <n v="6875390355"/>
    <x v="0"/>
    <s v="Falta 25 Dunhill voyage ice  refresh "/>
    <m/>
    <m/>
    <m/>
    <m/>
    <m/>
    <n v="0"/>
    <s v="Nota Fiscal será entregue com falta."/>
    <m/>
    <n v="0"/>
    <m/>
    <m/>
    <m/>
  </r>
  <r>
    <x v="1"/>
    <s v="No prazo"/>
    <x v="0"/>
    <x v="3"/>
    <d v="2026-01-23T00:00:00"/>
    <x v="10"/>
    <d v="2026-01-27T00:00:00"/>
    <d v="2026-01-27T00:00:00"/>
    <s v=" "/>
    <s v="MIL"/>
    <x v="2"/>
    <x v="1"/>
    <s v=" "/>
    <s v="CID Curitiba"/>
    <n v="391"/>
    <d v="2026-01-22T00:00:00"/>
    <s v="Curitiba"/>
    <s v="Valde.souzacruz@hotmail.com"/>
    <x v="1"/>
    <s v="BR0442230"/>
    <d v="2026-01-20T00:00:00"/>
    <n v="1520525"/>
    <n v="6875321132"/>
    <x v="0"/>
    <s v="Ainda não consegui identificar qual o cigarro  E uma cx tpe de acordo com a minuta seria 101 cx tpe e só veio 100"/>
    <m/>
    <m/>
    <m/>
    <m/>
    <m/>
    <s v="Tpe"/>
    <s v="Nota Fiscal será entregue com falta."/>
    <m/>
    <s v="Faltou uma cx tpe era pra ser 101 só veio 100 conforme a minuta  Conferido junto com o motorista "/>
    <m/>
    <m/>
    <m/>
  </r>
  <r>
    <x v="2"/>
    <s v="No prazo"/>
    <x v="0"/>
    <x v="3"/>
    <d v="2026-01-23T00:00:00"/>
    <x v="10"/>
    <d v="2026-01-27T00:00:00"/>
    <d v="2026-01-27T00:00:00"/>
    <s v=" "/>
    <s v="MIL"/>
    <x v="1"/>
    <x v="1"/>
    <s v=" "/>
    <s v="CID Curitiba"/>
    <n v="390"/>
    <d v="2026-01-22T00:00:00"/>
    <s v="Curitiba"/>
    <s v="reservatvlondrina@gmail.com"/>
    <x v="1"/>
    <s v="BR0442242"/>
    <d v="2026-01-22T00:00:00"/>
    <n v="1520720"/>
    <n v="6875326915"/>
    <x v="2"/>
    <s v="Falta de todos os produtos "/>
    <m/>
    <m/>
    <m/>
    <m/>
    <m/>
    <n v="0"/>
    <s v="Nota Fiscal será pendenciada"/>
    <m/>
    <m/>
    <m/>
    <m/>
    <m/>
  </r>
  <r>
    <x v="1"/>
    <s v="No prazo"/>
    <x v="0"/>
    <x v="3"/>
    <d v="2026-01-23T00:00:00"/>
    <x v="11"/>
    <d v="2026-01-27T00:00:00"/>
    <d v="2026-01-27T00:00:00"/>
    <s v=" "/>
    <s v="MIL"/>
    <x v="0"/>
    <x v="0"/>
    <s v=" "/>
    <s v="CID Curitiba"/>
    <n v="393"/>
    <d v="2026-01-23T00:00:00"/>
    <s v="Curitiba"/>
    <s v="nedson.reis@fadeltransportes.com.br"/>
    <x v="0"/>
    <s v="BR0075494"/>
    <d v="2026-01-23T00:00:00"/>
    <n v="1523794"/>
    <n v="6875409659"/>
    <x v="0"/>
    <s v="10226372 DUNHILL BLUE BLEND 2.0 BOX "/>
    <m/>
    <m/>
    <m/>
    <m/>
    <m/>
    <s v="9545842  9545879"/>
    <s v="Nota Fiscal será entregue com falta."/>
    <m/>
    <s v="Era para ter sido enviado 3 pacotes foi enviado apenas 2 "/>
    <m/>
    <m/>
    <m/>
  </r>
  <r>
    <x v="1"/>
    <s v="No prazo"/>
    <x v="0"/>
    <x v="3"/>
    <d v="2026-01-23T00:00:00"/>
    <x v="11"/>
    <d v="2026-01-27T00:00:00"/>
    <d v="2026-01-27T00:00:00"/>
    <s v=" "/>
    <s v="MIL"/>
    <x v="1"/>
    <x v="1"/>
    <s v=" "/>
    <s v="CID Curitiba"/>
    <n v="392"/>
    <d v="2026-01-23T00:00:00"/>
    <s v="Curitiba"/>
    <s v="joigg2010@hotmail.com"/>
    <x v="1"/>
    <s v="BR0442252"/>
    <d v="2026-01-23T00:00:00"/>
    <n v="1222160"/>
    <n v="6875385432"/>
    <x v="0"/>
    <s v="Lucky strike American original Blue "/>
    <m/>
    <m/>
    <m/>
    <m/>
    <m/>
    <s v="Não tem "/>
    <s v="Nota Fiscal será pendenciada"/>
    <m/>
    <s v="Ena nota eram 15 pacotes veio apenas 10"/>
    <m/>
    <m/>
    <m/>
  </r>
  <r>
    <x v="2"/>
    <s v="No prazo"/>
    <x v="0"/>
    <x v="3"/>
    <d v="2026-01-23T00:00:00"/>
    <x v="11"/>
    <d v="2026-01-27T00:00:00"/>
    <d v="2026-01-27T00:00:00"/>
    <s v=" "/>
    <s v="MIL"/>
    <x v="0"/>
    <x v="0"/>
    <s v=" "/>
    <s v="CID Curitiba"/>
    <n v="394"/>
    <d v="2026-01-23T00:00:00"/>
    <s v="Curitiba"/>
    <s v="nedson.reis@fadeltransportes.com.br"/>
    <x v="0"/>
    <s v="BR0422999"/>
    <d v="2026-01-23T00:00:00"/>
    <n v="1523544"/>
    <n v="6875440021"/>
    <x v="1"/>
    <s v="Era pra ser enviado white azul e foi enviado kent azul "/>
    <m/>
    <m/>
    <m/>
    <m/>
    <m/>
    <n v="9546096"/>
    <s v="Nota Fiscal será retornada ao estoque"/>
    <m/>
    <s v="Era pra ser enviado white azul e foi enviado kent azul "/>
    <m/>
    <m/>
    <m/>
  </r>
  <r>
    <x v="2"/>
    <s v="No prazo"/>
    <x v="0"/>
    <x v="3"/>
    <d v="2026-01-23T00:00:00"/>
    <x v="11"/>
    <d v="2026-01-27T00:00:00"/>
    <d v="2026-01-27T00:00:00"/>
    <s v=" "/>
    <s v="MIL"/>
    <x v="0"/>
    <x v="0"/>
    <s v=" "/>
    <s v="CID Curitiba"/>
    <n v="395"/>
    <d v="2026-01-23T00:00:00"/>
    <s v="Curitiba"/>
    <s v="nedson.reis@fadeltransportes.com.br"/>
    <x v="0"/>
    <s v="BR0075494"/>
    <d v="2026-01-23T00:00:00"/>
    <n v="1523494"/>
    <n v="6875431935"/>
    <x v="1"/>
    <s v="Sobra 1 pacote dunhill on blue e falta 1 pacote dunhill double refresh "/>
    <m/>
    <m/>
    <m/>
    <m/>
    <m/>
    <n v="9545865"/>
    <s v="Nota Fiscal será entregue com falta."/>
    <m/>
    <m/>
    <m/>
    <m/>
    <m/>
  </r>
  <r>
    <x v="2"/>
    <s v="No prazo"/>
    <x v="0"/>
    <x v="3"/>
    <d v="2026-01-26T00:00:00"/>
    <x v="11"/>
    <d v="2026-01-28T00:00:00"/>
    <d v="2026-01-27T00:00:00"/>
    <s v=" "/>
    <s v="MIL"/>
    <x v="0"/>
    <x v="0"/>
    <s v=" "/>
    <s v="CID Curitiba"/>
    <n v="396"/>
    <d v="2026-01-23T00:00:00"/>
    <s v="Curitiba"/>
    <s v="nedson.reis@fadeltransportes.com.br"/>
    <x v="0"/>
    <s v="BR0423000"/>
    <d v="2026-01-23T00:00:00"/>
    <n v="1523518"/>
    <n v="6875446001"/>
    <x v="0"/>
    <s v="10226422 rothmans hand select core blue maço 2 pct"/>
    <m/>
    <m/>
    <m/>
    <m/>
    <m/>
    <n v="9546501"/>
    <s v="Nota Fiscal será retornada ao estoque"/>
    <m/>
    <s v="Falta 2 pacotes "/>
    <m/>
    <m/>
    <m/>
  </r>
  <r>
    <x v="0"/>
    <s v="No prazo"/>
    <x v="0"/>
    <x v="4"/>
    <d v="2026-01-26T00:00:00"/>
    <x v="12"/>
    <d v="2026-01-28T00:00:00"/>
    <d v="2026-01-29T00:00:00"/>
    <s v=" "/>
    <s v="MIL"/>
    <x v="1"/>
    <x v="1"/>
    <s v=" "/>
    <s v="CID Curitiba"/>
    <n v="397"/>
    <d v="2026-01-26T00:00:00"/>
    <s v="Curitiba"/>
    <s v="gi.omega@hotmail.com"/>
    <x v="1"/>
    <s v="BR0442243"/>
    <d v="2025-12-23T00:00:00"/>
    <s v="1511610-9"/>
    <n v="6874774184"/>
    <x v="0"/>
    <s v="10 pc cod 10226427 Luck blue original Box 15 pc cod 10226359 kent prata Box 25 pc cod 10224294 dunhill in blue box "/>
    <m/>
    <m/>
    <m/>
    <m/>
    <m/>
    <n v="9"/>
    <s v="Nota Fiscal será pendenciada"/>
    <m/>
    <m/>
    <m/>
    <m/>
    <m/>
  </r>
  <r>
    <x v="1"/>
    <s v="No prazo"/>
    <x v="0"/>
    <x v="4"/>
    <d v="2026-01-27T00:00:00"/>
    <x v="13"/>
    <d v="2026-01-28T00:00:00"/>
    <d v="2026-01-29T00:00:00"/>
    <s v=" "/>
    <s v="MIL"/>
    <x v="0"/>
    <x v="0"/>
    <s v=" "/>
    <s v="CID Curitiba"/>
    <n v="398"/>
    <d v="2026-01-27T00:00:00"/>
    <s v="Curitiba"/>
    <s v="nedson.reis@fadeltransportes.com.br"/>
    <x v="0"/>
    <s v="BR0075564"/>
    <d v="2026-01-26T00:00:00"/>
    <n v="1523991"/>
    <n v="6875244519"/>
    <x v="0"/>
    <s v="Dunhill On blue 2 pacotes"/>
    <m/>
    <m/>
    <m/>
    <m/>
    <m/>
    <n v="9560908"/>
    <s v="Nota Fiscal será entregue com falta."/>
    <m/>
    <s v="Faltou 2 pacotes de Dunhill On blue"/>
    <m/>
    <m/>
    <m/>
  </r>
  <r>
    <x v="1"/>
    <s v="No prazo"/>
    <x v="0"/>
    <x v="4"/>
    <d v="2026-01-27T00:00:00"/>
    <x v="13"/>
    <d v="2026-01-29T00:00:00"/>
    <d v="2026-01-29T00:00:00"/>
    <s v=" "/>
    <s v="MIL"/>
    <x v="0"/>
    <x v="0"/>
    <s v=" "/>
    <s v="CID Curitiba"/>
    <n v="400"/>
    <d v="2026-01-27T00:00:00"/>
    <s v="Curitiba"/>
    <s v="maira_oliveira@bat.com"/>
    <x v="0"/>
    <s v="BR0075494"/>
    <d v="2026-01-21T00:00:00"/>
    <n v="1522687"/>
    <n v="6875381991"/>
    <x v="1"/>
    <s v="varejista informa que solicitou DUNHILL CARLTON BOX 200s e recebeu DUNHILL BLEND ."/>
    <m/>
    <m/>
    <m/>
    <m/>
    <m/>
    <s v="Sem informação"/>
    <s v="Nota Fiscal será entregue com falta."/>
    <m/>
    <s v="Varejo abriu o SAV 01712152"/>
    <m/>
    <m/>
    <m/>
  </r>
  <r>
    <x v="1"/>
    <s v="No prazo"/>
    <x v="0"/>
    <x v="4"/>
    <d v="2026-01-29T00:00:00"/>
    <x v="14"/>
    <d v="2026-02-02T00:00:00"/>
    <d v="2026-02-03T00:00:00"/>
    <s v=" "/>
    <s v="MIL"/>
    <x v="0"/>
    <x v="0"/>
    <s v=" "/>
    <s v="CID Curitiba"/>
    <n v="402"/>
    <d v="2026-01-28T00:00:00"/>
    <s v="Curitiba"/>
    <s v="nedson.reis@fadeltransportes.com.br"/>
    <x v="0"/>
    <s v="BR0075865"/>
    <d v="2026-01-28T00:00:00"/>
    <n v="1525537"/>
    <n v="6875512766"/>
    <x v="1"/>
    <s v="DUNHILL ON RED 1.0"/>
    <m/>
    <m/>
    <m/>
    <m/>
    <m/>
    <s v="sem etiqueta"/>
    <s v="Nota Fiscal será retornada ao estoque"/>
    <m/>
    <s v="foi invertido dunhill on red com dunhill on blue 1.0"/>
    <m/>
    <m/>
    <m/>
  </r>
  <r>
    <x v="2"/>
    <s v="No prazo"/>
    <x v="0"/>
    <x v="4"/>
    <d v="2026-01-29T00:00:00"/>
    <x v="14"/>
    <d v="2026-02-02T00:00:00"/>
    <d v="2026-02-03T00:00:00"/>
    <s v=" "/>
    <s v="MIL"/>
    <x v="0"/>
    <x v="0"/>
    <s v=" "/>
    <s v="CID Curitiba"/>
    <n v="403"/>
    <d v="2026-01-28T00:00:00"/>
    <s v="Curitiba"/>
    <s v="nedson.reis@fadeltransportes.com.br"/>
    <x v="0"/>
    <s v="BR0219601"/>
    <d v="2026-01-28T00:00:00"/>
    <n v="1525291"/>
    <n v="6875466007"/>
    <x v="1"/>
    <s v="Faltou 1 rothmans double click e sobrou um Lucky strike red mix"/>
    <m/>
    <m/>
    <m/>
    <m/>
    <m/>
    <n v="9580970"/>
    <s v="Nota Fiscal será entregue com falta."/>
    <m/>
    <s v="Inversão na separação 1 pacote"/>
    <m/>
    <m/>
    <m/>
  </r>
  <r>
    <x v="1"/>
    <s v="No prazo"/>
    <x v="0"/>
    <x v="4"/>
    <d v="2026-01-29T00:00:00"/>
    <x v="14"/>
    <d v="2026-02-02T00:00:00"/>
    <d v="2026-02-03T00:00:00"/>
    <s v=" "/>
    <s v="MIL"/>
    <x v="0"/>
    <x v="0"/>
    <s v=" "/>
    <s v="CID Curitiba"/>
    <n v="404"/>
    <d v="2026-01-28T00:00:00"/>
    <s v="Curitiba"/>
    <s v="nedson.reis@fadeltransportes.com.br"/>
    <x v="0"/>
    <s v="BR0075517"/>
    <d v="2026-01-28T00:00:00"/>
    <n v="1525390"/>
    <n v="6875497636"/>
    <x v="0"/>
    <s v="Falta 1 pacote de dunhill on blue "/>
    <m/>
    <m/>
    <m/>
    <m/>
    <m/>
    <n v="9580395"/>
    <s v="Nota Fiscal será retornada ao estoque"/>
    <m/>
    <m/>
    <m/>
    <m/>
    <m/>
  </r>
  <r>
    <x v="2"/>
    <s v="No prazo"/>
    <x v="0"/>
    <x v="4"/>
    <d v="2026-01-28T00:00:00"/>
    <x v="14"/>
    <d v="2026-01-30T00:00:00"/>
    <d v="2026-01-29T00:00:00"/>
    <s v=" "/>
    <s v="MIL"/>
    <x v="1"/>
    <x v="1"/>
    <s v=" "/>
    <s v="CID Curitiba"/>
    <n v="401"/>
    <d v="2026-01-28T00:00:00"/>
    <s v="Curitiba"/>
    <s v="gi.omega@hotmail.com"/>
    <x v="1"/>
    <s v="BR0442243"/>
    <d v="2026-01-28T00:00:00"/>
    <n v="1534734"/>
    <n v="6875497221"/>
    <x v="0"/>
    <s v="01 pc cod 10223112 Dunhill OF London carlton blend box 23 pc cod 10224435 Dunhill of London Carlton Blend box"/>
    <m/>
    <m/>
    <m/>
    <m/>
    <m/>
    <n v="0"/>
    <s v="Nota Fiscal será pendenciada"/>
    <m/>
    <m/>
    <m/>
    <m/>
    <m/>
  </r>
  <r>
    <x v="1"/>
    <s v="No prazo"/>
    <x v="0"/>
    <x v="4"/>
    <d v="2026-01-29T00:00:00"/>
    <x v="15"/>
    <d v="2026-02-02T00:00:00"/>
    <d v="2026-02-04T00:00:00"/>
    <s v=" "/>
    <s v="MIL"/>
    <x v="1"/>
    <x v="1"/>
    <s v=" "/>
    <s v="CID Curitiba"/>
    <n v="405"/>
    <d v="2026-01-29T00:00:00"/>
    <s v="Curitiba"/>
    <s v="may.mattoso@gmail.com"/>
    <x v="1"/>
    <s v="BR0442246"/>
    <d v="2026-01-19T00:00:00"/>
    <n v="1521201"/>
    <n v="0"/>
    <x v="0"/>
    <s v="Bonificação "/>
    <m/>
    <m/>
    <m/>
    <m/>
    <m/>
    <n v="0"/>
    <s v="Nota Fiscal será entregue com falta."/>
    <m/>
    <s v="Veio a nota e não veio bonificações "/>
    <m/>
    <m/>
    <m/>
  </r>
  <r>
    <x v="2"/>
    <s v="No prazo"/>
    <x v="0"/>
    <x v="4"/>
    <d v="2026-01-29T00:00:00"/>
    <x v="15"/>
    <d v="2026-02-02T00:00:00"/>
    <d v="2026-02-03T00:00:00"/>
    <s v=" "/>
    <s v="MIL"/>
    <x v="1"/>
    <x v="1"/>
    <s v=" "/>
    <s v="CID Curitiba"/>
    <n v="406"/>
    <d v="2026-01-29T00:00:00"/>
    <s v="Curitiba"/>
    <s v="Fernando.frank1@hotmail.com"/>
    <x v="1"/>
    <s v="BR0442246"/>
    <d v="2026-01-29T00:00:00"/>
    <n v="1525033"/>
    <n v="6875504247"/>
    <x v="0"/>
    <s v="10198819 Dunhill Voyage Mix refresh"/>
    <m/>
    <m/>
    <m/>
    <m/>
    <m/>
    <n v="0"/>
    <s v="Nota Fiscal será entregue com falta."/>
    <m/>
    <s v="Faltando 2 pacotes na carga "/>
    <m/>
    <m/>
    <m/>
  </r>
  <r>
    <x v="0"/>
    <s v="No prazo"/>
    <x v="0"/>
    <x v="4"/>
    <d v="2026-01-29T00:00:00"/>
    <x v="15"/>
    <d v="2026-02-02T00:00:00"/>
    <d v="2026-02-04T00:00:00"/>
    <s v=" "/>
    <s v="MIL"/>
    <x v="1"/>
    <x v="1"/>
    <s v=" "/>
    <s v="CID Curitiba"/>
    <n v="407"/>
    <d v="2026-01-29T00:00:00"/>
    <s v="Curitiba"/>
    <s v="francisco8511bat@gmail.com"/>
    <x v="1"/>
    <s v="BR0442240"/>
    <d v="2026-01-29T00:00:00"/>
    <n v="1525050"/>
    <n v="6875508800"/>
    <x v="0"/>
    <s v="Não veio 25 pacotes do Lucky  blue América original box  Falta 3 caixas de rothmans Blue box "/>
    <m/>
    <m/>
    <m/>
    <m/>
    <m/>
    <n v="0"/>
    <s v="Nota Fiscal será entregue com falta."/>
    <m/>
    <n v="0"/>
    <m/>
    <m/>
    <m/>
  </r>
  <r>
    <x v="1"/>
    <s v="No prazo"/>
    <x v="0"/>
    <x v="4"/>
    <d v="2026-01-29T00:00:00"/>
    <x v="15"/>
    <d v="2026-02-02T00:00:00"/>
    <d v="2026-02-03T00:00:00"/>
    <s v=" "/>
    <s v="MIL"/>
    <x v="1"/>
    <x v="1"/>
    <s v=" "/>
    <s v="CID Curitiba"/>
    <n v="408"/>
    <d v="2026-01-29T00:00:00"/>
    <s v="Curitiba"/>
    <s v="Felype_r@live.com"/>
    <x v="1"/>
    <s v="BR0442237"/>
    <d v="2026-01-28T00:00:00"/>
    <n v="1524296"/>
    <n v="6875469748"/>
    <x v="0"/>
    <s v="50 pacotes  10226445   rothmans global blue box"/>
    <m/>
    <m/>
    <m/>
    <m/>
    <m/>
    <s v="Sem itiqueta "/>
    <s v="Nota Fiscal será entregue com falta."/>
    <m/>
    <m/>
    <m/>
    <m/>
    <m/>
  </r>
  <r>
    <x v="2"/>
    <s v="No prazo"/>
    <x v="0"/>
    <x v="4"/>
    <d v="2026-02-02T00:00:00"/>
    <x v="16"/>
    <d v="2026-02-04T00:00:00"/>
    <d v="2026-02-03T00:00:00"/>
    <s v=" "/>
    <s v="MIL"/>
    <x v="0"/>
    <x v="0"/>
    <s v=" "/>
    <s v="CID Curitiba"/>
    <n v="409"/>
    <d v="2026-01-30T19:54:20"/>
    <s v="Curitiba"/>
    <s v="nedson.reis@fadeltransportes.com.br"/>
    <x v="0"/>
    <s v="BR0075494"/>
    <d v="2026-01-29T00:00:00"/>
    <n v="1526119"/>
    <n v="6875537351"/>
    <x v="0"/>
    <s v="50065401 pilha alc ray aa2 72 cart 2 "/>
    <m/>
    <m/>
    <m/>
    <m/>
    <s v="faltou na entrega a pilha, 1 cartela com 8 "/>
    <s v="9592541"/>
    <s v="Nota Fiscal será entregue com falta."/>
    <m/>
    <m/>
    <m/>
    <m/>
    <m/>
  </r>
  <r>
    <x v="2"/>
    <s v="No prazo"/>
    <x v="1"/>
    <x v="5"/>
    <d v="2026-02-05T00:00:00"/>
    <x v="17"/>
    <d v="2026-02-09T00:00:00"/>
    <d v="2026-02-09T00:00:00"/>
    <s v=" "/>
    <s v="MIL"/>
    <x v="1"/>
    <x v="1"/>
    <s v=" "/>
    <s v="CID Curitiba"/>
    <n v="410"/>
    <d v="2026-02-04T00:00:00"/>
    <s v="Curitiba"/>
    <s v="gi.omega@hotmail.com"/>
    <x v="1"/>
    <s v="BR0442243"/>
    <d v="2026-02-06T00:00:00"/>
    <n v="1527773"/>
    <n v="6875610612"/>
    <x v="0"/>
    <s v="01 cod 10223112 Dunhill of London Carlton blend box ,16 cod 10208004 rothmans  hand selected core blue box bfc"/>
    <m/>
    <m/>
    <m/>
    <m/>
    <m/>
    <n v="0"/>
    <s v="Nota Fiscal será pendenciada"/>
    <m/>
    <m/>
    <m/>
    <m/>
    <m/>
  </r>
  <r>
    <x v="2"/>
    <s v="No prazo"/>
    <x v="1"/>
    <x v="5"/>
    <d v="2026-02-05T00:00:00"/>
    <x v="18"/>
    <d v="2026-02-09T00:00:00"/>
    <d v="2026-02-09T00:00:00"/>
    <s v=" "/>
    <s v="MIL"/>
    <x v="0"/>
    <x v="0"/>
    <s v=" "/>
    <s v="CID Curitiba"/>
    <n v="411"/>
    <d v="2026-02-05T00:00:00"/>
    <s v="Curitiba"/>
    <s v="nedson.reis@fadeltransportes.com.br"/>
    <x v="0"/>
    <s v="BR0075494"/>
    <d v="2026-02-05T00:00:00"/>
    <n v="1528430"/>
    <n v="6875628208"/>
    <x v="1"/>
    <s v="10226405 roth blue box 1 pct (falta). kent pro blue 1 pct (sobra)"/>
    <m/>
    <m/>
    <m/>
    <m/>
    <m/>
    <n v="9645150"/>
    <s v="Nota Fiscal será entregue com falta."/>
    <m/>
    <s v="Produto invertido Faltando roth core blue box 1 unidade. Sobrando Kent pro blue 1 unidade"/>
    <m/>
    <m/>
    <m/>
  </r>
  <r>
    <x v="2"/>
    <s v="No prazo"/>
    <x v="1"/>
    <x v="5"/>
    <d v="2026-02-05T00:00:00"/>
    <x v="18"/>
    <d v="2026-02-09T00:00:00"/>
    <d v="2026-02-09T00:00:00"/>
    <s v=" "/>
    <s v="MIL"/>
    <x v="0"/>
    <x v="0"/>
    <s v=" "/>
    <s v="CID Curitiba"/>
    <n v="412"/>
    <d v="2026-02-05T00:00:00"/>
    <s v="Curitiba"/>
    <s v="nedson.reis@fadeltransportes.com.br"/>
    <x v="0"/>
    <s v="BR0219600"/>
    <d v="2026-02-05T00:00:00"/>
    <n v="1528766"/>
    <n v="6875638628"/>
    <x v="0"/>
    <s v="59994931 isqueiro bic min c/6 2 cartelas"/>
    <m/>
    <m/>
    <m/>
    <m/>
    <m/>
    <n v="9645236"/>
    <s v="Nota Fiscal será entregue com falta."/>
    <m/>
    <s v="Faltou na separação 2 cartelas de isqueiro bic mini com 6 unidades"/>
    <m/>
    <m/>
    <m/>
  </r>
  <r>
    <x v="2"/>
    <s v="No prazo"/>
    <x v="1"/>
    <x v="6"/>
    <d v="2026-02-10T00:00:00"/>
    <x v="19"/>
    <d v="2026-02-12T00:00:00"/>
    <d v="2026-02-13T00:00:00"/>
    <s v=" "/>
    <s v="MIL"/>
    <x v="1"/>
    <x v="1"/>
    <s v=" "/>
    <s v="CID Curitiba"/>
    <n v="413"/>
    <d v="2026-02-10T00:00:00"/>
    <s v="Curitiba"/>
    <s v="gi.omega@hotmail.com"/>
    <x v="1"/>
    <s v="BR0442243"/>
    <d v="2026-02-10T00:00:00"/>
    <n v="1529694"/>
    <n v="6875675944"/>
    <x v="1"/>
    <s v="Falta 1 cx rothmans internacional Blue box Sobra 1 cx rothmans Intern double click"/>
    <m/>
    <m/>
    <m/>
    <m/>
    <n v="0"/>
    <m/>
    <s v="Nota Fiscal será entregue com falta."/>
    <m/>
    <m/>
    <m/>
    <m/>
    <m/>
  </r>
  <r>
    <x v="0"/>
    <s v="No prazo"/>
    <x v="1"/>
    <x v="6"/>
    <d v="2026-02-10T00:00:00"/>
    <x v="19"/>
    <d v="2026-02-12T00:00:00"/>
    <d v="2026-02-11T00:00:00"/>
    <s v=" "/>
    <s v="MIL"/>
    <x v="0"/>
    <x v="0"/>
    <s v=" "/>
    <s v="CID Curitiba"/>
    <n v="414"/>
    <d v="2026-02-10T00:00:00"/>
    <s v="Curitiba"/>
    <s v="nedson.reis@fadeltransportes.com.br"/>
    <x v="0"/>
    <s v="BR0075727"/>
    <d v="2026-02-10T00:00:00"/>
    <n v="1529856"/>
    <n v="6875696581"/>
    <x v="1"/>
    <s v="Falta 3 roth classic blue e sobra 3 roth select red"/>
    <m/>
    <m/>
    <m/>
    <m/>
    <m/>
    <n v="9678970"/>
    <s v="Nota Fiscal será entregue com falta."/>
    <m/>
    <s v="Produto invertido era para ser entregue 3 roth classic blue e foram entregues 3 roth select red box "/>
    <m/>
    <m/>
    <m/>
  </r>
  <r>
    <x v="2"/>
    <s v="No prazo"/>
    <x v="1"/>
    <x v="6"/>
    <d v="2026-02-11T00:00:00"/>
    <x v="20"/>
    <d v="2026-02-13T00:00:00"/>
    <d v="2026-02-13T00:00:00"/>
    <s v=" "/>
    <s v="MIL"/>
    <x v="1"/>
    <x v="1"/>
    <s v=" "/>
    <s v="CID Curitiba"/>
    <n v="415"/>
    <d v="2026-02-11T00:00:00"/>
    <s v="Curitiba"/>
    <s v="fabiopast.bat@gmail.com"/>
    <x v="1"/>
    <s v="BR0442245"/>
    <d v="2026-02-10T00:00:00"/>
    <n v="1529506"/>
    <n v="6875676036"/>
    <x v="0"/>
    <n v="10226368"/>
    <m/>
    <m/>
    <m/>
    <m/>
    <s v="."/>
    <m/>
    <s v="Nota Fiscal será pendenciada"/>
    <m/>
    <s v="Faltou 50 pct de  Rothmans London Int Blue box, no caso faltou uma caixa "/>
    <m/>
    <m/>
    <m/>
  </r>
  <r>
    <x v="2"/>
    <s v="No prazo"/>
    <x v="1"/>
    <x v="6"/>
    <d v="2026-02-12T00:00:00"/>
    <x v="21"/>
    <d v="2026-02-18T00:00:00"/>
    <d v="2026-02-18T00:00:00"/>
    <s v=" "/>
    <s v="MIL"/>
    <x v="1"/>
    <x v="1"/>
    <s v=" "/>
    <s v="CID Curitiba"/>
    <n v="416"/>
    <d v="2026-02-12T00:00:00"/>
    <s v="Curitiba"/>
    <s v="Juliano savagin "/>
    <x v="1"/>
    <s v="BR0442232"/>
    <d v="2026-02-12T00:00:00"/>
    <n v="1530667"/>
    <n v="6875646205"/>
    <x v="0"/>
    <s v="50063718 AP BARB PROBAKII  4 DISPLAYS. 50062495 AP BAR PRESTO UG MOVEL 4 DISPLAYS . 50063694 AP BARB PRESTO 2 FIXO 24+ 2PB3 CHAMP 5 DISPLAYS . 50055233 LAMINA BARB D FIO WILKINSON 3 DISPLAYS. 50065260 BIC COMFORT 3 C/12 4 DISPLAYS. 50065250 BIC COMFORT 2 C/12 4 DISPLAYS."/>
    <m/>
    <m/>
    <m/>
    <m/>
    <m/>
    <n v="0"/>
    <s v="Nota Fiscal será pendenciada"/>
    <m/>
    <s v="Faltou todos esses itens mencionados, carro ficará com essa falta até mandarem oque faltou."/>
    <m/>
    <m/>
    <m/>
  </r>
  <r>
    <x v="1"/>
    <s v="No prazo"/>
    <x v="1"/>
    <x v="6"/>
    <d v="2026-02-12T00:00:00"/>
    <x v="21"/>
    <d v="2026-02-18T00:00:00"/>
    <d v="2026-02-18T00:00:00"/>
    <s v=" "/>
    <s v="MIL"/>
    <x v="1"/>
    <x v="1"/>
    <s v=" "/>
    <s v="CID Curitiba"/>
    <n v="417"/>
    <d v="2026-02-12T00:00:00"/>
    <s v="Curitiba"/>
    <s v="francisco8511bat@gmail.com"/>
    <x v="1"/>
    <s v="BR0442240"/>
    <d v="2026-02-05T00:00:00"/>
    <n v="1528367"/>
    <n v="6875621095"/>
    <x v="0"/>
    <s v="4 pacotes de dunhil tabaco  1 pacote de luck red mix "/>
    <m/>
    <m/>
    <m/>
    <m/>
    <m/>
    <n v="0"/>
    <s v="Nota Fiscal será entregue com falta."/>
    <m/>
    <n v="0"/>
    <m/>
    <m/>
    <m/>
  </r>
  <r>
    <x v="1"/>
    <s v="No prazo"/>
    <x v="1"/>
    <x v="6"/>
    <d v="2026-02-12T00:00:00"/>
    <x v="21"/>
    <d v="2026-02-18T00:00:00"/>
    <d v="2026-02-18T00:00:00"/>
    <s v=" "/>
    <s v="MIL"/>
    <x v="1"/>
    <x v="1"/>
    <s v=" "/>
    <s v="CID Curitiba"/>
    <n v="418"/>
    <d v="2026-02-12T00:00:00"/>
    <s v="Curitiba"/>
    <s v="francisco8511bat@gmail.com"/>
    <x v="1"/>
    <s v="BR0442240"/>
    <d v="2026-02-12T00:00:00"/>
    <n v="1530592"/>
    <n v="6875659675"/>
    <x v="0"/>
    <s v="Faltou 1 cartelas de Bic max com 12"/>
    <m/>
    <m/>
    <m/>
    <m/>
    <m/>
    <n v="9696732"/>
    <s v="Nota Fiscal será entregue com falta."/>
    <m/>
    <s v="..."/>
    <m/>
    <m/>
    <m/>
  </r>
  <r>
    <x v="1"/>
    <s v="No prazo"/>
    <x v="1"/>
    <x v="6"/>
    <d v="2026-02-12T00:00:00"/>
    <x v="21"/>
    <d v="2026-02-18T00:00:00"/>
    <d v="2026-02-18T00:00:00"/>
    <s v=" "/>
    <s v="MIL"/>
    <x v="1"/>
    <x v="1"/>
    <s v=" "/>
    <s v="CID Curitiba"/>
    <n v="419"/>
    <d v="2026-02-12T00:00:00"/>
    <s v="Curitiba"/>
    <s v="Dionewaleski22@gmail.com"/>
    <x v="1"/>
    <s v="BR0442251"/>
    <d v="2026-02-12T00:00:00"/>
    <n v="1530593"/>
    <n v="6875715545"/>
    <x v="0"/>
    <s v="3 cartelas ultragrip fixo"/>
    <m/>
    <m/>
    <m/>
    <m/>
    <m/>
    <s v="Na"/>
    <s v="Nota Fiscal será entregue com falta."/>
    <m/>
    <m/>
    <m/>
    <m/>
    <m/>
  </r>
  <r>
    <x v="1"/>
    <s v="No prazo"/>
    <x v="1"/>
    <x v="6"/>
    <d v="2026-02-19T00:00:00"/>
    <x v="22"/>
    <d v="2026-02-20T00:00:00"/>
    <d v="2026-02-20T00:00:00"/>
    <s v=" "/>
    <s v="MIL"/>
    <x v="1"/>
    <x v="1"/>
    <s v=" "/>
    <s v="CID Curitiba"/>
    <n v="420"/>
    <d v="2026-02-14T00:00:00"/>
    <s v="Curitiba"/>
    <s v="Felype_r@live.com"/>
    <x v="1"/>
    <s v="BR0442237"/>
    <d v="2026-02-13T00:00:00"/>
    <n v="1531423"/>
    <n v="6875735543"/>
    <x v="0"/>
    <s v="44. 50994945 bic max c/6"/>
    <m/>
    <m/>
    <m/>
    <m/>
    <m/>
    <s v="Não veio caixa, quem dirá etiqueta "/>
    <s v="Nota Fiscal será entregue com falta."/>
    <m/>
    <s v="Falta de produto"/>
    <m/>
    <m/>
    <m/>
  </r>
  <r>
    <x v="2"/>
    <s v="No prazo"/>
    <x v="1"/>
    <x v="7"/>
    <d v="2026-02-18T00:00:00"/>
    <x v="23"/>
    <d v="2026-02-20T00:00:00"/>
    <d v="2026-02-20T00:00:00"/>
    <s v=" "/>
    <s v="MIL"/>
    <x v="0"/>
    <x v="0"/>
    <s v=" "/>
    <s v="CID Curitiba"/>
    <n v="421"/>
    <d v="2026-02-18T00:00:00"/>
    <s v="Curitiba"/>
    <s v="nedson.reis@fadeltransportes.com.br"/>
    <x v="0"/>
    <s v="BR0075802"/>
    <d v="2026-02-18T00:00:00"/>
    <n v="1532716"/>
    <n v="6875807198"/>
    <x v="1"/>
    <s v="Falta 0.600 Lucky Strike Caps e sobra 0.600 Rothmans clicl sense "/>
    <m/>
    <m/>
    <m/>
    <m/>
    <m/>
    <n v="9743591"/>
    <s v="Nota Fiscal será retornada ao estoque"/>
    <m/>
    <s v="Falta 0.600 Lucky Strike Caps e sobra 0.600 Rothmans clicl sense "/>
    <m/>
    <m/>
    <m/>
  </r>
  <r>
    <x v="1"/>
    <s v="No prazo"/>
    <x v="1"/>
    <x v="7"/>
    <d v="2026-02-20T00:00:00"/>
    <x v="24"/>
    <d v="2026-02-24T00:00:00"/>
    <d v="2026-02-24T00:00:00"/>
    <s v=" "/>
    <s v="MIL"/>
    <x v="1"/>
    <x v="1"/>
    <s v=" "/>
    <s v="CID Curitiba"/>
    <n v="422"/>
    <d v="2026-02-19T00:00:00"/>
    <s v="Curitiba"/>
    <s v="francisco8511bat@gmail.com"/>
    <x v="1"/>
    <s v="BR0442240"/>
    <d v="2026-02-19T00:00:00"/>
    <n v="1532399"/>
    <n v="6875793405"/>
    <x v="0"/>
    <s v="Falta 24 mais mu de capucino"/>
    <m/>
    <m/>
    <m/>
    <m/>
    <m/>
    <n v="0"/>
    <s v="Nota Fiscal será entregue com falta."/>
    <m/>
    <s v=".."/>
    <m/>
    <m/>
    <m/>
  </r>
  <r>
    <x v="2"/>
    <s v="No prazo"/>
    <x v="1"/>
    <x v="7"/>
    <d v="2026-02-20T00:00:00"/>
    <x v="24"/>
    <d v="2026-02-24T00:00:00"/>
    <d v="2026-02-24T00:00:00"/>
    <s v=" "/>
    <s v="MIL"/>
    <x v="0"/>
    <x v="0"/>
    <s v=" "/>
    <s v="CID Curitiba"/>
    <n v="423"/>
    <d v="2026-02-19T00:00:00"/>
    <s v="Curitiba"/>
    <s v="nedson.reis@fadeltransportes.com.br"/>
    <x v="0"/>
    <s v="BR0075865"/>
    <d v="2026-02-19T00:00:00"/>
    <n v="1533411"/>
    <n v="6875825248"/>
    <x v="0"/>
    <s v="Falta 1 pacote de roth white classic blue "/>
    <m/>
    <m/>
    <m/>
    <m/>
    <m/>
    <n v="9752037"/>
    <s v="Nota Fiscal será entregue com falta."/>
    <m/>
    <m/>
    <m/>
    <m/>
    <m/>
  </r>
  <r>
    <x v="2"/>
    <s v="No prazo"/>
    <x v="1"/>
    <x v="7"/>
    <d v="2026-02-20T00:00:00"/>
    <x v="24"/>
    <d v="2026-02-24T00:00:00"/>
    <d v="2026-02-24T00:00:00"/>
    <s v=" "/>
    <s v="MIL"/>
    <x v="0"/>
    <x v="0"/>
    <s v=" "/>
    <s v="CID Curitiba"/>
    <n v="424"/>
    <d v="2026-02-19T00:00:00"/>
    <s v="Curitiba"/>
    <s v="nedson.reis@fadeltransportes.com.br"/>
    <x v="0"/>
    <s v="BR0219605"/>
    <d v="2026-02-19T00:00:00"/>
    <n v="1533268"/>
    <n v="6875772915"/>
    <x v="1"/>
    <s v="Foi enviado 1 pacote de rothmans white classic blue no lugar de 1 kent pro blue"/>
    <m/>
    <m/>
    <m/>
    <m/>
    <m/>
    <n v="9751767"/>
    <s v="Nota Fiscal será retornada ao estoque"/>
    <m/>
    <m/>
    <m/>
    <m/>
    <m/>
  </r>
  <r>
    <x v="2"/>
    <s v="No prazo"/>
    <x v="1"/>
    <x v="7"/>
    <d v="2026-02-24T00:00:00"/>
    <x v="25"/>
    <d v="2026-02-24T00:00:00"/>
    <d v="2026-02-24T00:00:00"/>
    <s v=" "/>
    <s v="MIL"/>
    <x v="0"/>
    <x v="0"/>
    <s v=" "/>
    <s v="CID Curitiba"/>
    <n v="426"/>
    <d v="2026-02-20T00:00:00"/>
    <s v="Curitiba"/>
    <s v="nedson.reis@fadeltransportes.com.br"/>
    <x v="0"/>
    <s v="BR0219562"/>
    <d v="2026-02-20T00:00:00"/>
    <n v="1534047"/>
    <n v="6875848598"/>
    <x v="0"/>
    <s v="Falta Isq bic max 2 c/6  Falta Isq bic mini 2c/6"/>
    <m/>
    <m/>
    <m/>
    <m/>
    <m/>
    <n v="9768163"/>
    <s v="Nota Fiscal será entregue com falta."/>
    <m/>
    <s v="Isqueiro coletado no estoque e entregue no cliente. "/>
    <m/>
    <m/>
    <m/>
  </r>
  <r>
    <x v="2"/>
    <s v="No prazo"/>
    <x v="1"/>
    <x v="7"/>
    <d v="2026-02-24T00:00:00"/>
    <x v="25"/>
    <d v="2026-02-26T00:00:00"/>
    <d v="2026-02-26T00:00:00"/>
    <s v=" "/>
    <s v="MIL"/>
    <x v="0"/>
    <x v="0"/>
    <s v=" "/>
    <s v="CID Curitiba"/>
    <n v="427"/>
    <d v="2026-02-20T00:00:00"/>
    <s v="Curitiba"/>
    <s v="nedson.reis@fadeltransportes.com.br"/>
    <x v="0"/>
    <s v="BR0075512"/>
    <d v="2026-02-20T00:00:00"/>
    <n v="1534226"/>
    <n v="6875655809"/>
    <x v="0"/>
    <s v="Falta Isq bic mini 2/6, Falta Fini dentadura 1, Falta Fini Pinta lingua 1 , Falta Fini Tubes morango 1, Falta Trevo tabaco 1, Falta lâmina , Falta Gillete"/>
    <m/>
    <m/>
    <m/>
    <m/>
    <m/>
    <n v="9767619"/>
    <s v="Nota Fiscal será retornada ao estoque"/>
    <m/>
    <s v="Faltou todas as parcerias na separação"/>
    <m/>
    <m/>
    <m/>
  </r>
  <r>
    <x v="2"/>
    <s v="No prazo"/>
    <x v="1"/>
    <x v="7"/>
    <d v="2026-02-24T00:00:00"/>
    <x v="25"/>
    <d v="2026-02-26T00:00:00"/>
    <d v="2026-02-26T00:00:00"/>
    <s v=" "/>
    <s v="MIL"/>
    <x v="0"/>
    <x v="0"/>
    <s v=" "/>
    <s v="CID Curitiba"/>
    <n v="428"/>
    <d v="2026-02-20T00:00:00"/>
    <s v="Curitiba"/>
    <s v="nedson.reis@fadeltransportes.com.br"/>
    <x v="0"/>
    <s v="BR0075494"/>
    <d v="2026-02-20T00:00:00"/>
    <n v="1534412"/>
    <n v="6875680847"/>
    <x v="0"/>
    <s v="50065406 PILHA ZN AA4 RAY CART 4 SM 192 10842"/>
    <m/>
    <m/>
    <m/>
    <m/>
    <m/>
    <n v="9768528"/>
    <s v="Nota Fiscal será retornada ao estoque"/>
    <m/>
    <s v="FALTOU PILHA ZN AA4 RAY CART 4 SM 192 10842"/>
    <m/>
    <m/>
    <m/>
  </r>
  <r>
    <x v="1"/>
    <s v="No prazo"/>
    <x v="1"/>
    <x v="8"/>
    <d v="2026-02-24T00:00:00"/>
    <x v="26"/>
    <d v="2026-02-26T00:00:00"/>
    <d v="2026-02-26T00:00:00"/>
    <s v=" "/>
    <s v="MIL"/>
    <x v="0"/>
    <x v="0"/>
    <s v=" "/>
    <s v="CID Curitiba"/>
    <n v="429"/>
    <d v="2026-02-23T00:00:00"/>
    <s v="Curitiba"/>
    <s v="nedson.reis@fadeltransportes.com.br"/>
    <x v="0"/>
    <s v="BR0219599"/>
    <d v="2026-02-23T00:00:00"/>
    <n v="1534520"/>
    <n v="6875875158"/>
    <x v="0"/>
    <s v="Falta 0.5 pacotes de rothmans blue maço"/>
    <m/>
    <m/>
    <m/>
    <m/>
    <m/>
    <n v="9778311"/>
    <s v="Nota Fiscal será entregue com falta."/>
    <m/>
    <s v="Caixa fechada de fábrica com falta. Foi feita devolução parcial para voltar só a falta."/>
    <m/>
    <m/>
    <m/>
  </r>
  <r>
    <x v="1"/>
    <s v="No prazo"/>
    <x v="1"/>
    <x v="8"/>
    <d v="2026-02-24T00:00:00"/>
    <x v="27"/>
    <d v="2026-02-26T00:00:00"/>
    <d v="2026-03-03T00:00:00"/>
    <s v=" "/>
    <s v="MIL"/>
    <x v="1"/>
    <x v="1"/>
    <s v=" "/>
    <s v="CID Curitiba"/>
    <n v="430"/>
    <d v="2026-02-24T00:00:00"/>
    <s v="Curitiba"/>
    <s v="gi.omega@hotmail.com"/>
    <x v="1"/>
    <s v="BR0442243"/>
    <d v="2026-02-24T00:00:00"/>
    <n v="1534910"/>
    <n v="6875900463"/>
    <x v="0"/>
    <s v="0.5 cod 10208167 Rothmans  lond 1890 global boue box bfc"/>
    <m/>
    <m/>
    <m/>
    <m/>
    <m/>
    <n v="0"/>
    <s v="Nota Fiscal será entregue com falta."/>
    <m/>
    <s v="."/>
    <m/>
    <m/>
    <m/>
  </r>
  <r>
    <x v="1"/>
    <s v="No prazo"/>
    <x v="1"/>
    <x v="8"/>
    <d v="2026-02-24T00:00:00"/>
    <x v="27"/>
    <d v="2026-02-26T00:00:00"/>
    <d v="2026-03-03T00:00:00"/>
    <s v=" "/>
    <s v="MIL"/>
    <x v="0"/>
    <x v="0"/>
    <s v=" "/>
    <s v="CID Curitiba"/>
    <n v="431"/>
    <d v="2026-02-24T00:00:00"/>
    <s v="Curitiba"/>
    <s v="nedson.reis@fadeltransportes.com.br"/>
    <x v="0"/>
    <s v="BR0075785"/>
    <d v="2026-02-24T00:00:00"/>
    <n v="1535333"/>
    <n v="6875896449"/>
    <x v="0"/>
    <s v="1 Cartela de isqueiro bic mini c/6"/>
    <m/>
    <m/>
    <m/>
    <m/>
    <m/>
    <n v="9791444"/>
    <s v="Nota Fiscal será entregue com falta."/>
    <m/>
    <m/>
    <m/>
    <m/>
    <m/>
  </r>
  <r>
    <x v="2"/>
    <s v="No prazo"/>
    <x v="1"/>
    <x v="8"/>
    <d v="2026-02-24T00:00:00"/>
    <x v="27"/>
    <d v="2026-02-26T00:00:00"/>
    <d v="2026-02-26T00:00:00"/>
    <s v=" "/>
    <s v="MIL"/>
    <x v="0"/>
    <x v="0"/>
    <s v=" "/>
    <s v="CID Curitiba"/>
    <n v="432"/>
    <d v="2026-02-24T00:00:00"/>
    <s v="Curitiba"/>
    <s v="nedson.reis@fadeltransportes.com.br"/>
    <x v="0"/>
    <s v="BR0219549"/>
    <d v="2026-02-24T00:00:00"/>
    <n v="1535537"/>
    <n v="6875926331"/>
    <x v="0"/>
    <s v="50065430 TUBES MORANGO CITRICO 1 UNIDADE "/>
    <m/>
    <m/>
    <m/>
    <m/>
    <m/>
    <n v="9792160"/>
    <s v="Nota Fiscal será retornada ao estoque"/>
    <m/>
    <s v="FALTANDO 50065430 TUBES MORANGO CITRICO 1 UNIDADE "/>
    <m/>
    <m/>
    <m/>
  </r>
  <r>
    <x v="2"/>
    <s v="No prazo"/>
    <x v="1"/>
    <x v="8"/>
    <d v="2026-02-24T00:00:00"/>
    <x v="27"/>
    <d v="2026-02-26T00:00:00"/>
    <d v="2026-02-26T00:00:00"/>
    <s v=" "/>
    <s v="MIL"/>
    <x v="0"/>
    <x v="0"/>
    <s v=" "/>
    <s v="CID Curitiba"/>
    <n v="433"/>
    <d v="2026-02-24T00:00:00"/>
    <s v="Curitiba"/>
    <s v="nedson.reis@fadeltransportes.com.br "/>
    <x v="0"/>
    <s v="BR0075882"/>
    <d v="2026-02-24T00:00:00"/>
    <n v="1534937"/>
    <n v="6875870178"/>
    <x v="0"/>
    <s v="10227309 ROTHMANS LONDON WHITE CLASSIC BLUE BOX 7 UNIDADES "/>
    <m/>
    <m/>
    <m/>
    <m/>
    <m/>
    <n v="9792647"/>
    <s v="Nota Fiscal será retornada ao estoque"/>
    <m/>
    <s v="FALTOU UM PACOTE (ERAM 7 FOI ENVIADO 6) 10227309 ROTHMANS LONDON WHITE CLASSIC BLUE BOX 7 UNIDADES "/>
    <m/>
    <m/>
    <m/>
  </r>
  <r>
    <x v="1"/>
    <s v="No prazo"/>
    <x v="1"/>
    <x v="8"/>
    <d v="2026-02-25T00:00:00"/>
    <x v="28"/>
    <d v="2026-02-27T00:00:00"/>
    <d v="2026-02-26T00:00:00"/>
    <s v=" "/>
    <s v="MIL"/>
    <x v="1"/>
    <x v="1"/>
    <s v=" "/>
    <s v="CID Curitiba"/>
    <n v="434"/>
    <d v="2026-02-25T00:00:00"/>
    <s v="Curitiba"/>
    <s v="francisco8511bat@gmail.com"/>
    <x v="1"/>
    <s v="BR0442240"/>
    <d v="2026-02-12T00:00:00"/>
    <n v="1530592"/>
    <n v="6875659675"/>
    <x v="0"/>
    <s v="Dunhill carlton blend 2.0 box  Faltou 50 pacotes "/>
    <m/>
    <m/>
    <m/>
    <m/>
    <m/>
    <m/>
    <s v="Nota Fiscal será entregue com falta."/>
    <m/>
    <s v="..."/>
    <m/>
    <m/>
    <m/>
  </r>
  <r>
    <x v="1"/>
    <s v="No prazo"/>
    <x v="1"/>
    <x v="8"/>
    <d v="2026-02-25T00:00:00"/>
    <x v="28"/>
    <d v="2026-02-27T00:00:00"/>
    <d v="2026-03-03T00:00:00"/>
    <s v=" "/>
    <s v="MIL"/>
    <x v="1"/>
    <x v="1"/>
    <s v=" "/>
    <s v="CID Curitiba"/>
    <n v="435"/>
    <d v="2026-02-25T00:00:00"/>
    <s v="Curitiba"/>
    <s v="francisco8511bat@gmail.com"/>
    <x v="1"/>
    <s v="BR0442240"/>
    <d v="2026-02-19T00:00:00"/>
    <n v="1532399"/>
    <n v="6875793405"/>
    <x v="0"/>
    <s v="Dunhil carlton blend 2.0 box Faltou 50 pacotes "/>
    <m/>
    <m/>
    <m/>
    <m/>
    <m/>
    <m/>
    <s v="Nota Fiscal será entregue com falta."/>
    <m/>
    <n v="0"/>
    <m/>
    <m/>
    <m/>
  </r>
  <r>
    <x v="2"/>
    <s v="No prazo"/>
    <x v="1"/>
    <x v="8"/>
    <d v="2026-02-25T00:00:00"/>
    <x v="28"/>
    <d v="2026-02-27T00:00:00"/>
    <d v="2026-02-26T00:00:00"/>
    <s v=" "/>
    <s v="MIL"/>
    <x v="0"/>
    <x v="0"/>
    <s v=" "/>
    <s v="CID Curitiba"/>
    <n v="436"/>
    <d v="2026-02-25T00:00:00"/>
    <s v="Curitiba"/>
    <s v="nedson.reis@fadeltransportes.com.br"/>
    <x v="0"/>
    <s v="BR0219544"/>
    <d v="2026-02-25T00:00:00"/>
    <n v="1535983"/>
    <n v="6875934363"/>
    <x v="1"/>
    <s v="Falta 3 pacotes de rothmans global blue  Sobra 3 pacotes de lucky strike fresh ice"/>
    <m/>
    <m/>
    <m/>
    <m/>
    <m/>
    <n v="9806186"/>
    <s v="Nota Fiscal será retornada ao estoque"/>
    <m/>
    <s v="Inversão na separação"/>
    <m/>
    <m/>
    <m/>
  </r>
  <r>
    <x v="1"/>
    <s v="No prazo"/>
    <x v="1"/>
    <x v="8"/>
    <d v="2026-02-26T00:00:00"/>
    <x v="29"/>
    <d v="2026-03-02T00:00:00"/>
    <d v="2026-03-03T00:00:00"/>
    <s v=" "/>
    <s v="MIL"/>
    <x v="1"/>
    <x v="1"/>
    <s v=" "/>
    <s v="CID Curitiba"/>
    <n v="437"/>
    <d v="2026-02-26T00:00:00"/>
    <s v="Curitiba"/>
    <s v="vilczak@hotmail.com"/>
    <x v="1"/>
    <s v="BR0442234"/>
    <d v="2026-02-26T00:00:00"/>
    <n v="1534366"/>
    <n v="6875779803"/>
    <x v="0"/>
    <s v="1- 50065431 tubes morango 15g "/>
    <m/>
    <m/>
    <m/>
    <m/>
    <m/>
    <s v="Nao tem "/>
    <s v="Nota Fiscal será entregue com falta."/>
    <m/>
    <s v="Veio faltando "/>
    <m/>
    <m/>
    <m/>
  </r>
  <r>
    <x v="2"/>
    <s v="No prazo"/>
    <x v="1"/>
    <x v="8"/>
    <d v="2026-03-02T00:00:00"/>
    <x v="30"/>
    <d v="2026-03-04T00:00:00"/>
    <d v="2026-03-04T00:00:00"/>
    <s v=" "/>
    <s v="MIL"/>
    <x v="0"/>
    <x v="0"/>
    <s v=" "/>
    <s v="CID Curitiba"/>
    <n v="439"/>
    <d v="2026-02-27T00:00:00"/>
    <s v="Curitiba"/>
    <s v="nedson.reis@fadeltransportes.com.br"/>
    <x v="0"/>
    <s v="BR0075517"/>
    <d v="2026-02-27T00:00:00"/>
    <n v="1537401"/>
    <n v="6875974173"/>
    <x v="0"/>
    <s v="1 pacote de kent pro blue"/>
    <m/>
    <m/>
    <m/>
    <m/>
    <m/>
    <n v="9838434"/>
    <s v="Nota Fiscal será entregue com falta."/>
    <m/>
    <m/>
    <m/>
    <m/>
    <m/>
  </r>
  <r>
    <x v="2"/>
    <s v="No prazo"/>
    <x v="1"/>
    <x v="8"/>
    <d v="2026-03-02T00:00:00"/>
    <x v="31"/>
    <d v="2026-03-04T00:00:00"/>
    <d v="2026-03-04T00:00:00"/>
    <s v=" "/>
    <s v="MIL"/>
    <x v="0"/>
    <x v="0"/>
    <s v=" "/>
    <s v="CID Curitiba"/>
    <n v="440"/>
    <d v="2026-02-28T00:00:00"/>
    <s v="Curitiba"/>
    <s v="nedson.reis@fadeltransportes.com.br"/>
    <x v="0"/>
    <s v="BR0075781"/>
    <d v="2026-02-23T00:00:00"/>
    <s v="1534520/9"/>
    <n v="6875875158"/>
    <x v="0"/>
    <s v="Falta 0.5 roth blue maço. "/>
    <m/>
    <m/>
    <m/>
    <m/>
    <m/>
    <n v="9778311"/>
    <s v="Nota Fiscal será entregue com falta."/>
    <m/>
    <s v="Mercado assai. Caixa fechada com falta."/>
    <m/>
    <m/>
    <m/>
  </r>
  <r>
    <x v="2"/>
    <s v="No prazo"/>
    <x v="2"/>
    <x v="9"/>
    <d v="2026-03-02T00:00:00"/>
    <x v="32"/>
    <d v="2026-03-04T00:00:00"/>
    <d v="2026-03-04T00:00:00"/>
    <s v=" "/>
    <s v="MIL"/>
    <x v="1"/>
    <x v="1"/>
    <s v=" "/>
    <s v="CID Curitiba"/>
    <n v="441"/>
    <d v="2026-03-02T00:00:00"/>
    <s v="Curitiba"/>
    <s v="Fernando.frank1@hotmail.com"/>
    <x v="1"/>
    <s v="BR0442246"/>
    <d v="2026-02-26T00:00:00"/>
    <n v="1535780"/>
    <n v="6875939370"/>
    <x v="0"/>
    <s v="01cx (10 milheiros) 10226463 Rothmans London Global Blue box "/>
    <m/>
    <m/>
    <m/>
    <m/>
    <m/>
    <s v="Não tenho "/>
    <s v="Nota Fiscal será entregue com falta."/>
    <m/>
    <s v="Era pra ter vindo 04cx e recebi apenas 03 cx"/>
    <m/>
    <m/>
    <m/>
  </r>
  <r>
    <x v="2"/>
    <s v="No prazo"/>
    <x v="2"/>
    <x v="9"/>
    <d v="2026-03-04T00:00:00"/>
    <x v="33"/>
    <d v="2026-03-06T00:00:00"/>
    <d v="2026-03-05T00:00:00"/>
    <s v=" "/>
    <s v="MIL"/>
    <x v="0"/>
    <x v="0"/>
    <s v=" "/>
    <s v="CID Curitiba"/>
    <n v="442"/>
    <d v="2026-03-03T00:00:00"/>
    <s v="Curitiba"/>
    <s v="nedson.reis@fadeltransportes.com.br"/>
    <x v="0"/>
    <s v="BR0075485"/>
    <d v="2026-02-28T00:00:00"/>
    <n v="1537758"/>
    <n v="6875999152"/>
    <x v="0"/>
    <s v="1 pacote kent prata maço 1 papel trevo"/>
    <m/>
    <m/>
    <m/>
    <m/>
    <m/>
    <n v="9852041"/>
    <s v="Nota Fiscal será entregue com falta."/>
    <m/>
    <s v="Produto retirado no estoque e entregue no cliente"/>
    <m/>
    <m/>
    <m/>
  </r>
  <r>
    <x v="2"/>
    <s v="No prazo"/>
    <x v="2"/>
    <x v="9"/>
    <d v="2026-03-04T00:00:00"/>
    <x v="34"/>
    <d v="2026-03-06T00:00:00"/>
    <d v="2026-03-05T00:00:00"/>
    <s v=" "/>
    <s v="MIL"/>
    <x v="2"/>
    <x v="1"/>
    <s v=" "/>
    <s v="CID Curitiba"/>
    <n v="443"/>
    <d v="2026-03-04T00:00:00"/>
    <s v="Curitiba"/>
    <s v="vendedorsilvio@gmail.com"/>
    <x v="1"/>
    <s v="BR0442186"/>
    <d v="2026-03-03T00:00:00"/>
    <n v="1537157"/>
    <n v="6875990950"/>
    <x v="1"/>
    <s v="Sobra 1 cx bic maxi, e falta 1 caixa Bic mini"/>
    <m/>
    <m/>
    <m/>
    <m/>
    <m/>
    <s v="CP5: 9849136"/>
    <s v="Nota Fiscal será pendenciada"/>
    <m/>
    <s v="Enviado fotos e vídeo para o Italo"/>
    <m/>
    <m/>
    <m/>
  </r>
  <r>
    <x v="2"/>
    <s v="No prazo"/>
    <x v="2"/>
    <x v="9"/>
    <d v="2026-03-06T00:00:00"/>
    <x v="35"/>
    <d v="2026-03-10T00:00:00"/>
    <d v="2026-03-11T00:00:00"/>
    <s v=" "/>
    <s v="MIL"/>
    <x v="0"/>
    <x v="0"/>
    <s v=" "/>
    <s v="CID Curitiba"/>
    <n v="445"/>
    <d v="2026-03-06T00:00:00"/>
    <s v="Curitiba"/>
    <s v="nedson.reis@fadeltransportes.com.br"/>
    <x v="0"/>
    <s v="BR0075598"/>
    <d v="2026-03-05T00:00:00"/>
    <n v="1539232"/>
    <n v="6876054667"/>
    <x v="0"/>
    <s v="Falta Isq bic max c/6 4 cartelas "/>
    <m/>
    <m/>
    <m/>
    <m/>
    <m/>
    <n v="9875985"/>
    <s v="Nota Fiscal será retornada ao estoque"/>
    <m/>
    <m/>
    <m/>
    <m/>
    <m/>
  </r>
  <r>
    <x v="2"/>
    <s v="No prazo"/>
    <x v="2"/>
    <x v="9"/>
    <d v="2026-03-06T00:00:00"/>
    <x v="35"/>
    <d v="2026-03-10T00:00:00"/>
    <d v="2026-03-11T00:00:00"/>
    <s v=" "/>
    <s v="MIL"/>
    <x v="0"/>
    <x v="0"/>
    <s v=" "/>
    <s v="CID Curitiba"/>
    <n v="446"/>
    <d v="2026-03-06T00:00:00"/>
    <s v="Curitiba"/>
    <s v="nedson.reis@fadeltransportes.com.br"/>
    <x v="0"/>
    <s v="BR0075564"/>
    <d v="2026-03-05T00:00:00"/>
    <n v="1538987"/>
    <n v="6875860909"/>
    <x v="0"/>
    <s v="Falta Isq bic max c/6. 2 cartelas "/>
    <m/>
    <m/>
    <m/>
    <m/>
    <m/>
    <n v="9875932"/>
    <s v="Produto foi retirado de outra nota fiscal."/>
    <m/>
    <s v="Produto retirado de outro pedido para realizar a entrega"/>
    <m/>
    <m/>
    <m/>
  </r>
  <r>
    <x v="2"/>
    <s v="No prazo"/>
    <x v="2"/>
    <x v="9"/>
    <d v="2026-03-06T00:00:00"/>
    <x v="35"/>
    <d v="2026-03-10T00:00:00"/>
    <d v="2026-03-11T00:00:00"/>
    <s v=" "/>
    <s v="MIL"/>
    <x v="0"/>
    <x v="0"/>
    <s v=" "/>
    <s v="CID Curitiba"/>
    <n v="447"/>
    <d v="2026-03-06T00:00:00"/>
    <s v="Curitiba"/>
    <s v="nedson.reis@fadeltransportes.com.br "/>
    <x v="0"/>
    <s v="BR0075598"/>
    <d v="2026-03-06T00:00:00"/>
    <n v="1539660"/>
    <n v="6876079355"/>
    <x v="0"/>
    <s v="LUCKY STRIKE FRESH  ICE BOX"/>
    <m/>
    <m/>
    <m/>
    <m/>
    <m/>
    <n v="9886534"/>
    <s v="Nota Fiscal será retornada ao estoque"/>
    <m/>
    <s v="ESTÁ FALTANDO UM PACOTE DE LUCKY STRIKE FRESH ICE "/>
    <m/>
    <m/>
    <m/>
  </r>
  <r>
    <x v="1"/>
    <s v="No prazo"/>
    <x v="2"/>
    <x v="9"/>
    <d v="2026-03-09T00:00:00"/>
    <x v="35"/>
    <d v="2026-03-11T00:00:00"/>
    <d v="2026-03-11T00:00:00"/>
    <s v=" "/>
    <s v="MIL"/>
    <x v="1"/>
    <x v="1"/>
    <s v=" "/>
    <s v="CID Curitiba"/>
    <n v="448"/>
    <d v="2026-03-06T00:00:00"/>
    <s v="Curitiba"/>
    <s v="Fernando.frank1@hotmail.com"/>
    <x v="1"/>
    <s v="BR0442246"/>
    <d v="2026-03-03T00:00:00"/>
    <n v="1537292"/>
    <n v="6875994823"/>
    <x v="0"/>
    <s v="0,1 (05 carteiras) 10226463 Rothmans Global blue box "/>
    <m/>
    <m/>
    <m/>
    <m/>
    <m/>
    <s v="Não tenho "/>
    <s v="Nota Fiscal será entregue com falta."/>
    <m/>
    <s v="Cx veio deslacrada faltando meio pacote"/>
    <m/>
    <m/>
    <m/>
  </r>
  <r>
    <x v="2"/>
    <s v="No prazo"/>
    <x v="2"/>
    <x v="10"/>
    <d v="2026-03-09T00:00:00"/>
    <x v="36"/>
    <d v="2026-03-11T00:00:00"/>
    <d v="2026-03-11T00:00:00"/>
    <s v=" "/>
    <s v="MIL"/>
    <x v="0"/>
    <x v="0"/>
    <s v=" "/>
    <s v="CID Curitiba"/>
    <n v="449"/>
    <d v="2026-03-09T00:00:00"/>
    <s v="Curitiba"/>
    <s v="nedson.reis@fadeltransportes.com.br"/>
    <x v="0"/>
    <s v="BR0075950"/>
    <d v="2026-03-09T00:00:00"/>
    <n v="1539993"/>
    <n v="6876088595"/>
    <x v="0"/>
    <s v="10227309 ROTHMANS LONDON WHITE CLASSIC BLUE BOX 2 (Faltando 1 pacote de Rothmans White classic blue)"/>
    <m/>
    <m/>
    <m/>
    <m/>
    <m/>
    <n v="9894108"/>
    <s v="Nota Fiscal será retornada ao estoque"/>
    <m/>
    <s v="Faltando 1 pacote de Rothmans White classic blue"/>
    <m/>
    <m/>
    <m/>
  </r>
  <r>
    <x v="2"/>
    <s v="No prazo"/>
    <x v="2"/>
    <x v="10"/>
    <d v="2026-03-10T00:00:00"/>
    <x v="37"/>
    <d v="2026-03-11T00:00:00"/>
    <d v="2026-03-11T00:00:00"/>
    <s v=" "/>
    <s v="MIL"/>
    <x v="2"/>
    <x v="1"/>
    <s v=" "/>
    <s v="CID Curitiba"/>
    <n v="450"/>
    <d v="2026-03-10T00:00:00"/>
    <s v="Curitiba"/>
    <s v="vendedorsilvio@gmail.com"/>
    <x v="1"/>
    <s v="BR0442186"/>
    <d v="2026-03-10T00:00:00"/>
    <n v="1539525"/>
    <n v="6876084467"/>
    <x v="0"/>
    <s v="10226399 ROTHMANS HAND SELECTED SILVER BOX"/>
    <m/>
    <m/>
    <m/>
    <m/>
    <m/>
    <s v="NA"/>
    <s v="Nota Fiscal será entregue com falta."/>
    <m/>
    <s v="Falta 50 pacotes de ROTHMANS SILVER BOX"/>
    <m/>
    <m/>
    <m/>
  </r>
  <r>
    <x v="2"/>
    <s v="No prazo"/>
    <x v="2"/>
    <x v="10"/>
    <d v="2026-03-11T00:00:00"/>
    <x v="38"/>
    <d v="2026-03-13T00:00:00"/>
    <d v="2026-03-13T00:00:00"/>
    <s v=" "/>
    <s v="MIL"/>
    <x v="0"/>
    <x v="0"/>
    <s v=" "/>
    <s v="CID Curitiba"/>
    <n v="451"/>
    <d v="2026-03-10T00:00:00"/>
    <s v="Curitiba"/>
    <s v="nedson.reis@fadeltransportes.com.br"/>
    <x v="0"/>
    <s v="BR0075494"/>
    <d v="2026-03-10T00:00:00"/>
    <n v="1540322"/>
    <n v="6875866978"/>
    <x v="1"/>
    <s v="Era para ter sido enviado lucky strike fresh double ice e foi enviado o lucky strike  wild "/>
    <m/>
    <m/>
    <m/>
    <m/>
    <m/>
    <n v="9901163"/>
    <s v="Nota Fiscal será retornada ao estoque"/>
    <m/>
    <s v="Era para ter sido enviado lucky strike fresh double ice e foi enviado o lucky strike  wild "/>
    <m/>
    <m/>
    <m/>
  </r>
  <r>
    <x v="2"/>
    <s v="No prazo"/>
    <x v="2"/>
    <x v="10"/>
    <d v="2026-03-11T00:00:00"/>
    <x v="38"/>
    <d v="2026-03-13T00:00:00"/>
    <d v="2026-03-13T00:00:00"/>
    <s v=" "/>
    <s v="MIL"/>
    <x v="0"/>
    <x v="0"/>
    <s v=" "/>
    <s v="CID Curitiba"/>
    <n v="452"/>
    <d v="2026-03-11T00:00:00"/>
    <s v="Curitiba"/>
    <s v="nedson.reis@fadeltransportes.com.br"/>
    <x v="0"/>
    <s v="BR0075488"/>
    <d v="2026-03-11T00:00:00"/>
    <n v="1541110"/>
    <n v="6876148027"/>
    <x v="0"/>
    <s v="10226431 LUCK STRIKE FRESH DOUBLE ICE 1 (faltando 1 pacote)"/>
    <m/>
    <m/>
    <m/>
    <m/>
    <m/>
    <n v="9939580"/>
    <s v="Nota Fiscal será retornada ao estoque"/>
    <m/>
    <s v="Faltou 1 pacote de  LUCK STRIKE FRESH DOUBLE ICE"/>
    <m/>
    <m/>
    <m/>
  </r>
  <r>
    <x v="2"/>
    <s v="No prazo"/>
    <x v="2"/>
    <x v="10"/>
    <d v="2026-03-11T00:00:00"/>
    <x v="38"/>
    <d v="2026-03-13T00:00:00"/>
    <d v="2026-03-13T00:00:00"/>
    <s v=" "/>
    <s v="MIL"/>
    <x v="0"/>
    <x v="0"/>
    <s v=" "/>
    <s v="CID Curitiba"/>
    <n v="453"/>
    <d v="2026-03-11T00:00:00"/>
    <s v="Curitiba"/>
    <s v="nedson.reis@fadeltransportes.com.br"/>
    <x v="0"/>
    <s v="BR0075494"/>
    <d v="2026-03-11T00:00:00"/>
    <n v="1541105"/>
    <n v="6876146355"/>
    <x v="0"/>
    <s v="10223108 DUNHILL VOYAGE DOUBLE REFRESH BOX 1 (falta meio pacote) "/>
    <m/>
    <m/>
    <m/>
    <m/>
    <m/>
    <n v="9940863"/>
    <s v="Nota Fiscal será retornada ao estoque"/>
    <m/>
    <s v="falta meio pacote de DUNHILL VOYAGE DOUBLE REFRESH BOX "/>
    <m/>
    <m/>
    <m/>
  </r>
  <r>
    <x v="2"/>
    <s v="No prazo"/>
    <x v="2"/>
    <x v="10"/>
    <d v="2026-03-11T00:00:00"/>
    <x v="38"/>
    <d v="2026-03-13T00:00:00"/>
    <d v="2026-03-13T00:00:00"/>
    <s v=" "/>
    <s v="MIL"/>
    <x v="0"/>
    <x v="0"/>
    <s v=" "/>
    <s v="CID Curitiba"/>
    <n v="454"/>
    <d v="2026-03-11T00:00:00"/>
    <s v="Curitiba"/>
    <s v="caroline.machado@fadeltransportes.com.br "/>
    <x v="0"/>
    <s v="BR0219601"/>
    <d v="2026-03-10T00:00:00"/>
    <n v="1540292"/>
    <n v="6876073982"/>
    <x v="0"/>
    <s v="Falta um pacote de trevo tabaco e inversão de papel (foi o colomy no lugar do papel trevo) "/>
    <m/>
    <m/>
    <m/>
    <m/>
    <m/>
    <s v="sem etiqueta "/>
    <s v="Nota Fiscal será entregue com falta."/>
    <m/>
    <s v="Falta um pacote de trevo tabaco e inversão de papel (foi o colomy no lugar do papel trevo) "/>
    <m/>
    <m/>
    <m/>
  </r>
  <r>
    <x v="2"/>
    <s v="No prazo"/>
    <x v="2"/>
    <x v="10"/>
    <d v="2026-03-11T00:00:00"/>
    <x v="38"/>
    <d v="2026-03-13T00:00:00"/>
    <d v="2026-03-13T00:00:00"/>
    <s v=" "/>
    <s v="MIL"/>
    <x v="0"/>
    <x v="0"/>
    <s v=" "/>
    <s v="CID Curitiba"/>
    <n v="455"/>
    <d v="2026-03-11T00:00:00"/>
    <s v="Curitiba"/>
    <s v="caroline.machado@fadeltransportes.com.br "/>
    <x v="0"/>
    <s v="BR0219605"/>
    <d v="2026-03-11T00:00:00"/>
    <n v="1540903"/>
    <n v="6876141633"/>
    <x v="1"/>
    <s v="Era para ser enviado lucky strike double e foi enviado dunhill full red"/>
    <m/>
    <m/>
    <m/>
    <m/>
    <m/>
    <n v="9939607"/>
    <s v="Nota Fiscal será retornada ao estoque"/>
    <m/>
    <s v="Era para ser enviado lucky strike double e foi enviado dunhill full red"/>
    <m/>
    <m/>
    <m/>
  </r>
  <r>
    <x v="2"/>
    <s v="No prazo"/>
    <x v="2"/>
    <x v="10"/>
    <d v="2026-03-11T00:00:00"/>
    <x v="38"/>
    <d v="2026-03-13T00:00:00"/>
    <d v="2026-03-13T00:00:00"/>
    <s v=" "/>
    <s v="MIL"/>
    <x v="0"/>
    <x v="0"/>
    <s v=" "/>
    <s v="CID Curitiba"/>
    <n v="456"/>
    <d v="2026-03-11T00:00:00"/>
    <s v="Curitiba"/>
    <s v="caroline.machado@fadeltransportes.com.br "/>
    <x v="0"/>
    <s v="BR0075488"/>
    <d v="2026-03-11T00:00:00"/>
    <n v="1541013"/>
    <n v="6876139354"/>
    <x v="1"/>
    <s v="pediu meio lucky strike double ice e foi enviado dunhill infull red "/>
    <m/>
    <m/>
    <m/>
    <m/>
    <m/>
    <n v="9939571"/>
    <s v="Nota Fiscal será entregue com falta."/>
    <m/>
    <s v="pediu meio lucky strike double ice e foi enviado dunhill infull red "/>
    <m/>
    <m/>
    <m/>
  </r>
  <r>
    <x v="0"/>
    <s v="No prazo"/>
    <x v="2"/>
    <x v="10"/>
    <d v="2026-03-12T00:00:00"/>
    <x v="39"/>
    <d v="2026-03-16T00:00:00"/>
    <d v="2026-03-13T00:00:00"/>
    <s v=" "/>
    <s v="MIL"/>
    <x v="0"/>
    <x v="0"/>
    <s v=" "/>
    <s v="CID Curitiba"/>
    <n v="457"/>
    <d v="2026-03-12T00:00:00"/>
    <s v="Curitiba"/>
    <s v="caroline.machado@fadltransportes.com.br"/>
    <x v="0"/>
    <s v="BR0075865"/>
    <d v="2026-03-12T00:00:00"/>
    <n v="1541780"/>
    <n v="6876168846"/>
    <x v="0"/>
    <s v="KENT PRO SILVER BOX 4"/>
    <m/>
    <m/>
    <m/>
    <m/>
    <m/>
    <n v="9950974"/>
    <s v="Nota Fiscal será retornada ao estoque"/>
    <m/>
    <s v="FALTOU 1 PACOTE DE KENT PRO SILVER BOX "/>
    <m/>
    <m/>
    <m/>
  </r>
  <r>
    <x v="0"/>
    <s v="No prazo"/>
    <x v="2"/>
    <x v="10"/>
    <d v="2026-03-12T00:00:00"/>
    <x v="39"/>
    <d v="2026-03-16T00:00:00"/>
    <d v="2026-03-13T00:00:00"/>
    <s v=" "/>
    <s v="MIL"/>
    <x v="0"/>
    <x v="0"/>
    <s v=" "/>
    <s v="CID Curitiba"/>
    <n v="458"/>
    <d v="2026-03-12T00:00:00"/>
    <s v="Curitiba"/>
    <s v="nedson.reis@fadeltransportes.com.br"/>
    <x v="0"/>
    <s v="BR0075865"/>
    <d v="2026-03-12T00:00:00"/>
    <n v="1541780"/>
    <n v="6876168846"/>
    <x v="0"/>
    <s v="KENT PRO SILVER BOX 4"/>
    <m/>
    <m/>
    <m/>
    <m/>
    <m/>
    <n v="9950974"/>
    <s v="Nota Fiscal será retornada ao estoque"/>
    <m/>
    <s v="FALTA 1 PACOTE DE KENT PRO SILVER BOX "/>
    <m/>
    <m/>
    <m/>
  </r>
  <r>
    <x v="2"/>
    <s v="No prazo"/>
    <x v="2"/>
    <x v="10"/>
    <d v="2026-03-12T00:00:00"/>
    <x v="39"/>
    <d v="2026-03-16T00:00:00"/>
    <d v="2026-03-13T00:00:00"/>
    <s v=" "/>
    <s v="MIL"/>
    <x v="0"/>
    <x v="0"/>
    <s v=" "/>
    <s v="CID Curitiba"/>
    <n v="459"/>
    <d v="2026-03-12T00:00:00"/>
    <s v="Curitiba"/>
    <s v="nedson.reis@fadeltransportes.com.br"/>
    <x v="0"/>
    <s v="BR0219605"/>
    <d v="2026-03-12T00:00:00"/>
    <n v="1541469"/>
    <n v="6876165220"/>
    <x v="0"/>
    <s v="10226374 ROTHMANS LONDON INTER DOUBLE CLICK BOX 4 (FALTANDO 4 PACOTES) "/>
    <m/>
    <m/>
    <m/>
    <m/>
    <m/>
    <n v="9950765"/>
    <s v="Nota Fiscal será entregue com falta."/>
    <m/>
    <s v="FALTANDO 4 PACOTES DE ROTHMANS LONDON INTER DOUBLE CLICK BOX"/>
    <m/>
    <m/>
    <m/>
  </r>
  <r>
    <x v="1"/>
    <s v="No prazo"/>
    <x v="2"/>
    <x v="11"/>
    <d v="2026-03-16T00:00:00"/>
    <x v="40"/>
    <d v="2026-03-18T00:00:00"/>
    <d v="2026-03-18T00:00:00"/>
    <s v=" "/>
    <s v="MIL"/>
    <x v="0"/>
    <x v="0"/>
    <s v=" "/>
    <s v="CID Curitiba"/>
    <n v="460"/>
    <d v="2026-03-16T00:00:00"/>
    <s v="Curitiba"/>
    <s v="nedson.reis@fadeltransportes.com.br"/>
    <x v="0"/>
    <s v="BR0075727"/>
    <d v="2026-03-10T00:00:00"/>
    <n v="1540358"/>
    <n v="6876001496"/>
    <x v="0"/>
    <s v="falta de kent acess azul maço 3 falta de kent acess vermelho maço 1"/>
    <m/>
    <m/>
    <m/>
    <m/>
    <m/>
    <s v="Sem acesso a etiqueta"/>
    <s v="Nota Fiscal será entregue com falta."/>
    <m/>
    <s v="Cliente recebeu a mercadoria e assinou o canhoto, porém abriu um SAV informando que teve falta.  Vale ressaltar que o cliente recebeu dois pedidos nesse dia "/>
    <m/>
    <m/>
    <m/>
  </r>
  <r>
    <x v="0"/>
    <s v="No prazo"/>
    <x v="2"/>
    <x v="11"/>
    <d v="2026-03-16T00:00:00"/>
    <x v="40"/>
    <d v="2026-03-18T00:00:00"/>
    <d v="2026-03-17T00:00:00"/>
    <s v=" "/>
    <s v="MIL"/>
    <x v="0"/>
    <x v="0"/>
    <s v=" "/>
    <s v="CID Curitiba"/>
    <n v="461"/>
    <d v="2026-03-16T00:00:00"/>
    <s v="Curitiba"/>
    <s v="nedson.reis@fadeltransportes.com "/>
    <x v="0"/>
    <s v="BR0075522"/>
    <d v="2026-03-16T00:00:00"/>
    <n v="1542763"/>
    <n v="6876215578"/>
    <x v="0"/>
    <s v="10215641 DUNHILL BLUE BEND 2.0 BOX 10X1 (FALTOU 1 PACOTE ERAM PRA SER 11 FOI 10) "/>
    <m/>
    <m/>
    <m/>
    <m/>
    <m/>
    <n v="9969334"/>
    <s v="Nota Fiscal será retornada ao estoque"/>
    <m/>
    <s v="FALTOU 1 PACOTE DUNHILL BLUE BEND 2.0 BOX 10X1"/>
    <m/>
    <m/>
    <m/>
  </r>
  <r>
    <x v="2"/>
    <s v="No prazo"/>
    <x v="2"/>
    <x v="11"/>
    <d v="2026-03-18T00:00:00"/>
    <x v="41"/>
    <d v="2026-03-20T00:00:00"/>
    <d v="2026-03-23T00:00:00"/>
    <s v=" "/>
    <s v="MIL"/>
    <x v="0"/>
    <x v="0"/>
    <s v=" "/>
    <s v="CID Curitiba"/>
    <n v="462"/>
    <d v="2026-03-18T00:00:00"/>
    <s v="Curitiba"/>
    <s v="nedson.reis@fadeltransportes.com.br"/>
    <x v="0"/>
    <s v="BR0075517"/>
    <d v="2026-03-18T00:00:00"/>
    <n v="1543648"/>
    <n v="6876265562"/>
    <x v="1"/>
    <s v="Era para ter sido enviado 2 KENT PRATA MAÇO e foi enviado 2 LUCKY STRIKE SOUBLE CLICK"/>
    <m/>
    <m/>
    <m/>
    <m/>
    <m/>
    <n v="9985545"/>
    <s v="Nota Fiscal será retornada ao estoque"/>
    <m/>
    <s v="Era para ter sido enviado 2 KENT PRATA MAÇO e foi enviado 2 LUCKY STRIKE SOUBLE CLICK"/>
    <m/>
    <m/>
    <m/>
  </r>
  <r>
    <x v="2"/>
    <s v="No prazo"/>
    <x v="2"/>
    <x v="11"/>
    <d v="2026-03-18T00:00:00"/>
    <x v="41"/>
    <d v="2026-03-20T00:00:00"/>
    <d v="2026-03-23T00:00:00"/>
    <s v=" "/>
    <s v="MIL"/>
    <x v="0"/>
    <x v="0"/>
    <s v=" "/>
    <s v="CID Curitiba"/>
    <n v="463"/>
    <d v="2026-03-18T00:00:00"/>
    <s v="Curitiba"/>
    <s v="caroline.machado@fadeltransportes.com.br"/>
    <x v="0"/>
    <s v="BR0075488"/>
    <d v="2026-03-18T00:00:00"/>
    <n v="1543868"/>
    <n v="6876265943"/>
    <x v="0"/>
    <s v="50066153 MAIS MU CHOCO WHEYFER CHOCOLATE 25G (NÃO FOI ENVIADO) "/>
    <m/>
    <m/>
    <m/>
    <m/>
    <m/>
    <n v="9985182"/>
    <s v="Nota Fiscal será retornada ao estoque"/>
    <m/>
    <s v="NÃO FOI ENVIADO  MAIS MU CHOCO WHEYFER CHOCOLATE 25G"/>
    <m/>
    <m/>
    <m/>
  </r>
  <r>
    <x v="2"/>
    <s v="No prazo"/>
    <x v="2"/>
    <x v="11"/>
    <d v="2026-03-18T00:00:00"/>
    <x v="41"/>
    <d v="2026-03-20T00:00:00"/>
    <d v="2026-03-23T00:00:00"/>
    <s v=" "/>
    <s v="MIL"/>
    <x v="0"/>
    <x v="0"/>
    <s v=" "/>
    <s v="CID Curitiba"/>
    <n v="464"/>
    <d v="2026-03-18T00:00:00"/>
    <s v="Curitiba"/>
    <s v="caroline.machado@fadeltransportes.com.br"/>
    <x v="0"/>
    <s v="BR0075727"/>
    <d v="2026-03-18T00:00:00"/>
    <n v="1543847"/>
    <n v="6876213527"/>
    <x v="0"/>
    <s v="10226405 ROTHMANS HAND SELEC CORE BLUE BOX (FALTANDO 4 PACOTES) "/>
    <m/>
    <m/>
    <m/>
    <m/>
    <m/>
    <n v="9985322"/>
    <s v="Nota Fiscal será retornada ao estoque"/>
    <m/>
    <s v="FALTANDO 4 PACOTES DE ROTHMANS HAND SELEC CORE BLUE BOX"/>
    <m/>
    <m/>
    <m/>
  </r>
  <r>
    <x v="2"/>
    <s v="No prazo"/>
    <x v="2"/>
    <x v="11"/>
    <d v="2026-03-18T00:00:00"/>
    <x v="41"/>
    <d v="2026-03-20T00:00:00"/>
    <d v="2026-03-23T00:00:00"/>
    <s v=" "/>
    <s v="MIL"/>
    <x v="0"/>
    <x v="0"/>
    <s v=" "/>
    <s v="CID Curitiba"/>
    <n v="465"/>
    <d v="2026-03-18T00:00:00"/>
    <s v="Curitiba"/>
    <s v="caroline.machado@fadeltransportes.com.br"/>
    <x v="0"/>
    <s v="BR0075727"/>
    <d v="2026-03-18T00:00:00"/>
    <n v="1543555"/>
    <n v="6876179267"/>
    <x v="0"/>
    <s v="10223123 DUNHILL OFF LONDON BLUE BLEND BOX (FALTA 4 PACOTES) "/>
    <m/>
    <m/>
    <m/>
    <m/>
    <m/>
    <n v="9985301"/>
    <s v="Nota Fiscal será retornada ao estoque"/>
    <m/>
    <s v="FALTA 4 PACOTES DUNHILL OFF LONDON BLUE BLEND BOX "/>
    <m/>
    <m/>
    <m/>
  </r>
  <r>
    <x v="2"/>
    <s v="No prazo"/>
    <x v="2"/>
    <x v="11"/>
    <d v="2026-03-18T00:00:00"/>
    <x v="41"/>
    <d v="2026-03-20T00:00:00"/>
    <d v="2026-03-23T00:00:00"/>
    <s v=" "/>
    <s v="MIL"/>
    <x v="0"/>
    <x v="0"/>
    <s v=" "/>
    <s v="CID Curitiba"/>
    <n v="466"/>
    <d v="2026-03-18T00:00:00"/>
    <s v="Curitiba"/>
    <s v="caroline.machado@fadeltransportes.com.br"/>
    <x v="0"/>
    <s v="BR0075802"/>
    <d v="2026-03-18T00:00:00"/>
    <n v="1543747"/>
    <n v="6876241386"/>
    <x v="0"/>
    <s v="50065430 TUBES MORANGO CITRICO 15G 10 (FALTA OS 10) "/>
    <m/>
    <m/>
    <m/>
    <m/>
    <m/>
    <n v="9985586"/>
    <s v="Nota Fiscal será retornada ao estoque"/>
    <m/>
    <s v="FALTA OS 10 TUBES MORANGO CITRICO 15G"/>
    <m/>
    <m/>
    <m/>
  </r>
  <r>
    <x v="2"/>
    <s v="No prazo"/>
    <x v="2"/>
    <x v="11"/>
    <d v="2026-03-18T00:00:00"/>
    <x v="41"/>
    <d v="2026-03-20T00:00:00"/>
    <d v="2026-03-23T00:00:00"/>
    <s v=" "/>
    <s v="MIL"/>
    <x v="0"/>
    <x v="0"/>
    <s v=" "/>
    <s v="CID Curitiba"/>
    <n v="467"/>
    <d v="2026-03-18T00:00:00"/>
    <s v="Curitiba"/>
    <s v="caroline.machado@fadeltransportes.com.br"/>
    <x v="0"/>
    <s v="BR0219605"/>
    <d v="2026-03-17T00:00:00"/>
    <n v="1543000"/>
    <n v="6876237550"/>
    <x v="0"/>
    <s v="faltou 2 probak 28 uni faltou 2 presto ug fixo c/24 faltou 2 presto ug movel c/24"/>
    <m/>
    <m/>
    <m/>
    <m/>
    <m/>
    <s v="sem informação "/>
    <s v="Nota Fiscal será retornada ao estoque"/>
    <m/>
    <s v="faltou 2 probak 28 uni faltou 2 presto ug fixo c/24Faltou 2 presto ug movel c/24"/>
    <m/>
    <m/>
    <m/>
  </r>
  <r>
    <x v="1"/>
    <s v="No prazo"/>
    <x v="2"/>
    <x v="11"/>
    <d v="2026-03-19T00:00:00"/>
    <x v="42"/>
    <d v="2026-03-23T00:00:00"/>
    <d v="2026-03-23T00:00:00"/>
    <s v=" "/>
    <s v="MIL"/>
    <x v="1"/>
    <x v="1"/>
    <s v=" "/>
    <s v="CID Curitiba"/>
    <n v="468"/>
    <d v="2026-03-19T00:00:00"/>
    <s v="Curitiba"/>
    <s v="Julianosavagin@gmail.com"/>
    <x v="1"/>
    <s v="BR0442232"/>
    <d v="2026-03-16T00:00:00"/>
    <n v="1541996"/>
    <n v="6876184869"/>
    <x v="0"/>
    <s v="50994945 isq bic max 24 unidades  10208167 rothmans Londrina global blue 2 pcts"/>
    <m/>
    <m/>
    <m/>
    <m/>
    <m/>
    <n v="0"/>
    <s v="Nota Fiscal será pendenciada"/>
    <m/>
    <s v="Nota ficará pendente de entrega."/>
    <m/>
    <m/>
    <m/>
  </r>
  <r>
    <x v="1"/>
    <s v="No prazo"/>
    <x v="2"/>
    <x v="11"/>
    <d v="2026-03-19T00:00:00"/>
    <x v="42"/>
    <d v="2026-03-23T00:00:00"/>
    <d v="2026-03-23T00:00:00"/>
    <s v=" "/>
    <s v="MIL"/>
    <x v="1"/>
    <x v="1"/>
    <s v=" "/>
    <s v="CID Curitiba"/>
    <n v="469"/>
    <d v="2026-03-19T00:00:00"/>
    <s v="Curitiba"/>
    <s v="Julianosavagin@gmail.com"/>
    <x v="1"/>
    <s v="BR0442232"/>
    <d v="2026-03-13T00:00:00"/>
    <n v="1541997"/>
    <n v="6876187761"/>
    <x v="0"/>
    <s v="50067094 mais mu bebida baunilha 12 unidades  50067083 mais mu bebida morango 12 unidades 10223435 dunhill of london 34 pcts  10208004 rothmans hand select cores blue bfc 2 pcts "/>
    <m/>
    <m/>
    <m/>
    <m/>
    <m/>
    <n v="0"/>
    <s v="Nota Fiscal será pendenciada"/>
    <m/>
    <s v="Nota ficará pendente de entrega "/>
    <m/>
    <m/>
    <m/>
  </r>
  <r>
    <x v="1"/>
    <s v="No prazo"/>
    <x v="2"/>
    <x v="11"/>
    <d v="2026-03-19T00:00:00"/>
    <x v="42"/>
    <d v="2026-03-23T00:00:00"/>
    <d v="2026-03-23T00:00:00"/>
    <s v=" "/>
    <s v="MIL"/>
    <x v="1"/>
    <x v="1"/>
    <s v=" "/>
    <s v="CID Curitiba"/>
    <n v="470"/>
    <d v="2026-03-19T00:00:00"/>
    <s v="Curitiba"/>
    <s v="Julianosavagin@gmail.com"/>
    <x v="1"/>
    <s v="BR0442232"/>
    <d v="2026-03-16T00:00:00"/>
    <n v="1541998"/>
    <n v="6876187790"/>
    <x v="0"/>
    <s v="50994945 isq bic max 24 unidades  50994931 isq bic mini 24 unidades  10208004 rothmans hand select blue bfc 11 pacotes  10224472 dunhill insígnia red box 1 pacotes "/>
    <m/>
    <m/>
    <m/>
    <m/>
    <m/>
    <n v="0"/>
    <s v="Nota Fiscal será pendenciada"/>
    <m/>
    <s v="Nota ficará pendente de entrega "/>
    <m/>
    <m/>
    <m/>
  </r>
  <r>
    <x v="1"/>
    <s v="No prazo"/>
    <x v="2"/>
    <x v="11"/>
    <d v="2026-03-19T00:00:00"/>
    <x v="42"/>
    <d v="2026-03-23T00:00:00"/>
    <d v="2026-03-23T00:00:00"/>
    <s v=" "/>
    <s v="MIL"/>
    <x v="1"/>
    <x v="1"/>
    <s v=" "/>
    <s v="CID Curitiba"/>
    <n v="471"/>
    <d v="2026-03-19T00:00:00"/>
    <s v="Curitiba"/>
    <s v="Julianosavagin@gmail.com"/>
    <x v="1"/>
    <s v="BR0442232"/>
    <d v="2026-03-18T00:00:00"/>
    <n v="1541992"/>
    <n v="6876184143"/>
    <x v="0"/>
    <s v="50994945 isq bic max 24 unidades  50066599 seda ocb mix slin 1 display  10223112 dunhill of london 1 pacote 10208004 rothmans select blue bfc 14 pacotes  10224472 dunhill insignia red box 1 pacote"/>
    <m/>
    <m/>
    <m/>
    <m/>
    <m/>
    <n v="0"/>
    <s v="Nota Fiscal será pendenciada"/>
    <m/>
    <s v="Nota ficará pendente de entrega "/>
    <m/>
    <m/>
    <m/>
  </r>
  <r>
    <x v="1"/>
    <s v="No prazo"/>
    <x v="2"/>
    <x v="11"/>
    <d v="2026-03-19T00:00:00"/>
    <x v="42"/>
    <d v="2026-03-23T00:00:00"/>
    <d v="2026-03-23T00:00:00"/>
    <s v=" "/>
    <s v="MIL"/>
    <x v="1"/>
    <x v="1"/>
    <s v=" "/>
    <s v="CID Curitiba"/>
    <n v="472"/>
    <d v="2026-03-19T00:00:00"/>
    <s v="Curitiba"/>
    <s v="Dionewaleski22@gmail.com"/>
    <x v="1"/>
    <s v="BR0442251"/>
    <d v="2026-03-19T00:00:00"/>
    <n v="1541989"/>
    <n v="6876160246"/>
    <x v="2"/>
    <s v="Falta de todos os produtos "/>
    <m/>
    <m/>
    <m/>
    <m/>
    <m/>
    <s v="NA"/>
    <s v="Nota Fiscal será pendenciada"/>
    <m/>
    <m/>
    <m/>
    <m/>
    <m/>
  </r>
  <r>
    <x v="1"/>
    <s v="No prazo"/>
    <x v="2"/>
    <x v="11"/>
    <d v="2026-03-19T00:00:00"/>
    <x v="42"/>
    <d v="2026-03-23T00:00:00"/>
    <d v="2026-03-23T00:00:00"/>
    <s v=" "/>
    <s v="MIL"/>
    <x v="1"/>
    <x v="1"/>
    <s v=" "/>
    <s v="CID Curitiba"/>
    <n v="473"/>
    <d v="2026-03-19T00:00:00"/>
    <s v="Curitiba"/>
    <s v="Dionewaleski22@gmail.com"/>
    <x v="1"/>
    <s v="BR0442251"/>
    <d v="2026-03-19T00:00:00"/>
    <n v="1541987"/>
    <n v="6876126442"/>
    <x v="2"/>
    <s v="Falta de todos os produtos "/>
    <m/>
    <m/>
    <m/>
    <m/>
    <m/>
    <s v="NA"/>
    <s v="Nota Fiscal será pendenciada"/>
    <m/>
    <m/>
    <m/>
    <m/>
    <m/>
  </r>
  <r>
    <x v="1"/>
    <s v="No prazo"/>
    <x v="2"/>
    <x v="11"/>
    <d v="2026-03-19T00:00:00"/>
    <x v="42"/>
    <d v="2026-03-23T00:00:00"/>
    <d v="2026-03-23T00:00:00"/>
    <s v=" "/>
    <s v="MIL"/>
    <x v="1"/>
    <x v="1"/>
    <s v=" "/>
    <s v="CID Curitiba"/>
    <n v="474"/>
    <d v="2026-03-19T00:00:00"/>
    <s v="Curitiba"/>
    <s v="Dionewaleski22@gmail.com"/>
    <x v="1"/>
    <s v="BR0442251"/>
    <d v="2026-03-19T00:00:00"/>
    <n v="1541981"/>
    <n v="6876072412"/>
    <x v="2"/>
    <s v="Faltando todos os produtos "/>
    <m/>
    <m/>
    <m/>
    <m/>
    <m/>
    <s v="NA"/>
    <s v="Nota Fiscal será pendenciada"/>
    <m/>
    <m/>
    <m/>
    <m/>
    <m/>
  </r>
  <r>
    <x v="1"/>
    <s v="No prazo"/>
    <x v="2"/>
    <x v="11"/>
    <d v="2026-03-19T00:00:00"/>
    <x v="42"/>
    <d v="2026-03-23T00:00:00"/>
    <d v="2026-03-23T00:00:00"/>
    <s v=" "/>
    <s v="MIL"/>
    <x v="1"/>
    <x v="1"/>
    <s v=" "/>
    <s v="CID Curitiba"/>
    <n v="475"/>
    <d v="2026-03-19T00:00:00"/>
    <s v="Curitiba"/>
    <s v="Dionewaleski22@gmail.com"/>
    <x v="1"/>
    <s v="BR0442251"/>
    <d v="2026-03-19T00:00:00"/>
    <n v="1541994"/>
    <n v="6876184865"/>
    <x v="2"/>
    <s v="Faltando todos os produtos "/>
    <m/>
    <m/>
    <m/>
    <m/>
    <m/>
    <s v="NA"/>
    <s v="Nota Fiscal será pendenciada"/>
    <m/>
    <m/>
    <m/>
    <m/>
    <m/>
  </r>
  <r>
    <x v="2"/>
    <s v="No prazo"/>
    <x v="2"/>
    <x v="12"/>
    <d v="2026-03-24T00:00:00"/>
    <x v="43"/>
    <d v="2026-03-25T00:00:00"/>
    <d v="2026-03-24T00:00:00"/>
    <s v=" "/>
    <s v="MIL"/>
    <x v="0"/>
    <x v="0"/>
    <s v=" "/>
    <s v="CID Curitiba"/>
    <n v="476"/>
    <d v="2026-03-23T00:00:00"/>
    <s v="Curitiba"/>
    <s v="caroline.machado@fadeltransportes.com.br"/>
    <x v="0"/>
    <s v="BR0075564"/>
    <d v="2026-03-23T00:00:00"/>
    <n v="1545523"/>
    <n v="6876333332"/>
    <x v="1"/>
    <s v="Foi enviado lucky strike peterson maço no lugar do lucky strike blue american original"/>
    <m/>
    <m/>
    <m/>
    <m/>
    <m/>
    <n v="10014189"/>
    <s v="Nota Fiscal será retornada ao estoque"/>
    <m/>
    <s v="Foi enviado lucky strike peterson maço no lugar do lucky strike blue american original"/>
    <m/>
    <m/>
    <m/>
  </r>
  <r>
    <x v="2"/>
    <s v="No prazo"/>
    <x v="2"/>
    <x v="12"/>
    <d v="2026-03-24T00:00:00"/>
    <x v="43"/>
    <d v="2026-03-27T00:00:00"/>
    <d v="2026-03-30T00:00:00"/>
    <s v=" "/>
    <s v="MIL"/>
    <x v="0"/>
    <x v="0"/>
    <s v=" "/>
    <s v="CID Curitiba"/>
    <n v="477"/>
    <d v="2026-03-24T00:00:00"/>
    <s v="Curitiba"/>
    <s v="caroline.machado@fadeltransportes.com.br"/>
    <x v="0"/>
    <s v="BR0219601"/>
    <d v="2026-03-24T00:00:00"/>
    <n v="1546140"/>
    <n v="6876354817"/>
    <x v="1"/>
    <s v="Era para ser enviado lucky strike red mix e  no lugar foi enviado rothmans tropical boost"/>
    <m/>
    <m/>
    <m/>
    <m/>
    <m/>
    <n v="10021458"/>
    <s v="Nota Fiscal será retornada ao estoque"/>
    <m/>
    <s v="Era para ser enviado lucky strike red mix e  no lugar foi enviado rothmans tropical boost"/>
    <m/>
    <m/>
    <m/>
  </r>
  <r>
    <x v="0"/>
    <s v="No prazo"/>
    <x v="2"/>
    <x v="12"/>
    <d v="2026-03-24T00:00:00"/>
    <x v="43"/>
    <d v="2026-03-27T00:00:00"/>
    <d v="2026-03-30T00:00:00"/>
    <s v=" "/>
    <s v="MIL"/>
    <x v="0"/>
    <x v="0"/>
    <s v=" "/>
    <s v="CID Curitiba"/>
    <n v="478"/>
    <d v="2026-03-24T00:00:00"/>
    <s v="Curitiba"/>
    <s v="nedson.reis@fadeltransportes.com.br"/>
    <x v="0"/>
    <s v="BR0075517"/>
    <d v="2026-02-27T00:00:00"/>
    <n v="1537148"/>
    <n v="6875988691"/>
    <x v="1"/>
    <s v="Cliente informou que recebeu 50 dunhill In red no Lugar de 50 Dunhill Carlton blend"/>
    <m/>
    <m/>
    <m/>
    <m/>
    <m/>
    <s v="Sem etiqueta "/>
    <s v="Nota Fiscal será entregue com falta."/>
    <m/>
    <m/>
    <m/>
    <m/>
    <m/>
  </r>
  <r>
    <x v="2"/>
    <s v="No prazo"/>
    <x v="2"/>
    <x v="12"/>
    <d v="2026-03-24T00:00:00"/>
    <x v="43"/>
    <d v="2026-03-27T00:00:00"/>
    <d v="2026-03-30T00:00:00"/>
    <s v=" "/>
    <s v="MIL"/>
    <x v="0"/>
    <x v="0"/>
    <s v=" "/>
    <s v="CID Curitiba"/>
    <n v="479"/>
    <d v="2026-03-24T00:00:00"/>
    <s v="Curitiba"/>
    <s v="nedson.reis@fadeltransportes.com.br"/>
    <x v="0"/>
    <s v="BR0219606"/>
    <d v="2026-03-24T00:00:00"/>
    <n v="1545889"/>
    <n v="6876347975"/>
    <x v="1"/>
    <s v="Rothmans signature blue box 1 unidade enviada no lugar de 1 Dunhill Blue blend"/>
    <m/>
    <m/>
    <m/>
    <m/>
    <m/>
    <n v="10021543"/>
    <s v="Nota Fiscal será entregue com falta."/>
    <m/>
    <m/>
    <m/>
    <m/>
    <m/>
  </r>
  <r>
    <x v="0"/>
    <s v="No prazo"/>
    <x v="2"/>
    <x v="12"/>
    <d v="2026-03-24T00:00:00"/>
    <x v="43"/>
    <d v="2026-03-27T00:00:00"/>
    <d v="2026-03-30T00:00:00"/>
    <s v=" "/>
    <s v="MIL"/>
    <x v="0"/>
    <x v="0"/>
    <s v=" "/>
    <s v="CID Curitiba"/>
    <n v="480"/>
    <d v="2026-03-24T00:00:00"/>
    <s v="Curitiba"/>
    <s v="caroline.machado@fadeltransportes.com.br"/>
    <x v="0"/>
    <s v="BR0219562"/>
    <d v="2026-03-24T00:00:00"/>
    <n v="1546075"/>
    <n v="6876362365"/>
    <x v="3"/>
    <m/>
    <n v="10224399"/>
    <m/>
    <m/>
    <m/>
    <m/>
    <n v="10021372"/>
    <s v="Nota Fiscal será retornada ao estoque"/>
    <m/>
    <s v="PRODUTO AMAÇADO "/>
    <m/>
    <m/>
    <m/>
  </r>
  <r>
    <x v="2"/>
    <s v="No prazo"/>
    <x v="2"/>
    <x v="12"/>
    <d v="2026-03-24T00:00:00"/>
    <x v="43"/>
    <d v="2026-03-27T00:00:00"/>
    <d v="2026-03-30T00:00:00"/>
    <s v=" "/>
    <s v="MIL"/>
    <x v="0"/>
    <x v="0"/>
    <s v=" "/>
    <s v="CID Curitiba"/>
    <n v="481"/>
    <d v="2026-03-24T00:00:00"/>
    <s v="Curitiba"/>
    <s v="caroline.machado@fadeltransportes.com.br"/>
    <x v="0"/>
    <s v="BR0075865"/>
    <d v="2026-03-24T00:00:00"/>
    <n v="1545765"/>
    <n v="6876322208"/>
    <x v="1"/>
    <s v="Foi enviado Rothmans no lugar de Dunhill of london blue blend box "/>
    <m/>
    <m/>
    <m/>
    <m/>
    <m/>
    <n v="10020898"/>
    <s v="Nota Fiscal será retornada ao estoque"/>
    <m/>
    <s v="Foi enviado Rothmans no lugar de Dunhill of london blue blend box "/>
    <m/>
    <m/>
    <m/>
  </r>
  <r>
    <x v="2"/>
    <s v="No prazo"/>
    <x v="2"/>
    <x v="12"/>
    <d v="2026-03-24T00:00:00"/>
    <x v="43"/>
    <d v="2026-03-27T00:00:00"/>
    <d v="2026-03-30T00:00:00"/>
    <s v=" "/>
    <s v="MIL"/>
    <x v="0"/>
    <x v="0"/>
    <s v=" "/>
    <s v="CID Curitiba"/>
    <n v="482"/>
    <d v="2026-03-24T00:00:00"/>
    <s v="Curitiba"/>
    <s v="caroline.machado@fadeltransportes.com.br"/>
    <x v="0"/>
    <s v="BR0075865"/>
    <d v="2026-03-24T00:00:00"/>
    <n v="1545718"/>
    <n v="6876343448"/>
    <x v="1"/>
    <s v="Foi enviado rothmans no lugar de dunhill blue"/>
    <m/>
    <m/>
    <m/>
    <m/>
    <m/>
    <n v="10020913"/>
    <s v="Nota Fiscal será retornada ao estoque"/>
    <m/>
    <s v="Foi enviado rothmans no lugar de dunhill blue"/>
    <m/>
    <m/>
    <m/>
  </r>
  <r>
    <x v="2"/>
    <s v="No prazo"/>
    <x v="2"/>
    <x v="12"/>
    <d v="2026-03-24T00:00:00"/>
    <x v="43"/>
    <d v="2026-03-27T00:00:00"/>
    <d v="2026-03-30T00:00:00"/>
    <s v=" "/>
    <s v="MIL"/>
    <x v="0"/>
    <x v="0"/>
    <s v=" "/>
    <s v="CID Curitiba"/>
    <n v="483"/>
    <d v="2026-03-24T00:00:00"/>
    <s v="Curitiba"/>
    <s v="caroline.machado@fadeltransportes.com.br"/>
    <x v="0"/>
    <s v="BR0075865"/>
    <d v="2026-03-24T00:00:00"/>
    <n v="1545714"/>
    <n v="6876316269"/>
    <x v="1"/>
    <s v="Foi enviado rothmans no lugar de dunhill blue"/>
    <m/>
    <m/>
    <m/>
    <m/>
    <m/>
    <n v="10020906"/>
    <s v="Nota Fiscal será retornada ao estoque"/>
    <m/>
    <s v="Foi enviado rothmans no lugar de dunhill blue"/>
    <m/>
    <m/>
    <m/>
  </r>
  <r>
    <x v="2"/>
    <s v="No prazo"/>
    <x v="2"/>
    <x v="12"/>
    <d v="2026-03-24T00:00:00"/>
    <x v="43"/>
    <d v="2026-03-27T00:00:00"/>
    <d v="2026-03-30T00:00:00"/>
    <s v=" "/>
    <s v="MIL"/>
    <x v="0"/>
    <x v="0"/>
    <s v=" "/>
    <s v="CID Curitiba"/>
    <n v="484"/>
    <d v="2026-03-24T00:00:00"/>
    <s v="Curitiba"/>
    <s v="caroline.machado@fadeltransportes.com.br"/>
    <x v="0"/>
    <s v="BR0075865"/>
    <d v="2026-03-24T00:00:00"/>
    <n v="1545988"/>
    <n v="6876353891"/>
    <x v="1"/>
    <s v="Foi enviado rothmans no lugar de dunhill blue"/>
    <m/>
    <m/>
    <m/>
    <m/>
    <m/>
    <n v="10020897"/>
    <s v="Nota Fiscal será retornada ao estoque"/>
    <m/>
    <s v="Foi enviado rothmans no lugar de dunhill blue"/>
    <m/>
    <m/>
    <m/>
  </r>
  <r>
    <x v="2"/>
    <s v="No prazo"/>
    <x v="2"/>
    <x v="12"/>
    <d v="2026-03-24T00:00:00"/>
    <x v="43"/>
    <d v="2026-03-27T00:00:00"/>
    <d v="2026-03-30T00:00:00"/>
    <s v=" "/>
    <s v="MIL"/>
    <x v="0"/>
    <x v="0"/>
    <s v=" "/>
    <s v="CID Curitiba"/>
    <n v="485"/>
    <d v="2026-03-24T00:00:00"/>
    <s v="Curitiba"/>
    <s v="caroline.machado@fadeltransportes.com.br"/>
    <x v="0"/>
    <s v="BR0075865"/>
    <d v="2026-03-24T00:00:00"/>
    <n v="1545798"/>
    <n v="6876360518"/>
    <x v="1"/>
    <s v="Foi enviado rothmans no lugar de dunhill blue"/>
    <m/>
    <m/>
    <m/>
    <m/>
    <m/>
    <n v="10020926"/>
    <s v="Nota Fiscal será retornada ao estoque"/>
    <m/>
    <s v="Foi enviado rothmans no lugar de dunhill blue"/>
    <m/>
    <m/>
    <m/>
  </r>
  <r>
    <x v="2"/>
    <s v="No prazo"/>
    <x v="2"/>
    <x v="12"/>
    <d v="2026-03-24T00:00:00"/>
    <x v="43"/>
    <d v="2026-03-27T00:00:00"/>
    <d v="2026-03-30T00:00:00"/>
    <s v=" "/>
    <s v="MIL"/>
    <x v="0"/>
    <x v="0"/>
    <s v=" "/>
    <s v="CID Curitiba"/>
    <n v="486"/>
    <d v="2026-03-24T00:00:00"/>
    <s v="Curitiba"/>
    <s v="caroline.machado@fadeltransportes.com.br"/>
    <x v="0"/>
    <s v="BR0075865"/>
    <d v="2026-03-24T00:00:00"/>
    <n v="1545865"/>
    <n v="6876361883"/>
    <x v="1"/>
    <s v="Foi enviado rothmans no lugar de dunhill blue"/>
    <m/>
    <m/>
    <m/>
    <m/>
    <m/>
    <n v="0"/>
    <s v="Nota Fiscal será retornada ao estoque"/>
    <m/>
    <s v="Foi enviado rothmans no lugar de dunhill blue"/>
    <m/>
    <m/>
    <m/>
  </r>
  <r>
    <x v="2"/>
    <s v="No prazo"/>
    <x v="2"/>
    <x v="12"/>
    <d v="2026-03-24T00:00:00"/>
    <x v="43"/>
    <d v="2026-03-27T00:00:00"/>
    <d v="2026-03-30T00:00:00"/>
    <s v=" "/>
    <s v="MIL"/>
    <x v="0"/>
    <x v="0"/>
    <s v=" "/>
    <s v="CID Curitiba"/>
    <n v="487"/>
    <d v="2026-03-24T00:00:00"/>
    <s v="Curitiba"/>
    <s v="caroline.machado@fadeltransportes.com.br"/>
    <x v="0"/>
    <s v="BR0075598"/>
    <d v="2026-03-24T00:00:00"/>
    <n v="1546110"/>
    <n v="6876367963"/>
    <x v="1"/>
    <s v="Foi enviado rothmans no lugar de dunhill blue"/>
    <m/>
    <m/>
    <m/>
    <m/>
    <m/>
    <n v="0"/>
    <s v="Nota Fiscal será retornada ao estoque"/>
    <m/>
    <s v="Foi enviado rothmans no lugar de dunhill blue"/>
    <m/>
    <m/>
    <m/>
  </r>
  <r>
    <x v="2"/>
    <s v="No prazo"/>
    <x v="2"/>
    <x v="12"/>
    <d v="2026-03-24T00:00:00"/>
    <x v="43"/>
    <d v="2026-03-27T00:00:00"/>
    <d v="2026-03-30T00:00:00"/>
    <s v=" "/>
    <s v="MIL"/>
    <x v="0"/>
    <x v="0"/>
    <s v=" "/>
    <s v="CID Curitiba"/>
    <n v="488"/>
    <d v="2026-03-24T00:00:00"/>
    <s v="Curitiba"/>
    <s v="caroline.machado@fadeltransportes.com.br"/>
    <x v="0"/>
    <s v="BR0075598"/>
    <d v="2026-03-24T00:00:00"/>
    <n v="1546335"/>
    <n v="6876358469"/>
    <x v="1"/>
    <s v="Foi enviado rothmans no lugar de dunhill blue"/>
    <m/>
    <m/>
    <m/>
    <m/>
    <m/>
    <n v="0"/>
    <s v="Nota Fiscal será retornada ao estoque"/>
    <m/>
    <s v="Foi enviado rothmans no lugar de dunhill blue"/>
    <m/>
    <m/>
    <m/>
  </r>
  <r>
    <x v="2"/>
    <s v="No prazo"/>
    <x v="2"/>
    <x v="12"/>
    <d v="2026-03-24T00:00:00"/>
    <x v="43"/>
    <d v="2026-03-27T00:00:00"/>
    <d v="2026-03-30T00:00:00"/>
    <s v=" "/>
    <s v="MIL"/>
    <x v="0"/>
    <x v="0"/>
    <s v=" "/>
    <s v="CID Curitiba"/>
    <n v="489"/>
    <d v="2026-03-24T00:00:00"/>
    <s v="Curitiba"/>
    <s v="caroline.machado@fadeltransportes.com.br"/>
    <x v="0"/>
    <s v="BR0075598"/>
    <d v="2026-03-24T00:00:00"/>
    <n v="1545927"/>
    <n v="6876357632"/>
    <x v="1"/>
    <s v="Foi enviado rothmans no lugar de dunhill blue"/>
    <m/>
    <m/>
    <m/>
    <m/>
    <m/>
    <n v="0"/>
    <s v="Nota Fiscal será retornada ao estoque"/>
    <m/>
    <s v="Foi enviado rothmans no lugar de dunhill blue"/>
    <m/>
    <m/>
    <m/>
  </r>
  <r>
    <x v="2"/>
    <s v="No prazo"/>
    <x v="2"/>
    <x v="12"/>
    <d v="2026-03-24T00:00:00"/>
    <x v="43"/>
    <d v="2026-03-27T00:00:00"/>
    <d v="2026-03-30T00:00:00"/>
    <s v=" "/>
    <s v="MIL"/>
    <x v="0"/>
    <x v="0"/>
    <s v=" "/>
    <s v="CID Curitiba"/>
    <n v="490"/>
    <d v="2026-03-24T00:00:00"/>
    <s v="Curitiba"/>
    <s v="caroline.machado@fadeltransportes.com.br"/>
    <x v="0"/>
    <s v="BR0075598"/>
    <d v="2026-03-24T00:00:00"/>
    <n v="1545835"/>
    <n v="6876356832"/>
    <x v="1"/>
    <s v="Foi enviado rothmans no lugar de dunhill blue"/>
    <m/>
    <m/>
    <m/>
    <m/>
    <m/>
    <n v="0"/>
    <s v="Nota Fiscal será retornada ao estoque"/>
    <m/>
    <s v="Foi enviado rothmans no lugar de dunhill blue"/>
    <m/>
    <m/>
    <m/>
  </r>
  <r>
    <x v="2"/>
    <s v="No prazo"/>
    <x v="2"/>
    <x v="12"/>
    <d v="2026-03-24T00:00:00"/>
    <x v="43"/>
    <d v="2026-03-27T00:00:00"/>
    <d v="2026-03-30T00:00:00"/>
    <s v=" "/>
    <s v="MIL"/>
    <x v="0"/>
    <x v="0"/>
    <s v=" "/>
    <s v="CID Curitiba"/>
    <n v="491"/>
    <d v="2026-03-24T00:00:00"/>
    <s v="Curitiba"/>
    <s v="caroline.machado@fadeltransportes.com.br"/>
    <x v="0"/>
    <s v="BR0075598"/>
    <d v="2026-03-24T00:00:00"/>
    <n v="1546174"/>
    <n v="6876364344"/>
    <x v="1"/>
    <s v="Foi enviado rothmans no lugar de dunhill blue "/>
    <m/>
    <m/>
    <m/>
    <m/>
    <m/>
    <n v="0"/>
    <s v="Nota Fiscal será retornada ao estoque"/>
    <m/>
    <s v="Foi enviado rothmans no lugar de dunhill blue "/>
    <m/>
    <m/>
    <m/>
  </r>
  <r>
    <x v="2"/>
    <s v="No prazo"/>
    <x v="2"/>
    <x v="12"/>
    <d v="2026-03-24T00:00:00"/>
    <x v="43"/>
    <d v="2026-03-27T00:00:00"/>
    <d v="2026-03-30T00:00:00"/>
    <s v=" "/>
    <s v="MIL"/>
    <x v="0"/>
    <x v="0"/>
    <s v=" "/>
    <s v="CID Curitiba"/>
    <n v="492"/>
    <d v="2026-03-24T00:00:00"/>
    <s v="Curitiba"/>
    <s v="caroline.machado@fadeltransportes.com.br"/>
    <x v="0"/>
    <s v="BR0075598"/>
    <d v="2026-03-24T00:00:00"/>
    <n v="1546126"/>
    <n v="6876353065"/>
    <x v="1"/>
    <s v="Foi enviado rothmans no lugar de dunhill blue"/>
    <m/>
    <m/>
    <m/>
    <m/>
    <m/>
    <n v="0"/>
    <s v="Nota Fiscal será retornada ao estoque"/>
    <m/>
    <s v="Foi enviado rothmans no lugar de dunhill blue"/>
    <m/>
    <m/>
    <m/>
  </r>
  <r>
    <x v="2"/>
    <s v="No prazo"/>
    <x v="2"/>
    <x v="12"/>
    <d v="2026-03-24T00:00:00"/>
    <x v="43"/>
    <d v="2026-03-27T00:00:00"/>
    <d v="2026-03-30T00:00:00"/>
    <s v=" "/>
    <s v="MIL"/>
    <x v="0"/>
    <x v="0"/>
    <s v=" "/>
    <s v="CID Curitiba"/>
    <n v="493"/>
    <d v="2026-03-24T00:00:00"/>
    <s v="Curitiba"/>
    <s v="caroline.machado@fadeltransportes.com.br"/>
    <x v="0"/>
    <s v="BR0075598"/>
    <d v="2026-03-24T00:00:00"/>
    <n v="1546104"/>
    <n v="6876367674"/>
    <x v="1"/>
    <s v="Foi enviado rothmans no lugar de dunhill blue"/>
    <m/>
    <m/>
    <m/>
    <m/>
    <m/>
    <n v="0"/>
    <s v="Nota Fiscal será retornada ao estoque"/>
    <m/>
    <s v="Foi enviado rothmans no lugar de dunhill blue"/>
    <m/>
    <m/>
    <m/>
  </r>
  <r>
    <x v="2"/>
    <s v="No prazo"/>
    <x v="2"/>
    <x v="12"/>
    <d v="2026-03-24T00:00:00"/>
    <x v="43"/>
    <d v="2026-03-27T00:00:00"/>
    <d v="2026-03-30T00:00:00"/>
    <s v=" "/>
    <s v="MIL"/>
    <x v="0"/>
    <x v="0"/>
    <s v=" "/>
    <s v="CID Curitiba"/>
    <n v="494"/>
    <d v="2026-03-24T00:00:00"/>
    <s v="Curitiba"/>
    <s v="caroline.machado@fadeltransportes.com.br"/>
    <x v="0"/>
    <s v="BR0075598"/>
    <d v="2026-03-24T00:00:00"/>
    <n v="1546322"/>
    <n v="6876351377"/>
    <x v="1"/>
    <s v="Foi enviado rothmans no lugar de dunhill blue"/>
    <m/>
    <m/>
    <m/>
    <m/>
    <m/>
    <n v="0"/>
    <s v="Nota Fiscal será retornada ao estoque"/>
    <m/>
    <s v="Foi enviado rothmans no lugar de dunhill blue"/>
    <m/>
    <m/>
    <m/>
  </r>
  <r>
    <x v="2"/>
    <s v="No prazo"/>
    <x v="2"/>
    <x v="12"/>
    <d v="2026-03-24T00:00:00"/>
    <x v="43"/>
    <d v="2026-03-27T00:00:00"/>
    <d v="2026-03-30T00:00:00"/>
    <s v=" "/>
    <s v="MIL"/>
    <x v="0"/>
    <x v="0"/>
    <s v=" "/>
    <s v="CID Curitiba"/>
    <n v="495"/>
    <d v="2026-03-24T00:00:00"/>
    <s v="Curitiba"/>
    <s v="caroline.machado@fadeltransportes.com.br"/>
    <x v="0"/>
    <s v="BR0075598"/>
    <d v="2026-03-24T00:00:00"/>
    <n v="1545827"/>
    <n v="6876365181"/>
    <x v="1"/>
    <s v="Foi enviado rothmans no lugar de dunhill blue"/>
    <m/>
    <m/>
    <m/>
    <m/>
    <m/>
    <n v="0"/>
    <s v="Nota Fiscal será retornada ao estoque"/>
    <m/>
    <s v="Foi enviado rothmans no lugar de dunhill blue "/>
    <m/>
    <m/>
    <m/>
  </r>
  <r>
    <x v="2"/>
    <s v="No prazo"/>
    <x v="2"/>
    <x v="12"/>
    <d v="2026-03-24T00:00:00"/>
    <x v="43"/>
    <d v="2026-03-27T00:00:00"/>
    <d v="2026-03-30T00:00:00"/>
    <s v=" "/>
    <s v="MIL"/>
    <x v="0"/>
    <x v="0"/>
    <s v=" "/>
    <s v="CID Curitiba"/>
    <n v="496"/>
    <d v="2026-03-24T00:00:00"/>
    <s v="Curitiba"/>
    <s v="caroline.machado@fadeltransportes.com.br"/>
    <x v="0"/>
    <s v="BR0075865"/>
    <d v="2026-03-24T00:00:00"/>
    <n v="1545973"/>
    <n v="6876341788"/>
    <x v="1"/>
    <s v="Foi enviado rothmans no lugar de dunhill blue"/>
    <m/>
    <m/>
    <m/>
    <m/>
    <m/>
    <n v="10020885"/>
    <s v="Nota Fiscal será entregue com falta."/>
    <m/>
    <s v="Foi enviado rothmans no lugar de dunhill blue"/>
    <m/>
    <m/>
    <m/>
  </r>
  <r>
    <x v="2"/>
    <s v="No prazo"/>
    <x v="2"/>
    <x v="12"/>
    <d v="2026-03-27T00:00:00"/>
    <x v="44"/>
    <d v="2026-04-01T00:00:00"/>
    <d v="2026-04-08T00:00:00"/>
    <s v=" "/>
    <s v="MIL"/>
    <x v="0"/>
    <x v="0"/>
    <s v=" "/>
    <s v="CID Curitiba"/>
    <n v="497"/>
    <d v="2026-03-27T00:00:00"/>
    <s v="Curitiba"/>
    <s v="caroline.machado@fadeltransportes.com.br "/>
    <x v="0"/>
    <s v="BR0075522"/>
    <d v="2026-03-27T00:00:00"/>
    <n v="1547823"/>
    <n v="6876384119"/>
    <x v="0"/>
    <s v="eram 8 pacotes de luck strike red e foi enviado 7"/>
    <m/>
    <m/>
    <m/>
    <m/>
    <m/>
    <n v="10059858"/>
    <s v="Nota Fiscal será retornada ao estoque"/>
    <m/>
    <s v="eram 8 pacotes de luck strike red e foi enviado 7"/>
    <m/>
    <m/>
    <m/>
  </r>
  <r>
    <x v="2"/>
    <s v="No prazo"/>
    <x v="2"/>
    <x v="12"/>
    <d v="2026-03-27T00:00:00"/>
    <x v="44"/>
    <d v="2026-04-01T00:00:00"/>
    <d v="2026-04-08T00:00:00"/>
    <s v=" "/>
    <s v="MIL"/>
    <x v="0"/>
    <x v="0"/>
    <s v=" "/>
    <s v="CID Curitiba"/>
    <n v="498"/>
    <d v="2026-03-27T00:00:00"/>
    <s v="Curitiba"/>
    <s v="caroline.machado@fadeltransportes.com.br"/>
    <x v="0"/>
    <s v="BR0075727"/>
    <d v="2026-03-27T00:00:00"/>
    <n v="1547815"/>
    <n v="6876362935"/>
    <x v="0"/>
    <s v="faltando um pacote Dunhill voyage double refresh "/>
    <m/>
    <m/>
    <m/>
    <m/>
    <m/>
    <n v="10057894"/>
    <s v="Nota Fiscal será retornada ao estoque"/>
    <m/>
    <s v="faltando um pacote Dunhill voyage double refresh "/>
    <m/>
    <m/>
    <m/>
  </r>
  <r>
    <x v="2"/>
    <s v="No prazo"/>
    <x v="2"/>
    <x v="13"/>
    <d v="2026-03-30T00:00:00"/>
    <x v="45"/>
    <d v="2026-04-01T00:00:00"/>
    <d v="2026-04-08T00:00:00"/>
    <s v=" "/>
    <s v="MIL"/>
    <x v="1"/>
    <x v="1"/>
    <s v=" "/>
    <s v="CID Curitiba"/>
    <n v="499"/>
    <d v="2026-03-30T00:00:00"/>
    <s v="Curitiba"/>
    <s v="may.mattoso@gmail.com"/>
    <x v="1"/>
    <s v="BR0442237"/>
    <d v="2026-03-30T00:00:00"/>
    <n v="1547796"/>
    <n v="6876375547"/>
    <x v="0"/>
    <s v="Falta de 2 rotmans Purple Boost 10226388 "/>
    <m/>
    <m/>
    <m/>
    <m/>
    <m/>
    <s v="BR"/>
    <s v="Nota Fiscal será entregue com falta."/>
    <m/>
    <s v="Falta"/>
    <m/>
    <m/>
    <m/>
  </r>
  <r>
    <x v="2"/>
    <s v="No prazo"/>
    <x v="2"/>
    <x v="13"/>
    <d v="2026-03-30T00:00:00"/>
    <x v="45"/>
    <d v="2026-04-01T00:00:00"/>
    <d v="2026-04-08T00:00:00"/>
    <s v=" "/>
    <s v="MIL"/>
    <x v="1"/>
    <x v="1"/>
    <s v=" "/>
    <s v="CID Curitiba"/>
    <n v="500"/>
    <d v="2026-03-30T00:00:00"/>
    <s v="Curitiba"/>
    <s v="may.mattoso@gmail.com"/>
    <x v="1"/>
    <s v="BR0442237"/>
    <d v="2026-03-25T00:00:00"/>
    <n v="1545706"/>
    <n v="6876358736"/>
    <x v="0"/>
    <s v="Falta de 6 pares de unidades de prestobarba Fixo 24 unidades  50062694"/>
    <m/>
    <m/>
    <m/>
    <m/>
    <m/>
    <s v="Br"/>
    <s v="Nota Fiscal será entregue com falta."/>
    <m/>
    <s v="Falta na cartela"/>
    <m/>
    <m/>
    <m/>
  </r>
  <r>
    <x v="2"/>
    <s v="No prazo"/>
    <x v="2"/>
    <x v="13"/>
    <d v="2026-04-06T00:00:00"/>
    <x v="46"/>
    <d v="2026-04-05T00:00:00"/>
    <d v="2026-04-08T00:00:00"/>
    <m/>
    <s v="MIL"/>
    <x v="0"/>
    <x v="0"/>
    <m/>
    <s v="CID Curitiba"/>
    <n v="501"/>
    <d v="2026-03-31T00:00:00"/>
    <s v="Curitiba"/>
    <s v="caroline.machado@fadeltransportes.com.br "/>
    <x v="0"/>
    <s v="BR0075703"/>
    <s v="03/31/2026"/>
    <n v="1549104"/>
    <n v="6876495922"/>
    <x v="0"/>
    <s v="Faltando 4 pacotes Faltando os 4 pacotes de Lucky strike fresh Double Ice "/>
    <m/>
    <m/>
    <m/>
    <m/>
    <m/>
    <s v="NA"/>
    <s v="Nota Fiscal será entregue com falta."/>
    <m/>
    <s v="Falta"/>
    <m/>
    <m/>
    <m/>
  </r>
  <r>
    <x v="2"/>
    <s v="No prazo"/>
    <x v="2"/>
    <x v="13"/>
    <d v="2026-04-06T00:00:00"/>
    <x v="46"/>
    <d v="2026-04-05T00:00:00"/>
    <d v="2026-04-08T00:00:00"/>
    <m/>
    <s v="MIL"/>
    <x v="0"/>
    <x v="0"/>
    <m/>
    <s v="CID Curitiba"/>
    <n v="502"/>
    <d v="2026-03-31T00:00:00"/>
    <s v="Curitiba"/>
    <s v="caroline.machado@fadeltransportes.com.br "/>
    <x v="0"/>
    <s v="BR0075564"/>
    <s v="03/31/2026"/>
    <n v="1549258"/>
    <n v="6876492257"/>
    <x v="0"/>
    <s v="Faltando 1 pacote de Lucky Strike Fresh Wild "/>
    <m/>
    <m/>
    <m/>
    <m/>
    <m/>
    <s v="NA"/>
    <s v="Nota Fiscal será entregue com falta."/>
    <m/>
    <s v="Falta"/>
    <m/>
    <m/>
    <m/>
  </r>
  <r>
    <x v="2"/>
    <s v="No prazo"/>
    <x v="2"/>
    <x v="13"/>
    <d v="2026-04-06T00:00:00"/>
    <x v="46"/>
    <d v="2026-04-05T00:00:00"/>
    <d v="2026-04-08T00:00:00"/>
    <m/>
    <s v="MIL"/>
    <x v="2"/>
    <x v="1"/>
    <m/>
    <s v="CID Curitiba"/>
    <n v="503"/>
    <d v="2026-03-31T00:00:00"/>
    <s v="Curitiba"/>
    <s v="vendedorsilvio@gmail.com"/>
    <x v="1"/>
    <s v="BR0442186"/>
    <s v="03/31/2026"/>
    <n v="1548700"/>
    <n v="6876463611"/>
    <x v="0"/>
    <s v="50994945 ISQ BIC MAX C/6"/>
    <m/>
    <m/>
    <m/>
    <m/>
    <m/>
    <s v="NA"/>
    <s v="Nota Fiscal será entregue com falta."/>
    <m/>
    <s v="Falta"/>
    <m/>
    <m/>
    <m/>
  </r>
  <r>
    <x v="2"/>
    <s v="No prazo"/>
    <x v="2"/>
    <x v="13"/>
    <d v="2026-04-06T00:00:00"/>
    <x v="46"/>
    <d v="2026-04-05T00:00:00"/>
    <d v="2026-04-08T00:00:00"/>
    <m/>
    <s v="MIL"/>
    <x v="0"/>
    <x v="0"/>
    <m/>
    <s v="CID Curitiba"/>
    <n v="504"/>
    <d v="2026-03-31T00:00:00"/>
    <s v="Curitiba"/>
    <s v="nedson.reis@fadeltransportes.com.br"/>
    <x v="0"/>
    <s v="BR0075865"/>
    <s v="03/31/2026"/>
    <n v="1549071"/>
    <n v="6876488348"/>
    <x v="0"/>
    <s v="faLta 1 lucky blue box"/>
    <m/>
    <m/>
    <m/>
    <m/>
    <m/>
    <s v="NA"/>
    <s v="Nota Fiscal será entregue com falta."/>
    <m/>
    <s v="Falta"/>
    <m/>
    <m/>
    <m/>
  </r>
  <r>
    <x v="3"/>
    <s v="No prazo"/>
    <x v="2"/>
    <x v="12"/>
    <d v="2026-04-06T00:00:00"/>
    <x v="44"/>
    <d v="2026-04-01T00:00:00"/>
    <d v="2026-04-08T00:00:00"/>
    <m/>
    <s v="MIL"/>
    <x v="0"/>
    <x v="0"/>
    <m/>
    <s v="CID Curitiba"/>
    <n v="505"/>
    <d v="2026-03-27T00:00:00"/>
    <s v="Curitiba"/>
    <s v="nedson.reis@fadeltransportes.com.br"/>
    <x v="0"/>
    <s v="BR0075522"/>
    <s v="03/27/2026"/>
    <n v="1547823"/>
    <n v="6876384119"/>
    <x v="0"/>
    <s v="lucky red patterson falta 1 pacote"/>
    <m/>
    <m/>
    <m/>
    <m/>
    <m/>
    <s v="NA"/>
    <s v="Nota Fiscal será entregue com falta."/>
    <m/>
    <s v="Falta"/>
    <m/>
    <m/>
    <m/>
  </r>
  <r>
    <x v="2"/>
    <s v="No prazo"/>
    <x v="2"/>
    <x v="12"/>
    <d v="2026-04-06T00:00:00"/>
    <x v="44"/>
    <d v="2026-04-01T00:00:00"/>
    <d v="2026-04-20T00:00:00"/>
    <m/>
    <s v="MIL"/>
    <x v="0"/>
    <x v="2"/>
    <m/>
    <s v="CID Curitiba"/>
    <n v="506"/>
    <d v="2026-04-01T00:00:00"/>
    <s v="Curitiba"/>
    <s v="Valde.souzacruz@hotmail.com"/>
    <x v="1"/>
    <s v="BT0442230"/>
    <d v="2026-01-04T00:00:00"/>
    <n v="1547800"/>
    <n v="6876421417"/>
    <x v="0"/>
    <s v="50994945 isq bic maxi c/6"/>
    <m/>
    <m/>
    <m/>
    <m/>
    <m/>
    <m/>
    <s v="Nota Fiscal será entregue com falta."/>
    <m/>
    <s v="Falta"/>
    <m/>
    <m/>
    <m/>
  </r>
  <r>
    <x v="2"/>
    <s v="No prazo"/>
    <x v="3"/>
    <x v="13"/>
    <d v="2026-04-06T00:00:00"/>
    <x v="47"/>
    <d v="2026-04-08T00:00:00"/>
    <d v="2026-04-20T00:00:00"/>
    <m/>
    <s v="MIL"/>
    <x v="0"/>
    <x v="1"/>
    <m/>
    <s v="CID Curitiba"/>
    <n v="506"/>
    <d v="2026-04-02T00:00:00"/>
    <s v="Curitiba"/>
    <s v="Valde.souzacruz@hotmail.com"/>
    <x v="1"/>
    <s v="BR0442230"/>
    <d v="2026-04-01T00:00:00"/>
    <n v="1547800"/>
    <n v="6876421417"/>
    <x v="0"/>
    <s v="50994945 isq bic maxi c/6"/>
    <m/>
    <m/>
    <m/>
    <m/>
    <m/>
    <s v="Faltou a cx inteira"/>
    <s v="Nota Fiscal será entregue com falta."/>
    <m/>
    <s v="Faltou na carga tpe era pra ser duas cx veio apenas 1"/>
    <m/>
    <m/>
    <m/>
  </r>
  <r>
    <x v="2"/>
    <s v="No prazo"/>
    <x v="3"/>
    <x v="14"/>
    <d v="2026-04-08T00:00:00"/>
    <x v="48"/>
    <d v="2026-04-10T00:00:00"/>
    <d v="2026-04-20T00:00:00"/>
    <m/>
    <s v="MIL"/>
    <x v="0"/>
    <x v="0"/>
    <m/>
    <s v="CID Curitiba"/>
    <n v="507"/>
    <d v="2026-04-07T00:00:00"/>
    <s v="Curitiba"/>
    <s v="nedson.reis@fadeltransportes.com.br"/>
    <x v="0"/>
    <s v="BR0219606"/>
    <d v="2026-04-07T00:00:00"/>
    <n v="1551185"/>
    <n v="6876578872"/>
    <x v="1"/>
    <s v="Enviado 2 pacotes de dunhill Ice refresh no lugar de dunhill double refresh"/>
    <m/>
    <m/>
    <m/>
    <m/>
    <m/>
    <n v="10120613"/>
    <s v="Nota Fiscal será entregue com falta."/>
    <m/>
    <s v="Inversão de 2 pacotes"/>
    <m/>
    <m/>
    <m/>
  </r>
  <r>
    <x v="2"/>
    <s v="No prazo"/>
    <x v="3"/>
    <x v="14"/>
    <d v="2026-04-13T00:00:00"/>
    <x v="49"/>
    <d v="2026-04-10T00:00:00"/>
    <d v="2026-04-20T00:00:00"/>
    <m/>
    <s v="MIL"/>
    <x v="0"/>
    <x v="0"/>
    <m/>
    <s v="CID Curitiba"/>
    <n v="508"/>
    <d v="2026-04-10T00:00:00"/>
    <s v="Curitiba"/>
    <s v="nedson.reis@fadeltransportes.com.br"/>
    <x v="0"/>
    <s v="BR0075494"/>
    <d v="2026-04-10T00:00:00"/>
    <n v="1551047"/>
    <n v="6876528163"/>
    <x v="0"/>
    <s v="Rothmans global blue 2 pacotes"/>
    <m/>
    <m/>
    <m/>
    <m/>
    <m/>
    <m/>
    <s v="Nao veio o produto,  somente a nf"/>
    <m/>
    <s v="Nota Fiscal será pendenciada"/>
    <m/>
    <m/>
    <m/>
  </r>
  <r>
    <x v="2"/>
    <s v="No prazo"/>
    <x v="3"/>
    <x v="14"/>
    <d v="2026-04-13T00:00:00"/>
    <x v="49"/>
    <d v="2026-04-10T00:00:00"/>
    <d v="2026-04-20T00:00:00"/>
    <m/>
    <s v="MIL"/>
    <x v="1"/>
    <x v="1"/>
    <m/>
    <s v="CID Curitiba"/>
    <n v="509"/>
    <d v="2026-04-10T00:00:00"/>
    <s v="Curitiba"/>
    <s v="Cascavel502865@gmail.com"/>
    <x v="1"/>
    <s v="BR0442702"/>
    <d v="2026-04-10T00:00:00"/>
    <n v="1550556"/>
    <n v="6876517945"/>
    <x v="2"/>
    <s v="Veio sobrando 10 kent asc.azul 20 lucky Patterson MAÇO Faltando 10 lucky puple mix 20 lucky red MAÇO 5 bolinho laranja "/>
    <m/>
    <m/>
    <m/>
    <m/>
    <m/>
    <m/>
    <s v="Nao veio produto,  so nf "/>
    <m/>
    <s v="Nota Fiscal será pendenciada"/>
    <m/>
    <m/>
    <m/>
  </r>
  <r>
    <x v="2"/>
    <s v="No prazo"/>
    <x v="3"/>
    <x v="15"/>
    <d v="2026-04-13T00:00:00"/>
    <x v="50"/>
    <d v="2026-04-10T00:00:00"/>
    <d v="2026-04-20T00:00:00"/>
    <m/>
    <s v="MIL"/>
    <x v="3"/>
    <x v="1"/>
    <m/>
    <s v="CID Curitiba"/>
    <n v="510"/>
    <d v="2026-04-14T09:27:33"/>
    <s v="Curitiba"/>
    <s v="paulo-bassani@hotmail.com"/>
    <x v="1"/>
    <s v="BR0442235"/>
    <d v="2026-04-13T00:00:00"/>
    <n v="1554097"/>
    <n v="6876686508"/>
    <x v="0"/>
    <s v="Rothmans Global 1 pct"/>
    <m/>
    <m/>
    <m/>
    <m/>
    <m/>
    <m/>
    <s v="Dei falta nessa mercadoria "/>
    <m/>
    <s v="Nota Fiscal será entregue com falta."/>
    <m/>
    <m/>
    <m/>
  </r>
  <r>
    <x v="2"/>
    <s v="No prazo"/>
    <x v="3"/>
    <x v="15"/>
    <d v="2026-04-13T00:00:00"/>
    <x v="50"/>
    <d v="2026-04-10T00:00:00"/>
    <d v="2026-04-20T00:00:00"/>
    <m/>
    <s v="MIL"/>
    <x v="4"/>
    <x v="1"/>
    <m/>
    <s v="CID Curitiba"/>
    <n v="511"/>
    <d v="2026-04-14T09:31:51"/>
    <s v="Curitiba"/>
    <s v="paulo-bassani@hotmail.com"/>
    <x v="1"/>
    <s v="BR0442235"/>
    <d v="2026-04-13T00:00:00"/>
    <n v="1554098"/>
    <n v="6876686509"/>
    <x v="0"/>
    <s v="Rothmans global azul 4 pct "/>
    <m/>
    <m/>
    <m/>
    <m/>
    <m/>
    <m/>
    <m/>
    <m/>
    <m/>
    <m/>
    <m/>
    <m/>
  </r>
  <r>
    <x v="2"/>
    <s v="No prazo"/>
    <x v="3"/>
    <x v="15"/>
    <d v="2026-04-13T00:00:00"/>
    <x v="50"/>
    <d v="2026-04-10T00:00:00"/>
    <d v="2026-04-20T00:00:00"/>
    <m/>
    <s v="MIL"/>
    <x v="5"/>
    <x v="1"/>
    <m/>
    <s v="CID Curitiba"/>
    <n v="512"/>
    <d v="2026-04-14T12:06:54"/>
    <s v="Curitiba"/>
    <s v="francisco8511bat@gmail.com"/>
    <x v="1"/>
    <s v="BR0442240"/>
    <d v="2026-04-13T00:00:00"/>
    <n v="15496599"/>
    <n v="6876500787"/>
    <x v="0"/>
    <s v="Falta 50 luck blu Patterson "/>
    <m/>
    <m/>
    <m/>
    <m/>
    <m/>
    <m/>
    <m/>
    <m/>
    <m/>
    <m/>
    <m/>
    <m/>
  </r>
  <r>
    <x v="2"/>
    <s v="No prazo"/>
    <x v="3"/>
    <x v="15"/>
    <d v="2026-04-20T00:00:00"/>
    <x v="51"/>
    <d v="2026-04-10T00:00:00"/>
    <d v="2026-04-24T00:00:00"/>
    <m/>
    <s v="MIL"/>
    <x v="0"/>
    <x v="2"/>
    <m/>
    <s v="CID Curitiba"/>
    <n v="513"/>
    <d v="2026-04-16T00:00:00"/>
    <s v="Curitiba"/>
    <s v="caroline.machado@fadeltransportes.com.br"/>
    <x v="0"/>
    <s v="BR7005522"/>
    <d v="2026-04-16T00:00:00"/>
    <n v="1555221"/>
    <n v="6876729438"/>
    <x v="0"/>
    <s v="Faltou 1 pacote Rothmans Hand Selected silver box "/>
    <m/>
    <m/>
    <m/>
    <m/>
    <m/>
    <n v="0"/>
    <s v="Nota Fiscal será retornada ao estoque"/>
    <m/>
    <s v="Faltou 1 pacote Rothmans Hand Selected silver box "/>
    <m/>
    <m/>
    <m/>
  </r>
  <r>
    <x v="2"/>
    <s v="No prazo"/>
    <x v="3"/>
    <x v="15"/>
    <d v="2026-04-20T00:00:00"/>
    <x v="52"/>
    <d v="2026-04-23T00:00:00"/>
    <d v="2026-04-24T00:00:00"/>
    <m/>
    <s v="MIL"/>
    <x v="5"/>
    <x v="1"/>
    <m/>
    <s v="CID Curitiba"/>
    <n v="514"/>
    <d v="2026-04-17T00:00:00"/>
    <s v="Curitiba"/>
    <s v="Fernando.frank1@hotmail.com"/>
    <x v="1"/>
    <s v="BR0442246"/>
    <d v="2026-04-15T00:00:00"/>
    <n v="1552473"/>
    <n v="6876573974"/>
    <x v="0"/>
    <s v="0,5 (25 carteiras) 10208167 Rothmans London Global blue box "/>
    <m/>
    <m/>
    <m/>
    <m/>
    <m/>
    <s v="CP1: 9996139"/>
    <s v="Nota Fiscal será entregue com falta."/>
    <m/>
    <s v="Tinha outras notas com Bonificação junto e essa não veio"/>
    <m/>
    <m/>
    <m/>
  </r>
  <r>
    <x v="2"/>
    <s v="No prazo"/>
    <x v="3"/>
    <x v="15"/>
    <d v="2026-04-20T00:00:00"/>
    <x v="52"/>
    <d v="2026-04-23T00:00:00"/>
    <d v="2026-04-24T00:00:00"/>
    <m/>
    <s v="MIL"/>
    <x v="0"/>
    <x v="0"/>
    <m/>
    <s v="CID Curitiba"/>
    <n v="515"/>
    <d v="2026-04-17T00:00:00"/>
    <s v="Curitiba"/>
    <s v="nedson.reis@fadeltransportes.com.br"/>
    <x v="0"/>
    <s v="BR0075517"/>
    <d v="2026-04-14T00:00:00"/>
    <n v="1553675"/>
    <n v="6876687182"/>
    <x v="0"/>
    <s v="isq bic max c/6 6 cartelas"/>
    <m/>
    <m/>
    <m/>
    <m/>
    <m/>
    <s v="sem etiqueta"/>
    <s v="Nota Fiscal será retornada ao estoque"/>
    <m/>
    <m/>
    <m/>
    <m/>
    <m/>
  </r>
  <r>
    <x v="2"/>
    <s v="No prazo"/>
    <x v="3"/>
    <x v="16"/>
    <d v="2026-04-24T00:00:00"/>
    <x v="53"/>
    <d v="2026-04-28T00:00:00"/>
    <d v="2026-04-30T00:00:00"/>
    <m/>
    <s v="MIL"/>
    <x v="5"/>
    <x v="1"/>
    <m/>
    <s v="CID Curitiba"/>
    <n v="516"/>
    <d v="2026-04-22T00:00:00"/>
    <s v="Curitiba"/>
    <s v="Brunofdahmerpsouzac@gmail.com"/>
    <x v="1"/>
    <s v="BR0442185"/>
    <d v="2026-04-09T00:00:00"/>
    <n v="1553152"/>
    <n v="6876649976"/>
    <x v="0"/>
    <s v="50994945 ISQ BIC MAX C/6 44 UNIDADES"/>
    <m/>
    <m/>
    <m/>
    <m/>
    <m/>
    <n v="1553152"/>
    <s v="Nota Fiscal será entregue com falta."/>
    <m/>
    <s v="Falta de 1 cx de isqueiros bic max "/>
    <m/>
    <m/>
    <m/>
  </r>
  <r>
    <x v="2"/>
    <s v="No prazo"/>
    <x v="3"/>
    <x v="16"/>
    <d v="2026-04-24T00:00:00"/>
    <x v="53"/>
    <d v="2026-04-28T00:00:00"/>
    <d v="2026-04-30T00:00:00"/>
    <m/>
    <s v="MIL"/>
    <x v="0"/>
    <x v="0"/>
    <m/>
    <s v="CID Curitiba"/>
    <n v="517"/>
    <d v="2026-04-22T00:00:00"/>
    <s v="Curitiba"/>
    <s v="caroline.machado@fadeltransportes.com.br"/>
    <x v="0"/>
    <s v="BR0075542"/>
    <d v="2026-04-22T00:00:00"/>
    <n v="1556246"/>
    <n v="6876773432"/>
    <x v="0"/>
    <s v="faltando 1 unidades bolinho balduco "/>
    <m/>
    <m/>
    <m/>
    <m/>
    <m/>
    <n v="0"/>
    <s v="Nota Fiscal será retornada ao estoque"/>
    <m/>
    <s v="faltando 1 unidades bolinho balduco "/>
    <m/>
    <m/>
    <m/>
  </r>
  <r>
    <x v="2"/>
    <s v="No prazo"/>
    <x v="3"/>
    <x v="16"/>
    <d v="2026-04-24T00:00:00"/>
    <x v="54"/>
    <d v="2026-04-28T00:00:00"/>
    <d v="2026-04-30T00:00:00"/>
    <m/>
    <s v="MIL"/>
    <x v="5"/>
    <x v="1"/>
    <m/>
    <s v="CID Curitiba"/>
    <n v="518"/>
    <d v="2026-04-23T00:00:00"/>
    <s v="Curitiba"/>
    <s v="Fernando.frank1@hotmail.com"/>
    <x v="1"/>
    <s v="BR0442246"/>
    <d v="2026-04-15T00:00:00"/>
    <n v="1554149"/>
    <n v="6876704750"/>
    <x v="2"/>
    <s v="11pcts Rothmans core Blue box Bonificação "/>
    <m/>
    <m/>
    <m/>
    <m/>
    <m/>
    <s v="Não tenho "/>
    <s v="Nota Fiscal será entregue com falta."/>
    <m/>
    <s v="Falta Bonificação "/>
    <m/>
    <m/>
    <m/>
  </r>
  <r>
    <x v="2"/>
    <s v="No prazo"/>
    <x v="3"/>
    <x v="16"/>
    <d v="2026-04-24T00:00:00"/>
    <x v="54"/>
    <d v="2026-04-28T00:00:00"/>
    <d v="2026-04-30T00:00:00"/>
    <m/>
    <s v="MIL"/>
    <x v="5"/>
    <x v="1"/>
    <m/>
    <s v="CID Curitiba"/>
    <n v="519"/>
    <d v="2026-04-23T00:00:00"/>
    <s v="Curitiba"/>
    <s v="Fernando.frank1@hotmail.com"/>
    <x v="1"/>
    <s v="BR0442246"/>
    <d v="2026-04-15T00:00:00"/>
    <n v="1554162"/>
    <n v="6876549935"/>
    <x v="2"/>
    <s v="32 pcts ROTHMANS core Blue box bonificados "/>
    <m/>
    <m/>
    <m/>
    <m/>
    <m/>
    <s v="Não tenho "/>
    <s v="Nota Fiscal será entregue com falta."/>
    <m/>
    <s v="Falta de Bonificação "/>
    <m/>
    <m/>
    <m/>
  </r>
  <r>
    <x v="2"/>
    <s v="No prazo"/>
    <x v="3"/>
    <x v="16"/>
    <d v="2026-04-24T00:00:00"/>
    <x v="54"/>
    <d v="2026-04-28T00:00:00"/>
    <d v="2026-04-30T00:00:00"/>
    <m/>
    <s v="MIL"/>
    <x v="5"/>
    <x v="1"/>
    <m/>
    <s v="CID Curitiba"/>
    <n v="520"/>
    <d v="2026-04-23T00:00:00"/>
    <s v="Curitiba"/>
    <s v="Fernando.frank1@hotmail.com"/>
    <x v="1"/>
    <s v="BR0442246"/>
    <d v="2026-04-16T00:00:00"/>
    <n v="1555219"/>
    <n v="6876724098"/>
    <x v="2"/>
    <s v="01 pct Rothmans Global blue box bonificado"/>
    <m/>
    <m/>
    <m/>
    <m/>
    <m/>
    <s v="Não tenho "/>
    <s v="Nota Fiscal será entregue com falta."/>
    <m/>
    <s v="Falta de Bonificação "/>
    <m/>
    <m/>
    <m/>
  </r>
  <r>
    <x v="2"/>
    <s v="No prazo"/>
    <x v="3"/>
    <x v="16"/>
    <d v="2026-04-24T00:00:00"/>
    <x v="54"/>
    <d v="2026-04-28T00:00:00"/>
    <d v="2026-04-30T00:00:00"/>
    <m/>
    <s v="MIL"/>
    <x v="5"/>
    <x v="1"/>
    <m/>
    <s v="CID Curitiba"/>
    <n v="521"/>
    <d v="2026-04-23T00:00:00"/>
    <s v="Curitiba"/>
    <s v="Fernando.frank1@hotmail.com"/>
    <x v="1"/>
    <s v="BR0442246"/>
    <d v="2026-04-16T00:00:00"/>
    <n v="1554878"/>
    <n v="6876721962"/>
    <x v="2"/>
    <s v="04 pcts ROTHMANS core Blue box bonificados 01 pct dunhill insigna red box bonificado"/>
    <m/>
    <m/>
    <m/>
    <m/>
    <m/>
    <s v="Não tenho "/>
    <s v="Nota Fiscal será entregue com falta."/>
    <m/>
    <s v="Falta Bonificação "/>
    <m/>
    <m/>
    <m/>
  </r>
  <r>
    <x v="1"/>
    <s v="No prazo"/>
    <x v="3"/>
    <x v="16"/>
    <d v="2026-04-24T00:00:00"/>
    <x v="54"/>
    <d v="2026-04-28T00:00:00"/>
    <d v="2026-04-30T00:00:00"/>
    <m/>
    <s v="MIL"/>
    <x v="0"/>
    <x v="0"/>
    <m/>
    <s v="CID Curitiba"/>
    <n v="522"/>
    <d v="2026-04-23T00:00:00"/>
    <s v="Curitiba"/>
    <s v="caroline.machado@fadeltransportes.com.br"/>
    <x v="0"/>
    <s v="BR0075774"/>
    <d v="2026-04-23T00:00:00"/>
    <n v="1557093"/>
    <n v="6876839212"/>
    <x v="0"/>
    <s v="Falta 1 pacote de  Rothmans global Red "/>
    <m/>
    <m/>
    <m/>
    <m/>
    <m/>
    <n v="10226369"/>
    <s v="Produto foi retirado de outra nota fiscal."/>
    <m/>
    <m/>
    <m/>
    <m/>
    <m/>
  </r>
  <r>
    <x v="2"/>
    <s v="No prazo"/>
    <x v="3"/>
    <x v="16"/>
    <d v="2026-04-24T00:00:00"/>
    <x v="54"/>
    <d v="2026-04-28T00:00:00"/>
    <d v="2026-04-30T00:00:00"/>
    <m/>
    <s v="MIL"/>
    <x v="0"/>
    <x v="0"/>
    <m/>
    <s v="CID Curitiba"/>
    <n v="523"/>
    <d v="2026-04-23T00:00:00"/>
    <s v="Curitiba"/>
    <s v="nedson.reis@fadeltransportes.com.br"/>
    <x v="0"/>
    <s v="BR0075785"/>
    <d v="2026-04-23T00:00:00"/>
    <n v="1557053"/>
    <n v="6876830497"/>
    <x v="0"/>
    <s v="falta 1 pacote de rothmans double click"/>
    <m/>
    <m/>
    <m/>
    <m/>
    <m/>
    <n v="10225026"/>
    <s v="Nota Fiscal será entregue com falta."/>
    <m/>
    <m/>
    <m/>
    <m/>
    <m/>
  </r>
  <r>
    <x v="2"/>
    <s v="No prazo"/>
    <x v="3"/>
    <x v="16"/>
    <d v="2026-04-27T00:00:00"/>
    <x v="55"/>
    <d v="2026-04-29T00:00:00"/>
    <d v="2026-05-05T00:00:00"/>
    <m/>
    <s v="MIL"/>
    <x v="0"/>
    <x v="0"/>
    <m/>
    <s v="CID Curitiba"/>
    <n v="524"/>
    <d v="2026-04-24T00:00:00"/>
    <s v="Curitiba"/>
    <s v="caroline.machado@fadeltransportes.com.br"/>
    <x v="0"/>
    <s v="BR0075494"/>
    <d v="2026-04-24T00:00:00"/>
    <n v="1558172"/>
    <n v="6876875798"/>
    <x v="1"/>
    <s v="(veio 4cartelas de isqueiro Bic mini e 1cartela de bic Max.)  cliente pediu 5 cartelas de bic Max"/>
    <m/>
    <m/>
    <m/>
    <m/>
    <m/>
    <n v="10238094"/>
    <s v="Nota Fiscal será retornada ao estoque"/>
    <m/>
    <s v="(veio 4cartelas de isqueiro Bic mini e 1cartela de bic Max.)  cliente pediu 5 cartelas de bic Max"/>
    <m/>
    <m/>
    <m/>
  </r>
  <r>
    <x v="2"/>
    <s v="No prazo"/>
    <x v="3"/>
    <x v="17"/>
    <d v="2026-04-27T00:00:00"/>
    <x v="56"/>
    <d v="2026-04-29T00:00:00"/>
    <d v="2026-05-05T00:00:00"/>
    <m/>
    <s v="MIL"/>
    <x v="0"/>
    <x v="0"/>
    <m/>
    <s v="CID Curitiba"/>
    <n v="525"/>
    <d v="2026-04-27T00:00:00"/>
    <s v="Curitiba"/>
    <s v="nedson.reis@fadeltransportes.com.br"/>
    <x v="0"/>
    <s v="BR0219603"/>
    <d v="2026-04-23T00:00:00"/>
    <n v="1557598"/>
    <n v="6876846494"/>
    <x v="1"/>
    <s v="Enviado um roth global red no lugar de um lucky strike azul"/>
    <m/>
    <m/>
    <m/>
    <m/>
    <m/>
    <s v="sem etiqueta"/>
    <s v="Nota Fiscal será entregue com falta."/>
    <m/>
    <s v="Inversão de 1 pacote"/>
    <m/>
    <m/>
    <m/>
  </r>
  <r>
    <x v="2"/>
    <s v="No prazo"/>
    <x v="3"/>
    <x v="17"/>
    <d v="2026-04-27T00:00:00"/>
    <x v="56"/>
    <d v="2026-04-29T00:00:00"/>
    <d v="2026-05-05T00:00:00"/>
    <m/>
    <s v="MIL"/>
    <x v="0"/>
    <x v="0"/>
    <m/>
    <s v="CID Curitiba"/>
    <n v="526"/>
    <d v="2026-04-27T00:00:00"/>
    <s v="Curitiba"/>
    <s v="caroline.machado@fadeltransportes.com.br "/>
    <x v="0"/>
    <s v="BR0219601"/>
    <d v="2026-04-27T00:00:00"/>
    <n v="1558520"/>
    <n v="6876883358"/>
    <x v="1"/>
    <s v="era para ser 1 isqueiro mini e 3 isqueiro max "/>
    <m/>
    <m/>
    <m/>
    <m/>
    <m/>
    <n v="10249970"/>
    <s v="Nota Fiscal será retornada ao estoque"/>
    <m/>
    <s v="era para ser 1 isqueiro mini e 3 isqueiro max "/>
    <m/>
    <m/>
    <m/>
  </r>
  <r>
    <x v="3"/>
    <s v="No prazo"/>
    <x v="3"/>
    <x v="17"/>
    <d v="2026-04-27T00:00:00"/>
    <x v="56"/>
    <d v="2026-04-29T00:00:00"/>
    <d v="2026-05-05T00:00:00"/>
    <m/>
    <s v="MIL"/>
    <x v="0"/>
    <x v="0"/>
    <m/>
    <s v="CID Curitiba"/>
    <n v="527"/>
    <d v="2026-04-27T00:00:00"/>
    <s v="Curitiba"/>
    <s v="caroline.machado@fadeltransportes.com.br"/>
    <x v="0"/>
    <s v="BR0219601"/>
    <d v="2026-04-27T00:00:00"/>
    <n v="1558520"/>
    <n v="6876883358"/>
    <x v="1"/>
    <s v="era 5 isqueiro max e tem 4 e 1 isqueiro mini"/>
    <m/>
    <m/>
    <m/>
    <m/>
    <m/>
    <n v="10249970"/>
    <s v="Nota Fiscal será retornada ao estoque"/>
    <m/>
    <s v="era 5 isqueiro max e tem 4 e 1 isqueiro mini"/>
    <m/>
    <m/>
    <m/>
  </r>
  <r>
    <x v="2"/>
    <s v="No prazo"/>
    <x v="3"/>
    <x v="17"/>
    <d v="2026-04-27T00:00:00"/>
    <x v="56"/>
    <d v="2026-04-29T00:00:00"/>
    <d v="2026-05-05T00:00:00"/>
    <m/>
    <s v="MIL"/>
    <x v="0"/>
    <x v="0"/>
    <m/>
    <s v="CID Curitiba"/>
    <n v="528"/>
    <d v="2026-04-27T00:00:00"/>
    <s v="Curitiba"/>
    <s v="caroline.machado@fadeltransportes.com.br"/>
    <x v="0"/>
    <s v="BR0219599"/>
    <d v="2026-04-27T00:00:00"/>
    <n v="1558543"/>
    <n v="6876838067"/>
    <x v="0"/>
    <s v="Eram 5 isqueiros MAX foi enviado 3 e mais 2 MINI no lugar "/>
    <m/>
    <m/>
    <m/>
    <m/>
    <m/>
    <n v="0"/>
    <s v="Nota Fiscal será retornada ao estoque"/>
    <m/>
    <s v="Eram 5 isqueiros MAX foi enviado 3 e mais 2 MINI no lugar "/>
    <m/>
    <m/>
    <m/>
  </r>
  <r>
    <x v="0"/>
    <s v="No prazo"/>
    <x v="3"/>
    <x v="17"/>
    <d v="2026-04-30T00:00:00"/>
    <x v="57"/>
    <d v="2026-05-05T00:00:00"/>
    <d v="2026-05-05T00:00:00"/>
    <m/>
    <s v="MIL"/>
    <x v="5"/>
    <x v="1"/>
    <m/>
    <s v="CID Curitiba"/>
    <n v="529"/>
    <d v="2026-04-28T00:00:00"/>
    <s v="Curitiba"/>
    <s v="paulo-bassani@hotmail.com"/>
    <x v="1"/>
    <s v="BR0442235"/>
    <d v="2026-04-22T00:00:00"/>
    <n v="15496829"/>
    <s v="Nao recebi nfe "/>
    <x v="0"/>
    <s v="..."/>
    <m/>
    <m/>
    <m/>
    <m/>
    <m/>
    <s v="....."/>
    <s v="Nota Fiscal será pendenciada"/>
    <m/>
    <s v="NAO RECIBI A NFE NEM OS PRODUTOS "/>
    <m/>
    <m/>
    <m/>
  </r>
  <r>
    <x v="0"/>
    <s v="No prazo"/>
    <x v="3"/>
    <x v="17"/>
    <d v="2026-04-30T00:00:00"/>
    <x v="57"/>
    <d v="2026-05-05T00:00:00"/>
    <d v="2026-05-05T00:00:00"/>
    <m/>
    <s v="MIL"/>
    <x v="5"/>
    <x v="1"/>
    <m/>
    <s v="CID Curitiba"/>
    <n v="530"/>
    <d v="2026-04-28T00:00:00"/>
    <s v="Curitiba"/>
    <s v="paulo-bassani@hotmail.com"/>
    <x v="1"/>
    <s v="BR0442235"/>
    <d v="2026-04-22T00:00:00"/>
    <n v="15496819"/>
    <s v="...."/>
    <x v="0"/>
    <s v="....."/>
    <m/>
    <m/>
    <m/>
    <m/>
    <m/>
    <s v="..."/>
    <s v="Nota Fiscal será pendenciada"/>
    <m/>
    <s v="Nao veio a Nfe nem os produtos "/>
    <m/>
    <m/>
    <m/>
  </r>
  <r>
    <x v="2"/>
    <s v="No prazo"/>
    <x v="3"/>
    <x v="17"/>
    <d v="2026-04-30T00:00:00"/>
    <x v="57"/>
    <d v="2026-05-05T00:00:00"/>
    <d v="2026-05-05T00:00:00"/>
    <m/>
    <s v="MIL"/>
    <x v="0"/>
    <x v="0"/>
    <m/>
    <s v="CID Curitiba"/>
    <n v="531"/>
    <d v="2026-04-28T00:00:00"/>
    <s v="Curitiba"/>
    <s v="nedson.reis@fadeltransportes.com.br"/>
    <x v="0"/>
    <s v="BR0075564"/>
    <d v="2026-04-28T00:00:00"/>
    <n v="1558987"/>
    <n v="6876911708"/>
    <x v="0"/>
    <s v="Falta 2 pacotes de roth global blue"/>
    <m/>
    <m/>
    <m/>
    <m/>
    <m/>
    <s v="sem etiqueta"/>
    <s v="Nota Fiscal será entregue com falta."/>
    <m/>
    <m/>
    <m/>
    <m/>
    <m/>
  </r>
  <r>
    <x v="0"/>
    <s v="No prazo"/>
    <x v="3"/>
    <x v="17"/>
    <d v="2026-04-30T00:00:00"/>
    <x v="58"/>
    <d v="2026-05-05T00:00:00"/>
    <d v="2026-05-05T00:00:00"/>
    <m/>
    <s v="MIL"/>
    <x v="5"/>
    <x v="1"/>
    <m/>
    <s v="CID Curitiba"/>
    <n v="532"/>
    <d v="2026-04-28T00:00:00"/>
    <s v="Curitiba"/>
    <s v="reservatvlondrina@gmail.com"/>
    <x v="1"/>
    <s v="BR0442242"/>
    <d v="2026-03-31T00:00:00"/>
    <n v="1548787"/>
    <n v="6876476639"/>
    <x v="0"/>
    <s v="10226429 1 kent red/ 10226398 1rot red box "/>
    <m/>
    <m/>
    <m/>
    <m/>
    <m/>
    <n v="0"/>
    <s v="Nota Fiscal será retornada ao estoque"/>
    <m/>
    <m/>
    <m/>
    <m/>
    <m/>
  </r>
  <r>
    <x v="2"/>
    <s v="No prazo"/>
    <x v="3"/>
    <x v="17"/>
    <d v="2026-04-30T00:00:00"/>
    <x v="58"/>
    <d v="2026-05-05T00:00:00"/>
    <d v="2026-05-05T00:00:00"/>
    <m/>
    <s v="MIL"/>
    <x v="5"/>
    <x v="1"/>
    <m/>
    <s v="CID Curitiba"/>
    <n v="533"/>
    <d v="2026-04-29T00:00:00"/>
    <s v="Curitiba"/>
    <s v="Julianosavagin@gmail.com"/>
    <x v="1"/>
    <s v="BR0442232"/>
    <d v="2026-04-29T00:00:00"/>
    <n v="1559947"/>
    <n v="6876920167"/>
    <x v="0"/>
    <s v="10208004 rothmans hand select cores blue box bfc 1 pacote."/>
    <m/>
    <m/>
    <m/>
    <m/>
    <m/>
    <n v="0"/>
    <s v="Nota Fiscal será pendenciada"/>
    <m/>
    <s v="Nota ficará pendente "/>
    <m/>
    <m/>
    <m/>
  </r>
  <r>
    <x v="2"/>
    <s v="No prazo"/>
    <x v="3"/>
    <x v="17"/>
    <d v="2026-04-30T00:00:00"/>
    <x v="58"/>
    <d v="2026-05-05T00:00:00"/>
    <d v="2026-05-05T00:00:00"/>
    <m/>
    <s v="MIL"/>
    <x v="5"/>
    <x v="1"/>
    <m/>
    <s v="CID Curitiba"/>
    <n v="534"/>
    <d v="2026-04-29T00:00:00"/>
    <s v="Curitiba"/>
    <s v="Julianosavagin@gmail.com"/>
    <x v="1"/>
    <s v="BR0442232"/>
    <d v="2026-04-29T00:00:00"/>
    <n v="1559957"/>
    <n v="6876927815"/>
    <x v="0"/>
    <s v="10208004 rothmans hand select core blue box bfc 1 pacote "/>
    <m/>
    <m/>
    <m/>
    <m/>
    <m/>
    <n v="0"/>
    <s v="Nota Fiscal será pendenciada"/>
    <m/>
    <s v="Nota ficará pendente."/>
    <m/>
    <m/>
    <m/>
  </r>
  <r>
    <x v="2"/>
    <s v="No prazo"/>
    <x v="3"/>
    <x v="17"/>
    <d v="2026-04-30T00:00:00"/>
    <x v="58"/>
    <d v="2026-05-05T00:00:00"/>
    <d v="2026-05-05T00:00:00"/>
    <m/>
    <s v="MIL"/>
    <x v="5"/>
    <x v="1"/>
    <m/>
    <s v="CID Curitiba"/>
    <n v="535"/>
    <d v="2026-04-29T00:00:00"/>
    <s v="Curitiba"/>
    <s v="Julianosavagin@gmail.com"/>
    <x v="1"/>
    <s v="BR0442232"/>
    <d v="2026-04-29T00:00:00"/>
    <n v="1559998"/>
    <n v="6876935733"/>
    <x v="0"/>
    <s v="10208004 rothmans hand select core blue box bfc 1 pacotes."/>
    <m/>
    <m/>
    <m/>
    <m/>
    <m/>
    <n v="0"/>
    <s v="Nota Fiscal será pendenciada"/>
    <m/>
    <s v="Nota ficará pendente."/>
    <m/>
    <m/>
    <m/>
  </r>
  <r>
    <x v="2"/>
    <s v="No prazo"/>
    <x v="3"/>
    <x v="17"/>
    <d v="2026-04-30T00:00:00"/>
    <x v="58"/>
    <d v="2026-05-05T00:00:00"/>
    <d v="2026-05-05T00:00:00"/>
    <m/>
    <s v="MIL"/>
    <x v="0"/>
    <x v="0"/>
    <m/>
    <s v="CID Curitiba"/>
    <n v="536"/>
    <d v="2026-04-29T00:00:00"/>
    <s v="Curitiba"/>
    <s v="nedson.reis@fadeltransportes.com.br"/>
    <x v="0"/>
    <s v="BR0219605"/>
    <d v="2026-04-29T00:00:00"/>
    <n v="1559578"/>
    <n v="6876909664"/>
    <x v="0"/>
    <s v="faltando um Lucky Strike red mix"/>
    <m/>
    <m/>
    <m/>
    <m/>
    <m/>
    <n v="10275286"/>
    <s v="Nota Fiscal será retornada ao estoque"/>
    <m/>
    <s v="faltando um Lucky Strike red mix"/>
    <m/>
    <m/>
    <m/>
  </r>
  <r>
    <x v="2"/>
    <s v="No prazo"/>
    <x v="4"/>
    <x v="17"/>
    <d v="2026-05-04T00:00:00"/>
    <x v="59"/>
    <d v="2026-05-06T00:00:00"/>
    <d v="2026-05-05T00:00:00"/>
    <m/>
    <s v="MIL"/>
    <x v="0"/>
    <x v="0"/>
    <m/>
    <s v="CID Curitiba"/>
    <n v="537"/>
    <d v="2026-04-29T12:34:11"/>
    <s v="Curitiba"/>
    <s v="nedson.reis@fadeltransportes.com.br"/>
    <x v="0"/>
    <s v="BR0075542"/>
    <d v="2026-04-30T00:00:00"/>
    <n v="1560219"/>
    <n v="6876962287"/>
    <x v="0"/>
    <s v="Falta 5 carteiras de dunhill double refresh"/>
    <m/>
    <m/>
    <m/>
    <m/>
    <m/>
    <n v="10275286"/>
    <s v="Nota Fiscal será retornada ao estoque"/>
    <m/>
    <m/>
    <m/>
    <m/>
    <m/>
  </r>
  <r>
    <x v="0"/>
    <s v="No prazo"/>
    <x v="4"/>
    <x v="17"/>
    <d v="2026-05-04T00:00:00"/>
    <x v="59"/>
    <d v="2026-05-06T00:00:00"/>
    <d v="2026-05-05T00:00:00"/>
    <m/>
    <s v="MIL"/>
    <x v="6"/>
    <x v="1"/>
    <m/>
    <s v="CID Curitiba"/>
    <n v="538"/>
    <d v="2026-04-30T13:42:52"/>
    <s v="Curitiba"/>
    <s v="Solismarmoraes@hotmail.com"/>
    <x v="1"/>
    <s v="BR0442231"/>
    <d v="2026-04-30T00:00:00"/>
    <n v="1552788"/>
    <n v="687661705"/>
    <x v="0"/>
    <s v="10226445_x000a_10223435"/>
    <m/>
    <m/>
    <m/>
    <m/>
    <m/>
    <s v="Sem etiqueta"/>
    <s v="Nota Fiscal será retornada ao estoque"/>
    <m/>
    <m/>
    <m/>
    <m/>
    <m/>
  </r>
  <r>
    <x v="1"/>
    <s v="No prazo"/>
    <x v="4"/>
    <x v="17"/>
    <d v="2026-05-04T00:00:00"/>
    <x v="59"/>
    <d v="2026-05-06T00:00:00"/>
    <d v="2026-05-05T00:00:00"/>
    <m/>
    <s v="MIL"/>
    <x v="0"/>
    <x v="0"/>
    <m/>
    <s v="CID Curitiba"/>
    <n v="539"/>
    <d v="2026-04-30T16:01:18"/>
    <s v="Curitiba"/>
    <s v="nedson.reis@fadeltransportes.com.br"/>
    <x v="0"/>
    <s v="BR0075598"/>
    <d v="2026-04-30T00:00:00"/>
    <n v="1560436"/>
    <n v="6875988807"/>
    <x v="0"/>
    <s v="falta 3 roth globlal blue"/>
    <m/>
    <m/>
    <m/>
    <m/>
    <m/>
    <s v="28/65"/>
    <s v="Nota Fiscal será entregue com falta."/>
    <m/>
    <m/>
    <m/>
    <m/>
    <m/>
  </r>
  <r>
    <x v="2"/>
    <s v="No prazo"/>
    <x v="4"/>
    <x v="17"/>
    <d v="2026-05-04T00:00:00"/>
    <x v="59"/>
    <d v="2026-05-06T00:00:00"/>
    <d v="2026-05-05T00:00:00"/>
    <m/>
    <s v="MIL"/>
    <x v="0"/>
    <x v="0"/>
    <m/>
    <s v="CID Curitiba"/>
    <n v="540"/>
    <d v="2026-04-30T17:31:23"/>
    <s v="Curitiba"/>
    <s v="nedson.reis@fadeltransportes.com.br"/>
    <x v="0"/>
    <s v="BR0075598"/>
    <d v="2026-04-30T00:00:00"/>
    <n v="1560502"/>
    <n v="6876957005"/>
    <x v="1"/>
    <s v="Foi enviado 3 roth core blue no lugar de 3 lucky double ice"/>
    <m/>
    <m/>
    <m/>
    <m/>
    <m/>
    <s v="Sem etiqueta"/>
    <s v="Nota Fiscal será entregue com falta."/>
    <m/>
    <m/>
    <m/>
    <m/>
    <m/>
  </r>
  <r>
    <x v="2"/>
    <s v="No prazo"/>
    <x v="4"/>
    <x v="17"/>
    <d v="2026-05-04T00:00:00"/>
    <x v="59"/>
    <d v="2026-05-06T00:00:00"/>
    <d v="2026-05-05T00:00:00"/>
    <m/>
    <s v="MIL"/>
    <x v="0"/>
    <x v="0"/>
    <m/>
    <s v="CID Curitiba"/>
    <n v="541"/>
    <d v="2026-04-30T17:35:14"/>
    <s v="Curitiba"/>
    <s v="nedson.reis@fadeltransportes.com.br"/>
    <x v="0"/>
    <s v="BR0075598"/>
    <d v="2026-04-30T00:00:00"/>
    <n v="1560686"/>
    <n v="6876970072"/>
    <x v="0"/>
    <s v="Falta 5 carteiras de roth doble click "/>
    <m/>
    <m/>
    <m/>
    <m/>
    <m/>
    <s v="sem etiqueta"/>
    <s v="Nota Fiscal será entregue com falta."/>
    <m/>
    <m/>
    <m/>
    <m/>
    <m/>
  </r>
  <r>
    <x v="1"/>
    <s v="No prazo"/>
    <x v="4"/>
    <x v="18"/>
    <d v="2026-05-04T00:00:00"/>
    <x v="60"/>
    <d v="2026-05-06T00:00:00"/>
    <d v="2026-05-05T00:00:00"/>
    <m/>
    <s v="MIL"/>
    <x v="0"/>
    <x v="0"/>
    <m/>
    <s v="CID Curitiba"/>
    <n v="542"/>
    <d v="2026-04-30T18:52:01"/>
    <s v="Curitiba"/>
    <s v="nedson.reis@fadeltransportes.com.br"/>
    <x v="0"/>
    <s v="BR0075549"/>
    <d v="2026-04-29T00:00:00"/>
    <n v="1559977"/>
    <n v="6876956011"/>
    <x v="0"/>
    <s v="Kent pro red falta 5 pacotes "/>
    <m/>
    <m/>
    <m/>
    <m/>
    <m/>
    <s v="sem etiqueta"/>
    <s v="Nota Fiscal será entregue com falta."/>
    <m/>
    <m/>
    <m/>
    <m/>
    <m/>
  </r>
  <r>
    <x v="2"/>
    <s v="No prazo"/>
    <x v="4"/>
    <x v="18"/>
    <d v="2026-05-04T00:00:00"/>
    <x v="61"/>
    <d v="2026-05-06T00:00:00"/>
    <d v="2026-05-05T00:00:00"/>
    <m/>
    <s v="MIL"/>
    <x v="0"/>
    <x v="0"/>
    <m/>
    <s v="CID Curitiba"/>
    <n v="543"/>
    <d v="2026-05-04T15:51:43"/>
    <s v="Curitiba"/>
    <s v="nedson.reis@fadeltransportes.com.br"/>
    <x v="0"/>
    <s v="BR0075785"/>
    <d v="2026-04-28T00:00:00"/>
    <n v="1559026"/>
    <n v="6876920773"/>
    <x v="1"/>
    <s v="Enviado 1 pacote de roth red box no lugar de 1 pacote roth blue white classic"/>
    <m/>
    <m/>
    <m/>
    <m/>
    <m/>
    <s v="sem etiqueta"/>
    <s v="Nota Fiscal será retornada ao estoque"/>
    <m/>
    <m/>
    <m/>
    <m/>
    <m/>
  </r>
  <r>
    <x v="2"/>
    <s v="No prazo"/>
    <x v="4"/>
    <x v="18"/>
    <d v="2026-05-04T00:00:00"/>
    <x v="61"/>
    <d v="2026-05-06T00:00:00"/>
    <d v="2026-05-05T00:00:00"/>
    <m/>
    <s v="MIL"/>
    <x v="0"/>
    <x v="0"/>
    <m/>
    <s v="CID Curitiba"/>
    <n v="544"/>
    <d v="2026-05-04T15:53:50"/>
    <s v="Curitiba"/>
    <s v="nedson.reis@fadeltransportes.com.br"/>
    <x v="0"/>
    <s v="BR0075598"/>
    <d v="2026-04-30T00:00:00"/>
    <n v="1560335"/>
    <n v="6876950467"/>
    <x v="0"/>
    <s v="Falta 2 pacotes de lucky strike blue patterson"/>
    <m/>
    <m/>
    <m/>
    <m/>
    <m/>
    <s v="sem etiqueta"/>
    <s v="Nota Fiscal será retornada ao estoque"/>
    <m/>
    <m/>
    <m/>
    <m/>
    <m/>
  </r>
  <r>
    <x v="2"/>
    <s v="No prazo"/>
    <x v="4"/>
    <x v="18"/>
    <d v="2026-05-05T00:00:00"/>
    <x v="61"/>
    <d v="2026-05-06T00:00:00"/>
    <d v="2026-05-05T00:00:00"/>
    <m/>
    <s v="MIL"/>
    <x v="0"/>
    <x v="0"/>
    <m/>
    <s v="CID Curitiba"/>
    <n v="545"/>
    <d v="2026-05-05T09:56:43"/>
    <s v="Curitiba"/>
    <s v="nedson.reis@fadeltransportes.com.br"/>
    <x v="0"/>
    <s v="BR0075564"/>
    <d v="2026-05-05T00:00:00"/>
    <n v="1561438"/>
    <n v="6876989112"/>
    <x v="1"/>
    <s v="2 pacotes de lucky strike invertido. Mandaram 2 fresh mint no lugar de 2 fresh double"/>
    <m/>
    <m/>
    <m/>
    <m/>
    <m/>
    <n v="10310431"/>
    <s v="Nota Fiscal será entregue com falta."/>
    <m/>
    <m/>
    <m/>
    <m/>
    <m/>
  </r>
  <r>
    <x v="2"/>
    <s v="No prazo"/>
    <x v="4"/>
    <x v="18"/>
    <d v="2026-05-05T00:00:00"/>
    <x v="61"/>
    <d v="2026-05-06T00:00:00"/>
    <d v="2026-05-05T00:00:00"/>
    <m/>
    <s v="MIL"/>
    <x v="0"/>
    <x v="0"/>
    <m/>
    <s v="CID Curitiba"/>
    <n v="546"/>
    <d v="2026-05-05T11:25:06"/>
    <s v="Curitiba"/>
    <s v="nedson.reis@fadeltransportes.com.br"/>
    <x v="0"/>
    <s v="BR0219600"/>
    <d v="2026-05-05T00:00:00"/>
    <n v="1561416"/>
    <n v="6877005261"/>
    <x v="0"/>
    <s v="1 cartela com 6 unidades de isqueiro  BIC DECOR TREND "/>
    <m/>
    <m/>
    <m/>
    <m/>
    <m/>
    <n v="10311262"/>
    <s v="Nota Fiscal será entregue com falta."/>
    <m/>
    <m/>
    <m/>
    <m/>
    <m/>
  </r>
  <r>
    <x v="2"/>
    <s v="No prazo"/>
    <x v="4"/>
    <x v="18"/>
    <d v="2026-05-11T00:00:00"/>
    <x v="62"/>
    <m/>
    <d v="2026-05-11T00:00:00"/>
    <m/>
    <s v="MIL"/>
    <x v="0"/>
    <x v="0"/>
    <m/>
    <s v="CID Curitiba"/>
    <n v="547"/>
    <d v="2026-05-07T11:19:25"/>
    <s v="Curitiba"/>
    <s v="nedson.reis@fadeltransportes.com.br"/>
    <x v="0"/>
    <s v="BR0219603"/>
    <d v="2026-05-06T00:00:00"/>
    <n v="1561793"/>
    <n v="6876995603"/>
    <x v="1"/>
    <s v="Enviado 6 pacotes de dunhill in red no lugar de 6 pacotes de kent pro red"/>
    <m/>
    <m/>
    <m/>
    <m/>
    <m/>
    <n v="10325626"/>
    <s v="Nota Fiscal será retornada ao estoque"/>
    <m/>
    <m/>
    <m/>
    <m/>
    <m/>
  </r>
  <r>
    <x v="2"/>
    <s v="No prazo"/>
    <x v="4"/>
    <x v="18"/>
    <d v="2026-05-11T00:00:00"/>
    <x v="63"/>
    <m/>
    <d v="2026-05-11T00:00:00"/>
    <m/>
    <s v="MIL"/>
    <x v="0"/>
    <x v="0"/>
    <m/>
    <s v="CID Curitiba"/>
    <n v="548"/>
    <d v="2026-05-07T11:51:15"/>
    <s v="Curitiba"/>
    <s v="nedson.reis@fadeltransportes.com.br"/>
    <x v="0"/>
    <s v="BR0075598"/>
    <d v="2026-05-07T00:00:00"/>
    <n v="1562528"/>
    <n v="6877041956"/>
    <x v="0"/>
    <s v="falta 1 cartela com 6 unidades de isqueiro decor"/>
    <m/>
    <m/>
    <m/>
    <m/>
    <m/>
    <n v="10333151"/>
    <s v="Nota Fiscal será entregue com falta."/>
    <m/>
    <m/>
    <m/>
    <m/>
    <m/>
  </r>
  <r>
    <x v="2"/>
    <s v="No prazo"/>
    <x v="4"/>
    <x v="18"/>
    <d v="2026-05-11T00:00:00"/>
    <x v="63"/>
    <m/>
    <d v="2026-05-11T00:00:00"/>
    <m/>
    <s v="MIL"/>
    <x v="0"/>
    <x v="0"/>
    <m/>
    <s v="CID Curitiba"/>
    <n v="549"/>
    <d v="2026-05-08T10:39:21"/>
    <s v="Curitiba"/>
    <s v="nedson.reis@fadeltransportes.com.br"/>
    <x v="0"/>
    <s v="BR0075517"/>
    <d v="2026-05-08T00:00:00"/>
    <n v="1563055"/>
    <n v="6877090560"/>
    <x v="1"/>
    <s v="Era pra vir lucky red mix mandaram lucky blue paterson"/>
    <m/>
    <m/>
    <m/>
    <m/>
    <m/>
    <s v="sem etiqueta"/>
    <s v="Nota Fiscal será retornada ao estoque"/>
    <m/>
    <m/>
    <m/>
    <m/>
    <m/>
  </r>
  <r>
    <x v="2"/>
    <s v="No prazo"/>
    <x v="4"/>
    <x v="18"/>
    <d v="2026-05-11T00:00:00"/>
    <x v="63"/>
    <m/>
    <d v="2026-05-11T00:00:00"/>
    <m/>
    <s v="MIL"/>
    <x v="0"/>
    <x v="0"/>
    <m/>
    <s v="CID Curitiba"/>
    <n v="550"/>
    <d v="2026-05-08T11:34:50"/>
    <s v="Curitiba"/>
    <s v="nedson.reis@fadeltransportes.com.br"/>
    <x v="0"/>
    <s v="BR0219606"/>
    <d v="2026-05-08T00:00:00"/>
    <n v="1563016"/>
    <n v="6877001934"/>
    <x v="1"/>
    <s v="Inversão foi enviado dunhill double no lugar de lucky strike double"/>
    <m/>
    <m/>
    <m/>
    <m/>
    <m/>
    <n v="10342264"/>
    <s v="Nota Fiscal será entregue com falta."/>
    <m/>
    <m/>
    <m/>
    <m/>
    <m/>
  </r>
  <r>
    <x v="0"/>
    <s v="No prazo"/>
    <x v="4"/>
    <x v="18"/>
    <d v="2026-05-11T00:00:00"/>
    <x v="64"/>
    <m/>
    <m/>
    <m/>
    <s v="MIL"/>
    <x v="0"/>
    <x v="1"/>
    <m/>
    <s v="CID Curitiba"/>
    <n v="551"/>
    <d v="2026-05-09T08:06:32"/>
    <s v="Curitiba"/>
    <s v="Valde.souzacruz@hotmail.com"/>
    <x v="1"/>
    <s v="BR0442230"/>
    <d v="2026-05-05T00:00:00"/>
    <n v="1560334"/>
    <n v="6876971476"/>
    <x v="0"/>
    <s v="10226405 rotmans hand select cor blue box_x000a_10227896 Lucky STRIKE double click box"/>
    <m/>
    <m/>
    <m/>
    <m/>
    <m/>
    <s v="Tpe"/>
    <s v="Nota Fiscal será entregue com falta."/>
    <m/>
    <m/>
    <m/>
    <m/>
    <m/>
  </r>
  <r>
    <x v="2"/>
    <s v="No prazo"/>
    <x v="4"/>
    <x v="18"/>
    <d v="2026-05-11T00:00:00"/>
    <x v="64"/>
    <m/>
    <d v="2026-05-11T00:00:00"/>
    <m/>
    <s v="MIL"/>
    <x v="0"/>
    <x v="1"/>
    <m/>
    <s v="CID Curitiba"/>
    <n v="552"/>
    <d v="2026-05-09T08:13:00"/>
    <s v="Curitiba"/>
    <s v="Valde.souzacruz@hotmail.com"/>
    <x v="1"/>
    <s v="BR0442230"/>
    <d v="2026-05-07T00:00:00"/>
    <n v="1562336"/>
    <n v="6877052099"/>
    <x v="0"/>
    <s v="5065432 tubes pinta lingua"/>
    <m/>
    <m/>
    <m/>
    <m/>
    <m/>
    <s v="Tpe"/>
    <s v="Nota Fiscal será entregue com falta."/>
    <m/>
    <m/>
    <m/>
    <m/>
    <m/>
  </r>
  <r>
    <x v="2"/>
    <s v="No prazo"/>
    <x v="4"/>
    <x v="19"/>
    <d v="2026-05-15T00:00:00"/>
    <x v="65"/>
    <m/>
    <m/>
    <m/>
    <s v="MIL"/>
    <x v="0"/>
    <x v="0"/>
    <m/>
    <s v="CID Curitiba"/>
    <n v="553"/>
    <d v="2026-05-12T09:53:03"/>
    <s v="Curitiba"/>
    <s v="nedson.reis@fadeltransportes.com.br"/>
    <x v="0"/>
    <s v="BR0075485"/>
    <d v="2026-05-11T00:00:00"/>
    <n v="1563497"/>
    <n v="6877095438"/>
    <x v="1"/>
    <s v="Enviado 0.5 dunhill evoque tabaco no lugar de 0.5 roth double click"/>
    <m/>
    <m/>
    <m/>
    <m/>
    <m/>
    <s v="sem etiqueta"/>
    <s v="Nota Fiscal será entregue com falta."/>
    <m/>
    <m/>
    <m/>
    <m/>
    <m/>
  </r>
  <r>
    <x v="2"/>
    <s v="No prazo"/>
    <x v="4"/>
    <x v="19"/>
    <d v="2026-05-15T00:00:00"/>
    <x v="66"/>
    <m/>
    <m/>
    <m/>
    <s v="MIL"/>
    <x v="0"/>
    <x v="1"/>
    <m/>
    <s v="CID Curitiba"/>
    <n v="554"/>
    <d v="2026-05-15T09:27:38"/>
    <s v="Curitiba"/>
    <s v="Dionewaleski22@gmail.com"/>
    <x v="1"/>
    <s v="BR0442251"/>
    <d v="2026-05-14T00:00:00"/>
    <n v="1564438"/>
    <n v="6877155941"/>
    <x v="0"/>
    <s v="7 cartelas prestobarba ultragrip Fixo "/>
    <m/>
    <m/>
    <m/>
    <m/>
    <m/>
    <s v="Na"/>
    <s v="Nota Fiscal será entregue com falta."/>
    <m/>
    <m/>
    <m/>
    <m/>
    <m/>
  </r>
  <r>
    <x v="0"/>
    <s v="No prazo"/>
    <x v="4"/>
    <x v="19"/>
    <d v="2026-05-22T00:00:00"/>
    <x v="66"/>
    <m/>
    <m/>
    <m/>
    <s v="MIL"/>
    <x v="0"/>
    <x v="1"/>
    <m/>
    <s v="CID Curitiba"/>
    <n v="555"/>
    <d v="2026-05-15T17:22:11"/>
    <s v="Curitiba"/>
    <s v="Valde.souzacruz@hotmail.com"/>
    <x v="1"/>
    <s v="BR0442230"/>
    <d v="2026-05-12T00:00:00"/>
    <n v="1560354"/>
    <n v="6876971476"/>
    <x v="0"/>
    <s v="Faltou uma cx na carga tpe _x000a_Carga foi enviada faltando um palete inteiro_x000a_Depois veio o restante junto com parceria"/>
    <m/>
    <m/>
    <m/>
    <m/>
    <m/>
    <s v="Tpe"/>
    <s v="Nota Fiscal será entregue com falta."/>
    <m/>
    <m/>
    <m/>
    <m/>
    <m/>
  </r>
  <r>
    <x v="0"/>
    <s v="No prazo"/>
    <x v="4"/>
    <x v="19"/>
    <d v="2026-05-22T00:00:00"/>
    <x v="66"/>
    <m/>
    <m/>
    <m/>
    <s v="MIL"/>
    <x v="0"/>
    <x v="1"/>
    <m/>
    <s v="CID Curitiba"/>
    <n v="556"/>
    <d v="2026-05-15T17:38:47"/>
    <s v="Curitiba"/>
    <s v="Valde.souzacruz@hotmail.com"/>
    <x v="1"/>
    <s v="BR0442230"/>
    <d v="2026-05-05T00:00:00"/>
    <n v="1560354"/>
    <n v="6876971476"/>
    <x v="0"/>
    <s v="Faltou uma cx rotmans  blue box_x000a_Na terça dia 12 veio a carga faltando um palete da carga_x000a_Foi enviado dia 14 o restante da carga aí conferido e houve a falta do rotmans e das fini "/>
    <m/>
    <m/>
    <m/>
    <m/>
    <m/>
    <s v="Tpe"/>
    <s v="Nota Fiscal será entregue com falta."/>
    <m/>
    <m/>
    <m/>
    <m/>
    <m/>
  </r>
  <r>
    <x v="2"/>
    <s v="No prazo"/>
    <x v="4"/>
    <x v="20"/>
    <d v="2026-05-22T00:00:00"/>
    <x v="67"/>
    <m/>
    <m/>
    <m/>
    <s v="MIL"/>
    <x v="0"/>
    <x v="0"/>
    <m/>
    <s v="CID Curitiba"/>
    <n v="557"/>
    <d v="2026-05-20T10:41:14"/>
    <s v="Curitiba"/>
    <s v="nedson.reis@fadeltransportes.com.br"/>
    <x v="0"/>
    <s v="BR0219599"/>
    <d v="2026-05-20T00:00:00"/>
    <n v="1566891"/>
    <n v="6877269070"/>
    <x v="1"/>
    <s v="Enviado roth inter blue no lugar de roth click sense . 1 pacote invertido"/>
    <m/>
    <m/>
    <m/>
    <m/>
    <m/>
    <s v="sem etiqueta"/>
    <s v="Nota Fiscal será entregue com falta."/>
    <m/>
    <m/>
    <m/>
    <m/>
    <m/>
  </r>
  <r>
    <x v="2"/>
    <s v="No prazo"/>
    <x v="4"/>
    <x v="20"/>
    <d v="2026-05-22T00:00:00"/>
    <x v="68"/>
    <m/>
    <m/>
    <m/>
    <s v="MIL"/>
    <x v="0"/>
    <x v="0"/>
    <m/>
    <s v="CID Curitiba"/>
    <n v="558"/>
    <d v="2026-05-22T16:05:27"/>
    <s v="Curitiba"/>
    <s v="nedson.reis@fadeltransportes.com.br"/>
    <x v="0"/>
    <s v="BR0219600"/>
    <d v="2026-05-20T00:00:00"/>
    <n v="1566850"/>
    <n v="6877264955"/>
    <x v="1"/>
    <s v="Enviado um pacote de roth blue white no lugar de roth select red"/>
    <m/>
    <m/>
    <m/>
    <m/>
    <m/>
    <n v="10414298"/>
    <s v="Nota Fiscal será entregue com falta."/>
    <m/>
    <m/>
    <m/>
    <m/>
    <m/>
  </r>
  <r>
    <x v="1"/>
    <s v="No prazo"/>
    <x v="4"/>
    <x v="21"/>
    <d v="2026-05-29T00:00:00"/>
    <x v="69"/>
    <m/>
    <m/>
    <m/>
    <s v="MIL"/>
    <x v="0"/>
    <x v="1"/>
    <m/>
    <s v="CID Curitiba"/>
    <n v="559"/>
    <d v="2026-05-26T08:43:51"/>
    <s v="Curitiba"/>
    <s v="fabiopast.bat@gmail.com"/>
    <x v="1"/>
    <s v="BR0442245"/>
    <d v="2026-05-26T00:00:00"/>
    <n v="15685441"/>
    <n v="6877237152"/>
    <x v="0"/>
    <s v="10215610 Dunhill carlton/  Solicitado 500 Dunhill carlton blend, chegou 450, faltando uma caixa, aguardo a reposição desta caixa"/>
    <m/>
    <m/>
    <m/>
    <m/>
    <m/>
    <s v="."/>
    <s v="Nota Fiscal será pendenciada"/>
    <m/>
    <m/>
    <m/>
    <m/>
    <m/>
  </r>
  <r>
    <x v="2"/>
    <s v="No prazo"/>
    <x v="4"/>
    <x v="21"/>
    <d v="2026-05-29T00:00:00"/>
    <x v="70"/>
    <m/>
    <d v="2026-06-03T00:00:00"/>
    <m/>
    <s v="MIL"/>
    <x v="0"/>
    <x v="1"/>
    <m/>
    <s v="CID Curitiba"/>
    <n v="560"/>
    <d v="2026-05-27T11:41:14"/>
    <s v="Curitiba"/>
    <s v="vendedorsilvio@gmail.com"/>
    <x v="1"/>
    <s v="BR0442186"/>
    <d v="2026-05-27T00:00:00"/>
    <n v="1567584"/>
    <n v="6877203315"/>
    <x v="0"/>
    <s v="50994931 isqueiro bic mini / Faltou 12 unidades Bic mini"/>
    <m/>
    <m/>
    <m/>
    <m/>
    <m/>
    <s v="CP1:10429217"/>
    <s v="Nota Fiscal será entregue com falta."/>
    <m/>
    <m/>
    <m/>
    <m/>
    <m/>
  </r>
  <r>
    <x v="0"/>
    <s v="No prazo"/>
    <x v="4"/>
    <x v="21"/>
    <d v="2026-05-29T00:00:00"/>
    <x v="70"/>
    <m/>
    <m/>
    <m/>
    <s v="MIL"/>
    <x v="0"/>
    <x v="1"/>
    <m/>
    <s v="CID Curitiba"/>
    <n v="562"/>
    <d v="2026-05-27T16:22:20"/>
    <s v="Curitiba"/>
    <s v="Solismarmoraes@hotmail.com"/>
    <x v="1"/>
    <s v="BR0442231"/>
    <d v="2026-05-19T00:00:00"/>
    <n v="1565572"/>
    <n v="6877196102"/>
    <x v="0"/>
    <s v="10226425-LUCKY BLUE PATTERSONFOUND1871 BOX HW25/ Caixa lacrada faltando 1 pacote "/>
    <m/>
    <m/>
    <m/>
    <m/>
    <m/>
    <s v="21/27"/>
    <s v="Nota Fiscal será entregue com falta."/>
    <m/>
    <m/>
    <m/>
    <m/>
    <m/>
  </r>
  <r>
    <x v="2"/>
    <s v="No prazo"/>
    <x v="4"/>
    <x v="21"/>
    <d v="2026-05-29T00:00:00"/>
    <x v="70"/>
    <m/>
    <d v="2026-06-03T00:00:00"/>
    <m/>
    <s v="MIL"/>
    <x v="0"/>
    <x v="1"/>
    <m/>
    <s v="CID Curitiba"/>
    <n v="563"/>
    <d v="2026-05-27T16:38:35"/>
    <s v="Curitiba"/>
    <s v="85111623@bat.com"/>
    <x v="1"/>
    <s v="BR0442237"/>
    <d v="2026-05-27T00:00:00"/>
    <n v="1568925"/>
    <n v="6877369590"/>
    <x v="0"/>
    <s v=" 1 pacote 10226455 Kent prata maço _x000a_1 pacote 10226374 roth London Inter click sense "/>
    <m/>
    <m/>
    <m/>
    <m/>
    <m/>
    <s v="Cp5:10456677. Cp5: 10456688 cp5:10456689 cp5:10456678"/>
    <s v="Nota Fiscal será entregue com falta."/>
    <m/>
    <m/>
    <m/>
    <m/>
    <m/>
  </r>
  <r>
    <x v="2"/>
    <s v="No prazo"/>
    <x v="4"/>
    <x v="21"/>
    <d v="2026-05-29T00:00:00"/>
    <x v="70"/>
    <m/>
    <d v="2026-06-03T00:00:00"/>
    <m/>
    <s v="MIL"/>
    <x v="0"/>
    <x v="1"/>
    <m/>
    <s v="CID Curitiba"/>
    <n v="564"/>
    <d v="2026-05-27T16:46:46"/>
    <s v="Curitiba"/>
    <s v="85111623@bat.com"/>
    <x v="1"/>
    <s v="BR0442237"/>
    <d v="2026-05-27T00:00:00"/>
    <n v="1568925"/>
    <n v="6877369590"/>
    <x v="1"/>
    <s v="Falta de 50 pacotes de rothmans double click _x000a_Sobra de 50 pacotes de rothmans click sense "/>
    <m/>
    <m/>
    <m/>
    <m/>
    <m/>
    <s v="Caixa fechada "/>
    <s v="Nota Fiscal será entregue com falta."/>
    <m/>
    <m/>
    <m/>
    <m/>
    <m/>
  </r>
  <r>
    <x v="2"/>
    <s v="No prazo"/>
    <x v="4"/>
    <x v="21"/>
    <d v="2026-05-29T00:00:00"/>
    <x v="71"/>
    <m/>
    <d v="2026-06-03T00:00:00"/>
    <m/>
    <s v="MIL"/>
    <x v="0"/>
    <x v="0"/>
    <m/>
    <s v="CID Curitiba"/>
    <n v="565"/>
    <d v="2026-05-28T08:36:42"/>
    <s v="Curitiba"/>
    <s v="nedson.reis@fadeltransportes.com.br"/>
    <x v="0"/>
    <s v="BR0075802"/>
    <d v="2026-05-28T00:00:00"/>
    <n v="1570262"/>
    <n v="6877419972"/>
    <x v="0"/>
    <s v="Faltou 1 pacote de dunhill double refresh"/>
    <m/>
    <m/>
    <m/>
    <m/>
    <m/>
    <n v="10481281"/>
    <s v="Nota Fiscal será entregue com falta."/>
    <m/>
    <m/>
    <m/>
    <m/>
    <m/>
  </r>
  <r>
    <x v="2"/>
    <s v="No prazo"/>
    <x v="4"/>
    <x v="21"/>
    <d v="2026-05-29T00:00:00"/>
    <x v="71"/>
    <m/>
    <d v="2026-06-03T00:00:00"/>
    <m/>
    <s v="MIL"/>
    <x v="0"/>
    <x v="1"/>
    <m/>
    <s v="CID Curitiba"/>
    <n v="566"/>
    <d v="2026-05-28T09:00:57"/>
    <s v="Curitiba"/>
    <s v="francisco8511bat@gmail.com"/>
    <x v="1"/>
    <s v="BR0442240"/>
    <d v="2026-05-28T00:00:00"/>
    <n v="1569914"/>
    <n v="6877404476"/>
    <x v="0"/>
    <s v="Falta 2 cx bolinho duplo chocolate bauduco "/>
    <m/>
    <m/>
    <m/>
    <m/>
    <m/>
    <n v="0"/>
    <s v="Nota Fiscal será entregue com falta."/>
    <m/>
    <m/>
    <m/>
    <m/>
    <m/>
  </r>
  <r>
    <x v="2"/>
    <s v="No prazo"/>
    <x v="4"/>
    <x v="21"/>
    <d v="2026-05-29T00:00:00"/>
    <x v="71"/>
    <m/>
    <d v="2026-06-03T00:00:00"/>
    <m/>
    <s v="MIL"/>
    <x v="0"/>
    <x v="1"/>
    <m/>
    <s v="CID Curitiba"/>
    <n v="567"/>
    <d v="2026-05-28T09:03:49"/>
    <s v="Curitiba"/>
    <s v="francisco8511bat@gmail.com"/>
    <x v="1"/>
    <s v="BR0442240"/>
    <d v="2026-05-22T00:00:00"/>
    <n v="1568362"/>
    <n v="6877291789"/>
    <x v="0"/>
    <s v="Falta 2.5 rothmans lond 1890 global blue boc bfc "/>
    <m/>
    <m/>
    <m/>
    <m/>
    <m/>
    <n v="0"/>
    <s v="Nota Fiscal será entregue com falta."/>
    <m/>
    <m/>
    <m/>
    <m/>
    <m/>
  </r>
  <r>
    <x v="2"/>
    <s v="No prazo"/>
    <x v="4"/>
    <x v="21"/>
    <d v="2026-05-29T00:00:00"/>
    <x v="71"/>
    <m/>
    <d v="2026-06-03T00:00:00"/>
    <m/>
    <s v="MIL"/>
    <x v="0"/>
    <x v="1"/>
    <m/>
    <s v="CID Curitiba"/>
    <n v="568"/>
    <d v="2026-05-28T09:07:05"/>
    <s v="Curitiba"/>
    <s v="francisco8511bat@gmail.com"/>
    <x v="1"/>
    <s v="BR0442240"/>
    <d v="2026-05-22T00:00:00"/>
    <n v="1568368"/>
    <n v="6877297709"/>
    <x v="0"/>
    <s v="Falta 7.5 rothmans lond 1890 global blue box bfc "/>
    <m/>
    <m/>
    <m/>
    <m/>
    <m/>
    <n v="0"/>
    <s v="Nota Fiscal será entregue com falta."/>
    <m/>
    <m/>
    <m/>
    <m/>
    <m/>
  </r>
  <r>
    <x v="0"/>
    <s v="No prazo"/>
    <x v="4"/>
    <x v="21"/>
    <d v="2026-05-29T00:00:00"/>
    <x v="71"/>
    <m/>
    <m/>
    <m/>
    <s v="MIL"/>
    <x v="0"/>
    <x v="1"/>
    <m/>
    <s v="CID Curitiba"/>
    <n v="570"/>
    <d v="2026-05-28T13:59:47"/>
    <s v="Curitiba"/>
    <s v="reservatvlondrina@gmail.com"/>
    <x v="1"/>
    <s v="BR0442242"/>
    <d v="2026-05-28T00:00:00"/>
    <n v="1570195"/>
    <n v="6877372155"/>
    <x v="0"/>
    <s v="50063694- BARB PRESTO 2 FIXO 24UNID + 2PB3 CHAM - 260UN/  -50066993- AP BARB GILLETTE PRESTO3 CHAMPIONS C/12 - 120UN"/>
    <m/>
    <m/>
    <m/>
    <m/>
    <m/>
    <n v="0"/>
    <s v="Nota Fiscal será pendenciada"/>
    <m/>
    <m/>
    <m/>
    <m/>
    <m/>
  </r>
  <r>
    <x v="2"/>
    <s v="No prazo"/>
    <x v="4"/>
    <x v="21"/>
    <d v="2026-06-01T00:00:00"/>
    <x v="72"/>
    <m/>
    <d v="2026-06-03T00:00:00"/>
    <m/>
    <s v="MIL"/>
    <x v="0"/>
    <x v="0"/>
    <m/>
    <s v="CID Curitiba"/>
    <n v="571"/>
    <d v="2026-05-29T11:08:30"/>
    <s v="Curitiba"/>
    <s v="nedson.reis@fadeltransportes.com.br"/>
    <x v="0"/>
    <s v="BR0075564"/>
    <d v="2026-05-28T00:00:00"/>
    <n v="1570427"/>
    <n v="6877389977"/>
    <x v="0"/>
    <s v="Falta 2 pacotes de rothmans core blue box"/>
    <m/>
    <m/>
    <m/>
    <m/>
    <m/>
    <m/>
    <s v="Nota Fiscal será entregue com falta."/>
    <m/>
    <m/>
    <m/>
    <m/>
    <m/>
  </r>
  <r>
    <x v="2"/>
    <s v="No prazo"/>
    <x v="4"/>
    <x v="21"/>
    <d v="2026-06-01T00:00:00"/>
    <x v="72"/>
    <m/>
    <d v="2026-06-03T00:00:00"/>
    <m/>
    <s v="MIL"/>
    <x v="0"/>
    <x v="1"/>
    <m/>
    <s v="CID Curitiba"/>
    <n v="572"/>
    <d v="2026-05-29T14:29:59"/>
    <s v="Curitiba"/>
    <s v="francisco8511bat@gmail.com"/>
    <x v="1"/>
    <s v="BR0442240"/>
    <d v="2026-05-20T00:00:00"/>
    <n v="1567304"/>
    <n v="6877285960"/>
    <x v="0"/>
    <s v="Dunhill woiage reflesh Falta 4 pacotes "/>
    <m/>
    <m/>
    <m/>
    <m/>
    <m/>
    <m/>
    <s v="Nota Fiscal será retornada ao estoque"/>
    <m/>
    <m/>
    <m/>
    <m/>
    <m/>
  </r>
  <r>
    <x v="2"/>
    <s v="No prazo"/>
    <x v="4"/>
    <x v="21"/>
    <d v="2026-06-01T00:00:00"/>
    <x v="73"/>
    <m/>
    <d v="2026-06-03T00:00:00"/>
    <m/>
    <s v="MIL"/>
    <x v="0"/>
    <x v="1"/>
    <m/>
    <s v="CID Curitiba"/>
    <n v="573"/>
    <d v="2026-05-29T17:43:49"/>
    <s v="Curitiba"/>
    <s v="Fernando.frank1@hotmail.com"/>
    <x v="1"/>
    <s v="BR0442246"/>
    <d v="2026-05-28T00:00:00"/>
    <n v="1569574"/>
    <n v="6877390774"/>
    <x v="1"/>
    <s v="Sobrou 01milheiro (50 carteiras) 10226447 Kent azul sc Access _x000a__x000a_Faltou 01milheiro (50 carteiras) 10226422 Rothmans core Blue maco"/>
    <m/>
    <m/>
    <m/>
    <m/>
    <m/>
    <m/>
    <s v="Nota Fiscal será entregue com falta."/>
    <m/>
    <m/>
    <m/>
    <m/>
    <m/>
  </r>
  <r>
    <x v="1"/>
    <s v="No prazo"/>
    <x v="4"/>
    <x v="21"/>
    <d v="2026-06-01T00:00:00"/>
    <x v="73"/>
    <m/>
    <d v="2026-06-03T00:00:00"/>
    <m/>
    <s v="MIL"/>
    <x v="0"/>
    <x v="0"/>
    <m/>
    <s v="CID Curitiba"/>
    <n v="574"/>
    <d v="2026-05-30T09:40:48"/>
    <s v="Curitiba"/>
    <s v="nedson.reis@fadeltransportes.com.br"/>
    <x v="0"/>
    <s v="BR0219605"/>
    <d v="2026-05-29T00:00:00"/>
    <n v="1570766"/>
    <n v="6877439413"/>
    <x v="0"/>
    <s v="Uma caixa de mini balduco estava aberta e ao invés de 16, foram enviado 11 "/>
    <m/>
    <m/>
    <m/>
    <m/>
    <m/>
    <m/>
    <s v="Nota Fiscal será entregue com falta."/>
    <m/>
    <m/>
    <m/>
    <m/>
    <m/>
  </r>
  <r>
    <x v="2"/>
    <s v="No prazo"/>
    <x v="5"/>
    <x v="22"/>
    <d v="2026-06-03T00:00:00"/>
    <x v="74"/>
    <d v="2026-06-05T00:00:00"/>
    <d v="2026-06-11T00:00:00"/>
    <m/>
    <s v="MIL"/>
    <x v="0"/>
    <x v="1"/>
    <m/>
    <s v="CID Curitiba"/>
    <n v="575"/>
    <d v="2026-06-02T00:00:00"/>
    <s v="Curitiba"/>
    <s v="paulo-bassani@hotmail.com"/>
    <x v="1"/>
    <s v="BR0442235"/>
    <d v="2026-06-02T00:00:00"/>
    <n v="1571585"/>
    <n v="6877468881"/>
    <x v="0"/>
    <s v="50067282 SEDA OCB ULT. 1/4 C/25, 50066590 SEDA OCB SLIM UNB. C/50, 50066589 SEDA OCB SLIM PREMI C/50, 50066588 SEDA OCB PREMIUM 1/4 C/25, 50066622 SEDA OCB UNB. 1/4 C/25, 50067206 SEDA OCB  SLIM ULTI. C/ 50, 50066599 SEDA OCB MIX SLIM C/50, 50066598 SEDA OCB MIX 1/4 C/50, 50065408 PILHA ZN AAA RAY cart. C/4"/>
    <m/>
    <m/>
    <m/>
    <m/>
    <m/>
    <s v="...."/>
    <s v="Nota Fiscal será pendenciada"/>
    <m/>
    <s v="Iversao de pilha  50065401 Falta 1 cartela AA  50065409 SOBRA 1 cartela AAA"/>
    <m/>
    <m/>
    <m/>
  </r>
  <r>
    <x v="2"/>
    <s v="No prazo"/>
    <x v="5"/>
    <x v="22"/>
    <d v="2026-06-03T00:00:00"/>
    <x v="74"/>
    <d v="2026-06-05T00:00:00"/>
    <d v="2026-06-11T00:00:00"/>
    <m/>
    <s v="MIL"/>
    <x v="0"/>
    <x v="0"/>
    <m/>
    <s v="CID Curitiba"/>
    <n v="576"/>
    <d v="2026-06-02T00:00:00"/>
    <s v="Curitiba"/>
    <s v="nedson.reis@fadeltransportes.com.br"/>
    <x v="0"/>
    <s v="BR0075564"/>
    <d v="2026-06-02T00:00:00"/>
    <n v="1571873"/>
    <n v="6877497420"/>
    <x v="0"/>
    <s v="Falta 1 pacote de dunhill blend"/>
    <m/>
    <m/>
    <m/>
    <m/>
    <m/>
    <n v="10514314"/>
    <s v="Nota Fiscal será entregue com falta."/>
    <m/>
    <m/>
    <m/>
    <m/>
    <m/>
  </r>
  <r>
    <x v="2"/>
    <s v="No prazo"/>
    <x v="5"/>
    <x v="22"/>
    <d v="2026-06-03T00:00:00"/>
    <x v="74"/>
    <d v="2026-06-05T00:00:00"/>
    <d v="2026-06-11T00:00:00"/>
    <m/>
    <s v="MIL"/>
    <x v="0"/>
    <x v="0"/>
    <m/>
    <s v="CID Curitiba"/>
    <n v="577"/>
    <d v="2026-06-02T00:00:00"/>
    <s v="Curitiba"/>
    <s v="nedson.reis@fadeltransportes.com.br"/>
    <x v="0"/>
    <s v="BR0219605"/>
    <d v="2026-05-29T00:00:00"/>
    <n v="1570766"/>
    <n v="6877439413"/>
    <x v="0"/>
    <s v="5 unidades de bolinho laranja"/>
    <m/>
    <m/>
    <m/>
    <m/>
    <m/>
    <s v="Sem etiqueta"/>
    <s v="Nota Fiscal será entregue com falta."/>
    <m/>
    <m/>
    <m/>
    <m/>
    <m/>
  </r>
  <r>
    <x v="2"/>
    <s v="No prazo"/>
    <x v="5"/>
    <x v="22"/>
    <d v="2026-06-03T00:00:00"/>
    <x v="74"/>
    <d v="2026-06-05T00:00:00"/>
    <d v="2026-06-11T00:00:00"/>
    <m/>
    <s v="MIL"/>
    <x v="0"/>
    <x v="0"/>
    <m/>
    <s v="CID Curitiba"/>
    <n v="578"/>
    <d v="2026-06-02T00:00:00"/>
    <s v="Curitiba"/>
    <s v="nedson.reis@fadeltransportes.com.br"/>
    <x v="0"/>
    <s v="BR0075781"/>
    <d v="2026-06-02T00:00:00"/>
    <n v="1572047"/>
    <n v="6877488586"/>
    <x v="0"/>
    <s v="1 pacote de kent prata maço"/>
    <m/>
    <m/>
    <m/>
    <m/>
    <m/>
    <n v="10514548"/>
    <s v="Nota Fiscal será entregue com falta."/>
    <m/>
    <m/>
    <m/>
    <m/>
    <m/>
  </r>
  <r>
    <x v="2"/>
    <s v="No prazo"/>
    <x v="5"/>
    <x v="22"/>
    <d v="2026-06-10T00:00:00"/>
    <x v="75"/>
    <d v="2026-06-26T00:00:00"/>
    <d v="2026-06-11T00:00:00"/>
    <m/>
    <s v="MIL"/>
    <x v="0"/>
    <x v="1"/>
    <m/>
    <s v="CID Curitiba"/>
    <n v="579"/>
    <d v="2026-06-03T08:30:03"/>
    <s v="Curitiba"/>
    <s v="Brunofdahmerpsouzac@gmail.com"/>
    <x v="1"/>
    <s v="BR0442185"/>
    <d v="2026-05-14T00:00:00"/>
    <n v="1565576"/>
    <n v="6877201584"/>
    <x v="0"/>
    <s v="50066862 bolinho duplo chocolate bauduco -9 unidades 1 cx "/>
    <m/>
    <m/>
    <m/>
    <m/>
    <m/>
    <n v="1565576"/>
    <s v="Nota Fiscal será entregue com falta."/>
    <m/>
    <m/>
    <m/>
    <m/>
    <m/>
  </r>
  <r>
    <x v="2"/>
    <s v="No prazo"/>
    <x v="5"/>
    <x v="22"/>
    <d v="2026-06-10T00:00:00"/>
    <x v="75"/>
    <d v="2026-06-26T00:00:00"/>
    <d v="2026-06-11T00:00:00"/>
    <m/>
    <s v="MIL"/>
    <x v="0"/>
    <x v="1"/>
    <m/>
    <s v="CID Curitiba"/>
    <n v="580"/>
    <d v="2026-06-03T17:32:11"/>
    <s v="Curitiba"/>
    <s v="vendedorsilvio@gmail.com"/>
    <x v="1"/>
    <s v="BR0442186"/>
    <d v="2026-06-02T00:00:00"/>
    <n v="1571165"/>
    <n v="6877409447"/>
    <x v="0"/>
    <s v="50055233 LÂMINA BARB D. FIO WILKINSON "/>
    <m/>
    <m/>
    <m/>
    <m/>
    <m/>
    <s v="NA"/>
    <s v="Nota Fiscal será entregue com falta."/>
    <m/>
    <m/>
    <m/>
    <m/>
    <m/>
  </r>
  <r>
    <x v="2"/>
    <s v="No prazo"/>
    <x v="5"/>
    <x v="22"/>
    <d v="2026-06-10T00:00:00"/>
    <x v="76"/>
    <d v="2026-06-26T00:00:00"/>
    <d v="2026-06-11T00:00:00"/>
    <m/>
    <s v="MIL"/>
    <x v="0"/>
    <x v="0"/>
    <m/>
    <s v="CID Curitiba"/>
    <n v="581"/>
    <d v="2026-06-05T11:50:49"/>
    <s v="Curitiba"/>
    <s v="nedson.reis@fadeltransportes.com.br"/>
    <x v="0"/>
    <s v="BR0219606"/>
    <d v="2026-06-05T00:00:00"/>
    <n v="1572893"/>
    <n v="6877383649"/>
    <x v="0"/>
    <s v="1 pacote dunhill blend"/>
    <m/>
    <m/>
    <m/>
    <m/>
    <m/>
    <n v="10535825"/>
    <s v="Nota Fiscal será entregue com falta."/>
    <m/>
    <m/>
    <m/>
    <m/>
    <m/>
  </r>
  <r>
    <x v="2"/>
    <s v="No prazo"/>
    <x v="5"/>
    <x v="23"/>
    <d v="2026-06-10T00:00:00"/>
    <x v="77"/>
    <d v="2026-06-26T00:00:00"/>
    <d v="2026-06-11T00:00:00"/>
    <m/>
    <s v="MIL"/>
    <x v="0"/>
    <x v="0"/>
    <m/>
    <s v="CID Curitiba"/>
    <n v="582"/>
    <d v="2026-06-08T08:18:28"/>
    <s v="Curitiba"/>
    <s v="nedson.reis@fadeltransportes.com.br"/>
    <x v="0"/>
    <s v="BR0219603"/>
    <d v="2026-06-05T00:00:00"/>
    <n v="1573140"/>
    <n v="6877511103"/>
    <x v="0"/>
    <s v="Falta 1 caixa de tubes morango"/>
    <m/>
    <m/>
    <m/>
    <m/>
    <m/>
    <s v="Sem etiqueta"/>
    <s v="Nota Fiscal será entregue com falta."/>
    <m/>
    <m/>
    <m/>
    <m/>
    <m/>
  </r>
  <r>
    <x v="2"/>
    <s v="No prazo"/>
    <x v="5"/>
    <x v="23"/>
    <d v="2026-06-10T00:00:00"/>
    <x v="78"/>
    <d v="2026-06-26T00:00:00"/>
    <d v="2026-06-11T00:00:00"/>
    <m/>
    <s v="MIL"/>
    <x v="0"/>
    <x v="0"/>
    <m/>
    <s v="CID Curitiba"/>
    <n v="584"/>
    <d v="2026-06-10T10:51:29"/>
    <s v="Curitiba"/>
    <s v="nedson.reis@fadeltransportes.com.br"/>
    <x v="0"/>
    <s v="BR0219603"/>
    <d v="2026-06-05T00:00:00"/>
    <n v="1573140"/>
    <n v="6877511103"/>
    <x v="0"/>
    <s v="Falta 1 tubes morango 15g"/>
    <m/>
    <m/>
    <m/>
    <m/>
    <m/>
    <s v="sem etiqueta"/>
    <s v="Nota Fiscal será entregue com falta."/>
    <m/>
    <m/>
    <m/>
    <m/>
    <m/>
  </r>
  <r>
    <x v="2"/>
    <s v="No prazo"/>
    <x v="5"/>
    <x v="23"/>
    <d v="2026-06-10T00:00:00"/>
    <x v="78"/>
    <d v="2026-06-26T00:00:00"/>
    <d v="2026-06-15T00:00:00"/>
    <m/>
    <s v="MIL"/>
    <x v="0"/>
    <x v="1"/>
    <m/>
    <s v="CID Curitiba"/>
    <n v="585"/>
    <d v="2026-06-10T12:21:47"/>
    <s v="Curitiba"/>
    <s v="Cascavel502865@gmail.com"/>
    <x v="1"/>
    <s v="BR0442702"/>
    <d v="2026-06-10T00:00:00"/>
    <n v="1573304"/>
    <n v="6877524648"/>
    <x v="0"/>
    <s v="Faltando 5 pct dunhil voyage mix refresh _x000a_5 pct lucky blue Patterson "/>
    <m/>
    <m/>
    <m/>
    <m/>
    <m/>
    <n v="6877524648"/>
    <s v="Nota Fiscal será entregue com falta."/>
    <m/>
    <m/>
    <m/>
    <m/>
    <m/>
  </r>
  <r>
    <x v="3"/>
    <s v="No prazo"/>
    <x v="5"/>
    <x v="23"/>
    <d v="2026-06-15T00:00:00"/>
    <x v="79"/>
    <d v="2026-06-26T00:00:00"/>
    <d v="2026-06-15T00:00:00"/>
    <m/>
    <s v="MIL"/>
    <x v="0"/>
    <x v="0"/>
    <m/>
    <s v="CID Curitiba"/>
    <n v="586"/>
    <d v="2026-06-11T13:51:05"/>
    <s v="Curitiba"/>
    <s v="nedson.reis@fadeltransportes.com.br"/>
    <x v="0"/>
    <s v="BR0219606"/>
    <d v="2026-06-11T00:00:00"/>
    <n v="1572893"/>
    <n v="6877383649"/>
    <x v="0"/>
    <s v="Falta 1 pacote de dunhill red box"/>
    <m/>
    <m/>
    <m/>
    <m/>
    <m/>
    <n v="10535825"/>
    <s v="Nota Fiscal será entregue com falta."/>
    <m/>
    <m/>
    <m/>
    <m/>
    <m/>
  </r>
  <r>
    <x v="2"/>
    <s v="No prazo"/>
    <x v="5"/>
    <x v="23"/>
    <d v="2026-06-15T00:00:00"/>
    <x v="79"/>
    <d v="2026-06-26T00:00:00"/>
    <d v="2026-06-15T00:00:00"/>
    <m/>
    <s v="MIL"/>
    <x v="0"/>
    <x v="0"/>
    <m/>
    <s v="CID Curitiba"/>
    <n v="587"/>
    <d v="2026-06-11T15:12:43"/>
    <s v="Curitiba"/>
    <s v="nedson.reis@fadeltransportes.com.br"/>
    <x v="0"/>
    <s v="BR0219601"/>
    <d v="2026-06-11T00:00:00"/>
    <n v="1575261"/>
    <n v="6877588536"/>
    <x v="1"/>
    <s v="Foi enviado um pacote de roth white classic blue no lugar de um roth silver "/>
    <m/>
    <m/>
    <m/>
    <m/>
    <m/>
    <n v="10576191"/>
    <s v="Nota Fiscal será entregue com falta."/>
    <m/>
    <m/>
    <m/>
    <m/>
    <m/>
  </r>
  <r>
    <x v="2"/>
    <s v="No prazo"/>
    <x v="5"/>
    <x v="23"/>
    <d v="2026-06-15T00:00:00"/>
    <x v="79"/>
    <d v="2026-06-26T00:00:00"/>
    <d v="2026-06-15T00:00:00"/>
    <m/>
    <s v="MIL"/>
    <x v="0"/>
    <x v="1"/>
    <m/>
    <s v="CID Curitiba"/>
    <n v="588"/>
    <d v="2026-06-11T16:05:02"/>
    <s v="Curitiba"/>
    <s v="Dionewaleski22@gmail.com"/>
    <x v="1"/>
    <s v="BR0442251"/>
    <d v="2026-06-11T00:00:00"/>
    <n v="1574512"/>
    <n v="6877597738"/>
    <x v="0"/>
    <s v="(Faltando: 5 cartelas Proback  e  1 cartela Bic confort 3),  (Inversão caixa de Fini Dentadura  faltando  1 cx Fini Beijos sobrando.)"/>
    <m/>
    <m/>
    <m/>
    <m/>
    <m/>
    <s v="Na"/>
    <s v="Nota Fiscal será entregue com falta."/>
    <m/>
    <m/>
    <m/>
    <m/>
    <m/>
  </r>
  <r>
    <x v="2"/>
    <s v="No prazo"/>
    <x v="5"/>
    <x v="23"/>
    <d v="2026-06-15T00:00:00"/>
    <x v="79"/>
    <d v="2026-06-26T00:00:00"/>
    <d v="2026-06-15T00:00:00"/>
    <m/>
    <s v="MIL"/>
    <x v="0"/>
    <x v="0"/>
    <m/>
    <s v="CID Curitiba"/>
    <n v="589"/>
    <d v="2026-06-11T20:01:07"/>
    <s v="Curitiba"/>
    <s v="nedson.reis@fadeltransportes.com.br"/>
    <x v="0"/>
    <s v="BR0075494"/>
    <d v="2026-06-11T00:00:00"/>
    <n v="1575197"/>
    <n v="6877627151"/>
    <x v="0"/>
    <s v="Falta meio pacote de dunhill blue blend"/>
    <m/>
    <m/>
    <m/>
    <m/>
    <m/>
    <s v="sem etiqueta"/>
    <s v="Nota Fiscal será retornada ao estoque"/>
    <m/>
    <m/>
    <m/>
    <m/>
    <m/>
  </r>
  <r>
    <x v="2"/>
    <s v="No prazo"/>
    <x v="5"/>
    <x v="23"/>
    <d v="2026-06-15T00:00:00"/>
    <x v="80"/>
    <d v="2026-06-26T00:00:00"/>
    <d v="2026-06-15T00:00:00"/>
    <m/>
    <s v="MIL"/>
    <x v="0"/>
    <x v="0"/>
    <m/>
    <s v="CID Curitiba"/>
    <n v="590"/>
    <d v="2026-06-12T17:27:51"/>
    <s v="Curitiba"/>
    <s v="nedson.reis@fadeltransportes.com.br"/>
    <x v="0"/>
    <s v="BR0075517"/>
    <d v="2026-06-11T00:00:00"/>
    <n v="1575006"/>
    <n v="6877628052"/>
    <x v="0"/>
    <s v="Falta 1 tubes morango, 6 fini gelatina beijos, 3 caixa de bolinho duplo chocolate bauduco"/>
    <m/>
    <m/>
    <m/>
    <m/>
    <m/>
    <s v="sem etiqueta"/>
    <s v="Nota Fiscal será retornada ao estoque"/>
    <m/>
    <m/>
    <m/>
    <m/>
    <m/>
  </r>
  <r>
    <x v="0"/>
    <s v="No prazo"/>
    <x v="5"/>
    <x v="24"/>
    <d v="2026-06-15T00:00:00"/>
    <x v="81"/>
    <d v="2026-06-26T00:00:00"/>
    <d v="2026-06-15T00:00:00"/>
    <m/>
    <s v="MIL"/>
    <x v="0"/>
    <x v="1"/>
    <m/>
    <s v="CID Curitiba"/>
    <n v="591"/>
    <d v="2026-06-15T06:49:30"/>
    <s v="Curitiba"/>
    <s v="Solismarmoraes@hotmail.com"/>
    <x v="1"/>
    <s v="BR0442231"/>
    <d v="2026-06-15T00:00:00"/>
    <n v="1573299"/>
    <n v="6877113817"/>
    <x v="0"/>
    <s v="10208004,10224472/ Ao comparar o balanço do dia 12 com o dia 15 faltou 1 pacote de dunhill in red bonificado e 4 pacotes de rothmans blue core bonificado conferindo com o estoque do carro está faltando."/>
    <m/>
    <m/>
    <m/>
    <m/>
    <m/>
    <s v="74/149"/>
    <s v="Produto foi retirado de outra nota fiscal."/>
    <m/>
    <m/>
    <m/>
    <m/>
    <m/>
  </r>
  <r>
    <x v="2"/>
    <s v="No prazo"/>
    <x v="5"/>
    <x v="24"/>
    <d v="2026-06-15T00:00:00"/>
    <x v="81"/>
    <d v="2026-06-26T00:00:00"/>
    <d v="2026-06-15T00:00:00"/>
    <m/>
    <s v="MIL"/>
    <x v="0"/>
    <x v="0"/>
    <m/>
    <s v="CID Curitiba"/>
    <n v="592"/>
    <d v="2026-06-15T10:23:23"/>
    <s v="Curitiba"/>
    <s v="nedson.reis@fadeltransportes.com.br"/>
    <x v="0"/>
    <s v="BR0219601"/>
    <d v="2026-06-09T00:00:00"/>
    <n v="1574073"/>
    <n v="6877526987"/>
    <x v="0"/>
    <s v="Falta Isq BIC maxi c/6. 4 cartelas"/>
    <m/>
    <m/>
    <m/>
    <m/>
    <m/>
    <s v="sem etiqueta"/>
    <s v="Nota Fiscal será entregue com falta."/>
    <m/>
    <m/>
    <m/>
    <m/>
    <m/>
  </r>
  <r>
    <x v="2"/>
    <s v="No prazo"/>
    <x v="5"/>
    <x v="24"/>
    <d v="2026-06-18T00:00:00"/>
    <x v="82"/>
    <d v="2026-06-26T00:00:00"/>
    <d v="2026-06-23T00:00:00"/>
    <m/>
    <s v="MIL"/>
    <x v="0"/>
    <x v="1"/>
    <m/>
    <s v="CID Curitiba"/>
    <n v="593"/>
    <d v="2026-06-16T09:21:07"/>
    <s v="Curitiba"/>
    <s v="fabiopast.bat@gmail.com"/>
    <x v="1"/>
    <s v="BR0442245"/>
    <d v="2026-06-16T00:00:00"/>
    <n v="1576246"/>
    <n v="6877581117"/>
    <x v="0"/>
    <s v="Faltando _x000a_10 dunhill insigna red_x000a_ Sobrando_x000a_10 kent pro red"/>
    <m/>
    <m/>
    <m/>
    <m/>
    <m/>
    <m/>
    <s v="Nota Fiscal será entregue com falta."/>
    <m/>
    <m/>
    <m/>
    <m/>
    <m/>
  </r>
  <r>
    <x v="2"/>
    <s v="No prazo"/>
    <x v="5"/>
    <x v="24"/>
    <d v="2026-06-18T00:00:00"/>
    <x v="82"/>
    <d v="2026-06-26T00:00:00"/>
    <d v="2026-06-23T00:00:00"/>
    <m/>
    <s v="MIL"/>
    <x v="0"/>
    <x v="0"/>
    <m/>
    <s v="CID Curitiba"/>
    <n v="594"/>
    <d v="2026-06-17T13:36:02"/>
    <s v="Curitiba"/>
    <s v="nedson.reis@fadeltransportes.com.br"/>
    <x v="0"/>
    <s v="BR0075564"/>
    <d v="2026-06-17T00:00:00"/>
    <n v="1577448"/>
    <n v="6877719716"/>
    <x v="1"/>
    <s v="Faltou 3 kent pro silver e foi enviado 3 roth red white no lugar"/>
    <m/>
    <m/>
    <m/>
    <m/>
    <m/>
    <n v="10617576"/>
    <s v="Nota Fiscal será entregue com falta."/>
    <m/>
    <m/>
    <m/>
    <m/>
    <m/>
  </r>
  <r>
    <x v="2"/>
    <s v="No prazo"/>
    <x v="5"/>
    <x v="24"/>
    <d v="2026-06-18T00:00:00"/>
    <x v="82"/>
    <d v="2026-06-26T00:00:00"/>
    <d v="2026-06-23T00:00:00"/>
    <m/>
    <s v="MIL"/>
    <x v="0"/>
    <x v="0"/>
    <m/>
    <s v="CID Curitiba"/>
    <n v="595"/>
    <d v="2026-06-17T16:33:28"/>
    <s v="Curitiba"/>
    <s v="nedson.reis@fadeltransportes.com.br"/>
    <x v="0"/>
    <s v="BR0219600"/>
    <d v="2026-06-17T00:00:00"/>
    <n v="1577447"/>
    <n v="6877719715"/>
    <x v="0"/>
    <s v="Falta 1 pacote de rothmans core blue"/>
    <m/>
    <m/>
    <m/>
    <m/>
    <m/>
    <s v="sem etiqueta"/>
    <s v="Nota Fiscal será entregue com falta."/>
    <m/>
    <m/>
    <m/>
    <m/>
    <m/>
  </r>
  <r>
    <x v="2"/>
    <s v="No prazo"/>
    <x v="5"/>
    <x v="24"/>
    <d v="2026-06-18T00:00:00"/>
    <x v="83"/>
    <d v="2026-06-26T00:00:00"/>
    <d v="2026-06-23T00:00:00"/>
    <m/>
    <s v="MIL"/>
    <x v="0"/>
    <x v="0"/>
    <m/>
    <s v="CID Curitiba"/>
    <n v="596"/>
    <d v="2026-06-18T10:23:36"/>
    <s v="Curitiba"/>
    <s v="nedson.reis@fadeltransportes.com.br"/>
    <x v="0"/>
    <s v="BR0219600"/>
    <d v="2026-06-17T00:00:00"/>
    <n v="1577406"/>
    <n v="6877719873"/>
    <x v="1"/>
    <s v="Faltou 1 caixa de seda ocb slim c/50 unidades e foi enviado uma caixa de filtro"/>
    <m/>
    <m/>
    <m/>
    <m/>
    <m/>
    <s v="sem etiqueta "/>
    <s v="Nota Fiscal será entregue com falta."/>
    <m/>
    <m/>
    <m/>
    <m/>
    <m/>
  </r>
  <r>
    <x v="0"/>
    <s v="No prazo"/>
    <x v="5"/>
    <x v="24"/>
    <d v="2026-06-18T00:00:00"/>
    <x v="83"/>
    <d v="2026-06-26T00:00:00"/>
    <d v="2026-06-23T00:00:00"/>
    <m/>
    <s v="MIL"/>
    <x v="0"/>
    <x v="1"/>
    <m/>
    <s v="CID Curitiba"/>
    <n v="597"/>
    <d v="2026-06-18T14:46:55"/>
    <s v="Curitiba"/>
    <s v="reservatvlondrina@gmail.com"/>
    <x v="1"/>
    <s v="BR0442242"/>
    <d v="2026-05-29T00:00:00"/>
    <n v="1568729"/>
    <n v="6877345427"/>
    <x v="2"/>
    <s v="Chamado para conferência "/>
    <m/>
    <m/>
    <m/>
    <m/>
    <m/>
    <n v="0"/>
    <s v="Nota Fiscal será pendenciada"/>
    <m/>
    <m/>
    <m/>
    <m/>
    <m/>
  </r>
  <r>
    <x v="1"/>
    <s v="No prazo"/>
    <x v="5"/>
    <x v="24"/>
    <d v="2026-06-23T00:00:00"/>
    <x v="84"/>
    <d v="2026-06-26T00:00:00"/>
    <m/>
    <m/>
    <s v="MIL"/>
    <x v="0"/>
    <x v="1"/>
    <m/>
    <s v="CID Curitiba"/>
    <n v="598"/>
    <d v="2026-06-19T11:35:38"/>
    <s v="Curitiba"/>
    <s v="85111623@bat.com"/>
    <x v="1"/>
    <s v="BR0442237"/>
    <d v="2026-06-11T00:00:00"/>
    <n v="1575462"/>
    <n v="6877636494"/>
    <x v="0"/>
    <s v="Faltou todos os produtos da nota  / Veio a nota fiscal, mas sem produto."/>
    <m/>
    <m/>
    <m/>
    <m/>
    <m/>
    <s v="Não veio caixa "/>
    <s v="Nota Fiscal será retornada ao estoque"/>
    <m/>
    <m/>
    <m/>
    <m/>
    <m/>
  </r>
  <r>
    <x v="2"/>
    <s v="No prazo"/>
    <x v="5"/>
    <x v="24"/>
    <d v="2026-06-23T00:00:00"/>
    <x v="84"/>
    <d v="2026-06-26T00:00:00"/>
    <m/>
    <m/>
    <s v="MIL"/>
    <x v="0"/>
    <x v="1"/>
    <m/>
    <s v="CID Curitiba"/>
    <n v="599"/>
    <d v="2026-06-19T15:30:15"/>
    <s v="Curitiba"/>
    <s v="85111623@bat.com"/>
    <x v="1"/>
    <s v="BR0442237"/>
    <d v="2026-06-15T00:00:00"/>
    <n v="1576123"/>
    <n v="6877676360"/>
    <x v="2"/>
    <s v="Não houve inversão, apenas falta dos mesmos. Falta de 3 pacotes de rothmans core Blue Box "/>
    <m/>
    <m/>
    <m/>
    <m/>
    <m/>
    <s v="Não veio a caixa "/>
    <s v="Nota Fiscal será pendenciada"/>
    <m/>
    <m/>
    <m/>
    <m/>
    <m/>
  </r>
  <r>
    <x v="0"/>
    <s v="No prazo"/>
    <x v="5"/>
    <x v="25"/>
    <d v="2026-06-23T00:00:00"/>
    <x v="85"/>
    <d v="2026-06-26T00:00:00"/>
    <d v="2026-06-27T00:00:00"/>
    <m/>
    <s v="MIL"/>
    <x v="0"/>
    <x v="1"/>
    <m/>
    <s v="CID Curitiba"/>
    <n v="600"/>
    <d v="2026-06-23T14:44:16"/>
    <s v="Curitiba"/>
    <s v="Dionewaleski22@gmail.com"/>
    <x v="1"/>
    <s v="BR0442251"/>
    <d v="2026-06-23T00:00:00"/>
    <n v="1578960"/>
    <n v="6877790788"/>
    <x v="0"/>
    <s v="Faltando: 30 pcts Rothmans double clic  "/>
    <m/>
    <m/>
    <m/>
    <m/>
    <m/>
    <s v="Na"/>
    <s v="Nota Fiscal será entregue com falta."/>
    <m/>
    <m/>
    <m/>
    <m/>
    <m/>
  </r>
  <r>
    <x v="1"/>
    <s v="No prazo"/>
    <x v="5"/>
    <x v="25"/>
    <d v="2026-06-24T00:00:00"/>
    <x v="86"/>
    <d v="2026-06-26T00:00:00"/>
    <m/>
    <m/>
    <s v="MIL"/>
    <x v="0"/>
    <x v="1"/>
    <m/>
    <s v="CID Curitiba"/>
    <n v="600"/>
    <d v="2026-06-23T14:44:16"/>
    <s v="Curitiba"/>
    <s v="Dionewaleski22@gmail.com"/>
    <x v="1"/>
    <s v="BR0442251"/>
    <d v="2026-06-23T00:00:00"/>
    <n v="1578960"/>
    <n v="687790788"/>
    <x v="0"/>
    <s v="Faltando: 30 pcts Rothmans double clic "/>
    <m/>
    <m/>
    <m/>
    <m/>
    <m/>
    <s v="Na"/>
    <s v="Nota Fiscal será entregue com falta."/>
    <m/>
    <m/>
    <m/>
    <m/>
    <m/>
  </r>
  <r>
    <x v="0"/>
    <s v="No prazo"/>
    <x v="5"/>
    <x v="25"/>
    <d v="2026-06-27T00:00:00"/>
    <x v="86"/>
    <d v="2026-06-30T00:00:00"/>
    <m/>
    <m/>
    <s v="MIL"/>
    <x v="0"/>
    <x v="1"/>
    <m/>
    <s v="CID Curitiba"/>
    <n v="601"/>
    <d v="2026-06-24T18:08:44"/>
    <s v="Curitiba"/>
    <s v="francisco8511bat@gmail.com"/>
    <x v="1"/>
    <s v="BR0442240"/>
    <d v="2026-06-23T00:00:00"/>
    <n v="1578958"/>
    <n v="6877762685"/>
    <x v="0"/>
    <s v="Falta _x000a_Roth London 1890 purple boost box 10 pacotes _x000a__x000a_Luky strike red mix box 10 pacotes _x000a__x000a_Lucky purple mix 10 pacotes _x000a__x000a_Dunhill  yoiage ice reflesh 10 pacotes _x000a__x000a_Dunhil viagem mix reflesh 10 pacotes _x000a__x000a_"/>
    <m/>
    <m/>
    <m/>
    <m/>
    <m/>
    <n v="0"/>
    <s v="Nota Fiscal será entregue com falta."/>
    <m/>
    <m/>
    <m/>
    <m/>
    <m/>
  </r>
  <r>
    <x v="2"/>
    <s v="No prazo"/>
    <x v="5"/>
    <x v="25"/>
    <d v="2026-06-27T00:00:00"/>
    <x v="87"/>
    <d v="2026-06-30T00:00:00"/>
    <d v="2026-07-02T00:00:00"/>
    <m/>
    <s v="MIL"/>
    <x v="0"/>
    <x v="0"/>
    <m/>
    <s v="CID Curitiba"/>
    <n v="603"/>
    <d v="2026-06-25T17:00:04"/>
    <s v="Curitiba"/>
    <s v="nedson.reis@fadeltransportes.com.br"/>
    <x v="0"/>
    <s v="BR0075507"/>
    <d v="2026-06-18T00:00:00"/>
    <n v="1577621"/>
    <n v="6877734818"/>
    <x v="1"/>
    <s v="Enviado um kent prata maço e faltou um luck strike red patterson"/>
    <m/>
    <m/>
    <m/>
    <m/>
    <m/>
    <s v="sem etiqueta"/>
    <s v="Nota Fiscal será retornada ao estoque"/>
    <m/>
    <m/>
    <m/>
    <m/>
    <m/>
  </r>
  <r>
    <x v="2"/>
    <s v="No prazo"/>
    <x v="5"/>
    <x v="25"/>
    <d v="2026-06-27T00:00:00"/>
    <x v="87"/>
    <d v="2026-06-30T00:00:00"/>
    <d v="2026-07-02T00:00:00"/>
    <m/>
    <s v="MIL"/>
    <x v="0"/>
    <x v="0"/>
    <m/>
    <s v="CID Curitiba"/>
    <n v="604"/>
    <d v="2026-06-25T17:56:06"/>
    <s v="Curitiba"/>
    <s v="nedson.reis@fadeltransportes.com.br"/>
    <x v="0"/>
    <s v="BR0219605"/>
    <d v="2026-06-23T00:00:00"/>
    <n v="1579466"/>
    <n v="6877827277"/>
    <x v="1"/>
    <s v="Enviado um roth silver maço no lugar de roth silver box"/>
    <m/>
    <m/>
    <m/>
    <m/>
    <m/>
    <s v="sem etiqueta"/>
    <s v="Nota Fiscal será retornada ao estoque"/>
    <m/>
    <m/>
    <m/>
    <m/>
    <m/>
  </r>
  <r>
    <x v="2"/>
    <s v="No prazo"/>
    <x v="5"/>
    <x v="25"/>
    <d v="2026-06-27T00:00:00"/>
    <x v="87"/>
    <d v="2026-06-30T00:00:00"/>
    <d v="2026-07-02T00:00:00"/>
    <m/>
    <s v="MIL"/>
    <x v="0"/>
    <x v="0"/>
    <m/>
    <s v="CID Curitiba"/>
    <n v="605"/>
    <d v="2026-06-25T17:57:25"/>
    <s v="Curitiba"/>
    <s v="nedson.reis@fadeltransportes.com.br"/>
    <x v="0"/>
    <s v="BR0219600"/>
    <d v="2026-06-25T00:00:00"/>
    <n v="1580661"/>
    <n v="6877754349"/>
    <x v="0"/>
    <s v="Faltou a separação da caixa toda"/>
    <m/>
    <m/>
    <m/>
    <m/>
    <m/>
    <s v="Sem etiqueta"/>
    <s v="Nota Fiscal será retornada ao estoque"/>
    <m/>
    <m/>
    <m/>
    <m/>
    <m/>
  </r>
  <r>
    <x v="2"/>
    <s v="No prazo"/>
    <x v="5"/>
    <x v="25"/>
    <d v="2026-06-27T00:00:00"/>
    <x v="87"/>
    <d v="2026-06-30T00:00:00"/>
    <d v="2026-07-02T00:00:00"/>
    <m/>
    <s v="MIL"/>
    <x v="0"/>
    <x v="0"/>
    <m/>
    <s v="CID Curitiba"/>
    <n v="606"/>
    <d v="2026-06-25T18:00:37"/>
    <s v="Curitiba"/>
    <s v="nedson.reis@fadeltransportes.com.br"/>
    <x v="0"/>
    <s v="BR0075785"/>
    <d v="2026-06-25T00:00:00"/>
    <n v="1580506"/>
    <n v="6877748028"/>
    <x v="0"/>
    <s v="Faltou a separação da caixa"/>
    <m/>
    <m/>
    <m/>
    <m/>
    <m/>
    <s v="sem etiqueta"/>
    <s v="Nota Fiscal será retornada ao estoque"/>
    <m/>
    <m/>
    <m/>
    <m/>
    <m/>
  </r>
  <r>
    <x v="2"/>
    <s v="No prazo"/>
    <x v="5"/>
    <x v="25"/>
    <d v="2026-06-27T00:00:00"/>
    <x v="87"/>
    <d v="2026-06-30T00:00:00"/>
    <d v="2026-07-02T00:00:00"/>
    <m/>
    <s v="MIL"/>
    <x v="0"/>
    <x v="0"/>
    <m/>
    <s v="CID Curitiba"/>
    <n v="607"/>
    <d v="2026-06-25T18:02:26"/>
    <s v="Curitiba"/>
    <s v="nedson.reis@fadeltransportes.com.br"/>
    <x v="0"/>
    <s v="BR0219606"/>
    <d v="2026-06-25T00:00:00"/>
    <n v="1580508"/>
    <n v="6877748029"/>
    <x v="0"/>
    <s v="falta a separação da caixa"/>
    <m/>
    <m/>
    <m/>
    <m/>
    <m/>
    <s v="sem etiqueta"/>
    <s v="Nota Fiscal será retornada ao estoque"/>
    <m/>
    <m/>
    <m/>
    <m/>
    <m/>
  </r>
  <r>
    <x v="2"/>
    <s v="No prazo"/>
    <x v="5"/>
    <x v="25"/>
    <d v="2026-06-27T00:00:00"/>
    <x v="87"/>
    <d v="2026-06-30T00:00:00"/>
    <d v="2026-07-02T00:00:00"/>
    <m/>
    <s v="MIL"/>
    <x v="0"/>
    <x v="0"/>
    <m/>
    <s v="CID Curitiba"/>
    <n v="608"/>
    <d v="2026-06-25T18:04:28"/>
    <s v="Curitiba"/>
    <s v="nedson.reis@fadeltransportes.com.br"/>
    <x v="0"/>
    <s v="BR0219603"/>
    <d v="2026-06-25T00:00:00"/>
    <n v="1580764"/>
    <n v="6877752887"/>
    <x v="0"/>
    <s v="Falta a separação da caixa"/>
    <m/>
    <m/>
    <m/>
    <m/>
    <m/>
    <s v="sem etiqueta"/>
    <s v="Nota Fiscal será retornada ao estoque"/>
    <m/>
    <m/>
    <m/>
    <m/>
    <m/>
  </r>
  <r>
    <x v="2"/>
    <s v="No prazo"/>
    <x v="5"/>
    <x v="25"/>
    <d v="2026-06-27T00:00:00"/>
    <x v="87"/>
    <d v="2026-06-30T00:00:00"/>
    <d v="2026-07-02T00:00:00"/>
    <m/>
    <s v="MIL"/>
    <x v="0"/>
    <x v="0"/>
    <m/>
    <s v="CID Curitiba"/>
    <n v="609"/>
    <d v="2026-06-25T18:05:30"/>
    <s v="Curitiba"/>
    <s v="nedson.reis@fadeltransportes.com.br"/>
    <x v="0"/>
    <s v="BR0075562"/>
    <d v="2026-06-25T00:00:00"/>
    <n v="1580363"/>
    <n v="6877764359"/>
    <x v="0"/>
    <s v="Falta a separação da caixa"/>
    <m/>
    <m/>
    <m/>
    <m/>
    <m/>
    <s v="sem etiqueta"/>
    <s v="Nota Fiscal será retornada ao estoque"/>
    <m/>
    <m/>
    <m/>
    <m/>
    <m/>
  </r>
  <r>
    <x v="2"/>
    <s v="No prazo"/>
    <x v="5"/>
    <x v="25"/>
    <d v="2026-06-27T00:00:00"/>
    <x v="87"/>
    <d v="2026-06-30T00:00:00"/>
    <d v="2026-07-02T00:00:00"/>
    <m/>
    <s v="MIL"/>
    <x v="0"/>
    <x v="0"/>
    <m/>
    <s v="CID Curitiba"/>
    <n v="610"/>
    <d v="2026-06-25T18:06:36"/>
    <s v="Curitiba"/>
    <s v="nedson.reis@fadeltransportes.com.br"/>
    <x v="0"/>
    <s v="BR0075727"/>
    <d v="2026-06-25T00:00:00"/>
    <n v="1580765"/>
    <n v="6877752888"/>
    <x v="0"/>
    <s v="falta a separação da caixa"/>
    <m/>
    <m/>
    <m/>
    <m/>
    <m/>
    <s v="sem etiqueta"/>
    <s v="Nota Fiscal será retornada ao estoque"/>
    <m/>
    <m/>
    <m/>
    <m/>
    <m/>
  </r>
  <r>
    <x v="2"/>
    <s v="No prazo"/>
    <x v="5"/>
    <x v="25"/>
    <d v="2026-06-27T00:00:00"/>
    <x v="87"/>
    <d v="2026-06-30T00:00:00"/>
    <d v="2026-07-02T00:00:00"/>
    <m/>
    <s v="MIL"/>
    <x v="0"/>
    <x v="0"/>
    <m/>
    <s v="CID Curitiba"/>
    <n v="611"/>
    <d v="2026-06-25T18:11:43"/>
    <s v="Curitiba"/>
    <s v="nedson.reis@fadeltransportes.com.br"/>
    <x v="0"/>
    <s v="BR0219606"/>
    <d v="2026-06-25T00:00:00"/>
    <n v="1580503"/>
    <n v="6877870524"/>
    <x v="3"/>
    <s v="Caixa de bolinho balduco danificado"/>
    <m/>
    <m/>
    <m/>
    <m/>
    <m/>
    <s v="sem etiqueta"/>
    <s v="Nota Fiscal será entregue com falta."/>
    <m/>
    <m/>
    <m/>
    <m/>
    <m/>
  </r>
  <r>
    <x v="2"/>
    <s v="No prazo"/>
    <x v="5"/>
    <x v="25"/>
    <d v="2026-06-27T00:00:00"/>
    <x v="87"/>
    <d v="2026-06-30T00:00:00"/>
    <d v="2026-07-02T00:00:00"/>
    <m/>
    <s v="MIL"/>
    <x v="0"/>
    <x v="0"/>
    <m/>
    <s v="CID Curitiba"/>
    <n v="612"/>
    <d v="2026-06-25T19:24:00"/>
    <s v="Curitiba"/>
    <s v="nedson.reis@fadeltransportes.com.br"/>
    <x v="0"/>
    <s v="BR0075727"/>
    <d v="2026-06-22T00:00:00"/>
    <n v="1578931"/>
    <n v="6877679889"/>
    <x v="0"/>
    <s v="Falta 1 cartela de isqueiro"/>
    <m/>
    <m/>
    <m/>
    <m/>
    <m/>
    <s v="Sem etiqueta"/>
    <s v="Nota Fiscal será entregue com falta."/>
    <m/>
    <m/>
    <m/>
    <m/>
    <m/>
  </r>
  <r>
    <x v="0"/>
    <s v="No prazo"/>
    <x v="5"/>
    <x v="25"/>
    <d v="2026-06-27T00:00:00"/>
    <x v="88"/>
    <d v="2026-06-30T00:00:00"/>
    <d v="2026-06-27T00:00:00"/>
    <m/>
    <s v="MIL"/>
    <x v="0"/>
    <x v="1"/>
    <m/>
    <s v="CID Curitiba"/>
    <n v="614"/>
    <d v="2026-06-26T10:23:34"/>
    <s v="Curitiba"/>
    <s v="Alessandropedroso21@gmail.com"/>
    <x v="1"/>
    <s v="BR0442233"/>
    <d v="2026-05-19T00:00:00"/>
    <n v="442233"/>
    <n v="442233"/>
    <x v="1"/>
    <s v="Ficou trocado no carro"/>
    <m/>
    <m/>
    <m/>
    <m/>
    <m/>
    <s v="Br00442233"/>
    <s v="Nota Fiscal será retornada ao estoque"/>
    <m/>
    <m/>
    <m/>
    <m/>
    <m/>
  </r>
  <r>
    <x v="2"/>
    <s v="No prazo"/>
    <x v="5"/>
    <x v="25"/>
    <d v="2026-06-27T00:00:00"/>
    <x v="88"/>
    <d v="2026-06-30T00:00:00"/>
    <d v="2026-07-02T00:00:00"/>
    <m/>
    <s v="MIL"/>
    <x v="0"/>
    <x v="0"/>
    <m/>
    <s v="CID Curitiba"/>
    <n v="615"/>
    <d v="2026-06-26T17:25:22"/>
    <s v="Curitiba"/>
    <s v="nedson.reis@fadeltransportes.com.br"/>
    <x v="0"/>
    <s v="BR0219606"/>
    <d v="2026-06-26T00:00:00"/>
    <n v="1581162"/>
    <n v="6877882042"/>
    <x v="0"/>
    <s v="Falta 6 carteiras de kent prata box"/>
    <m/>
    <m/>
    <m/>
    <m/>
    <m/>
    <s v="sem etiqueta "/>
    <s v="Nota Fiscal será retornada ao estoque"/>
    <m/>
    <m/>
    <m/>
    <m/>
    <m/>
  </r>
  <r>
    <x v="1"/>
    <s v="No prazo"/>
    <x v="5"/>
    <x v="26"/>
    <d v="2026-07-01T00:00:00"/>
    <x v="89"/>
    <d v="2026-07-03T00:00:00"/>
    <m/>
    <m/>
    <s v="MIL"/>
    <x v="0"/>
    <x v="1"/>
    <m/>
    <s v="CID Curitiba"/>
    <n v="616"/>
    <d v="2026-06-29T11:40:25"/>
    <s v="Curitiba"/>
    <s v="Brunofdahmerpsouzac@gmail.com"/>
    <x v="1"/>
    <s v="BR0442185"/>
    <d v="2026-06-29T00:00:00"/>
    <n v="1580314"/>
    <n v="6877859261"/>
    <x v="0"/>
    <s v="10215641 dunhill Blue blend- 1,000 milheiro / Faltou 1milheiro de dunhill blue "/>
    <m/>
    <m/>
    <m/>
    <m/>
    <m/>
    <s v="Cp5: 10682599"/>
    <s v="Nota Fiscal será entregue com falta."/>
    <m/>
    <m/>
    <m/>
    <m/>
    <m/>
  </r>
  <r>
    <x v="1"/>
    <s v="No prazo"/>
    <x v="5"/>
    <x v="26"/>
    <d v="2026-07-01T00:00:00"/>
    <x v="90"/>
    <d v="2026-07-03T00:00:00"/>
    <m/>
    <m/>
    <s v="MIL"/>
    <x v="0"/>
    <x v="1"/>
    <m/>
    <s v="CID Curitiba"/>
    <n v="617"/>
    <d v="2026-06-30T09:09:37"/>
    <s v="Curitiba"/>
    <s v="paulo-bassani@hotmail.com"/>
    <x v="1"/>
    <s v="BR0442235"/>
    <d v="2026-06-30T00:00:00"/>
    <n v="1581563"/>
    <n v="6877906156"/>
    <x v="0"/>
    <s v="10224293 Dunhill in blue 25 pct _x000a_10223108 Dunhill Voyage Doble 20 pct"/>
    <m/>
    <m/>
    <m/>
    <m/>
    <m/>
    <s v="."/>
    <s v="Nota Fiscal será pendenciada"/>
    <m/>
    <m/>
    <m/>
    <m/>
    <m/>
  </r>
  <r>
    <x v="1"/>
    <s v="No prazo"/>
    <x v="5"/>
    <x v="26"/>
    <d v="2026-07-01T00:00:00"/>
    <x v="90"/>
    <d v="2026-07-03T00:00:00"/>
    <m/>
    <m/>
    <s v="MIL"/>
    <x v="0"/>
    <x v="0"/>
    <m/>
    <s v="CID Curitiba"/>
    <n v="618"/>
    <d v="2026-06-30T11:22:57"/>
    <s v="Curitiba"/>
    <s v="nedson.reis@fadeltransportes.com.br"/>
    <x v="0"/>
    <s v="BR0075488"/>
    <d v="2026-06-29T00:00:00"/>
    <n v="1581787"/>
    <n v="6877915741"/>
    <x v="0"/>
    <s v="1 pacote de lucky fresh double ice"/>
    <m/>
    <m/>
    <m/>
    <m/>
    <m/>
    <s v="sem etiqueta"/>
    <s v="Nota Fiscal será retornada ao estoque"/>
    <m/>
    <m/>
    <m/>
    <m/>
    <m/>
  </r>
  <r>
    <x v="2"/>
    <s v="No prazo"/>
    <x v="6"/>
    <x v="26"/>
    <d v="2026-07-01T00:00:00"/>
    <x v="91"/>
    <d v="2026-07-03T00:00:00"/>
    <m/>
    <m/>
    <s v="MIL"/>
    <x v="0"/>
    <x v="0"/>
    <m/>
    <s v="CID Curitiba"/>
    <n v="619"/>
    <d v="2026-07-01T14:07:58"/>
    <s v="Curitiba"/>
    <s v="nedson.reis@fadeltransportes.com.br"/>
    <x v="0"/>
    <s v="BR0075802"/>
    <d v="2026-06-30T00:00:00"/>
    <n v="1581996"/>
    <n v="6877869992"/>
    <x v="0"/>
    <s v="BIC Isqueiro decor fun Un 1c/6 / Entregue e feito nota de devolução parcial sem o produto"/>
    <m/>
    <m/>
    <m/>
    <m/>
    <m/>
    <s v="sem etiqueta"/>
    <s v="Nota Fiscal será entregue com falta."/>
    <m/>
    <m/>
    <m/>
    <m/>
    <m/>
  </r>
  <r>
    <x v="1"/>
    <s v="No prazo"/>
    <x v="6"/>
    <x v="26"/>
    <d v="2026-07-03T00:00:00"/>
    <x v="92"/>
    <d v="2026-07-07T00:00:00"/>
    <m/>
    <m/>
    <s v="MIL"/>
    <x v="0"/>
    <x v="1"/>
    <m/>
    <s v="CID Curitiba"/>
    <n v="620"/>
    <d v="2026-07-02T08:10:11"/>
    <s v="Curitiba"/>
    <s v="Brunofdahmerpsouzac@gmail.com"/>
    <x v="1"/>
    <s v="BR0442185"/>
    <d v="2026-07-01T00:00:00"/>
    <n v="1581049"/>
    <n v="6877864235"/>
    <x v="0"/>
    <s v="50055233 lâmina wilkinson 24 displays-Faltou 1cx de lâmina "/>
    <m/>
    <m/>
    <m/>
    <m/>
    <m/>
    <n v="1581049"/>
    <s v="Nota Fiscal será entregue com falta."/>
    <m/>
    <m/>
    <m/>
    <m/>
    <m/>
  </r>
  <r>
    <x v="2"/>
    <s v="No prazo"/>
    <x v="6"/>
    <x v="26"/>
    <d v="2026-07-03T00:00:00"/>
    <x v="92"/>
    <d v="2026-07-07T00:00:00"/>
    <m/>
    <m/>
    <s v="MIL"/>
    <x v="0"/>
    <x v="0"/>
    <m/>
    <s v="CID Curitiba"/>
    <n v="621"/>
    <d v="2026-07-02T09:17:49"/>
    <s v="Curitiba"/>
    <s v="nedson.reis@fadeltransportes.com.br"/>
    <x v="0"/>
    <s v="BR0219601"/>
    <d v="2026-07-01T00:00:00"/>
    <n v="1582677"/>
    <n v="6877966433"/>
    <x v="0"/>
    <s v="falta 5 carteiras de dunhill voyage double refresh"/>
    <m/>
    <m/>
    <m/>
    <m/>
    <m/>
    <s v="sem etiqueta"/>
    <s v="Nota Fiscal será retornada ao estoque"/>
    <m/>
    <m/>
    <m/>
    <m/>
    <m/>
  </r>
  <r>
    <x v="1"/>
    <s v="No prazo"/>
    <x v="6"/>
    <x v="26"/>
    <d v="2026-07-03T00:00:00"/>
    <x v="92"/>
    <d v="2026-07-07T00:00:00"/>
    <m/>
    <m/>
    <s v="MIL"/>
    <x v="0"/>
    <x v="1"/>
    <m/>
    <s v="CID Curitiba"/>
    <n v="622"/>
    <d v="2026-07-02T09:45:35"/>
    <s v="Curitiba"/>
    <s v="reservatvlondrina@gmail.com"/>
    <x v="1"/>
    <s v="BR0442242"/>
    <d v="2026-07-02T00:00:00"/>
    <n v="1582907"/>
    <n v="6877969115"/>
    <x v="0"/>
    <s v="10226415 25 lucky red box- 10226392 1 rot red white - 10231474 4 kent Red mix - 10226447 21 kent azul mc"/>
    <m/>
    <m/>
    <m/>
    <m/>
    <m/>
    <n v="0"/>
    <s v="Nota Fiscal será entregue com falta."/>
    <m/>
    <m/>
    <m/>
    <m/>
    <m/>
  </r>
  <r>
    <x v="2"/>
    <s v="No prazo"/>
    <x v="6"/>
    <x v="26"/>
    <d v="2026-07-03T00:00:00"/>
    <x v="92"/>
    <m/>
    <m/>
    <m/>
    <s v="MIL"/>
    <x v="0"/>
    <x v="1"/>
    <m/>
    <s v="CID Curitiba"/>
    <n v="623"/>
    <d v="2026-07-02T10:18:09"/>
    <s v="Curitiba"/>
    <s v="vilczak@hotmail.com"/>
    <x v="1"/>
    <s v="BR0442234"/>
    <d v="2026-06-30T00:00:00"/>
    <n v="1579937"/>
    <n v="6877734192"/>
    <x v="2"/>
    <s v="50066820 bolinho duplo bauduco 2_x000a_50066862 rool chocolate bauduco 3"/>
    <m/>
    <m/>
    <m/>
    <m/>
    <m/>
    <s v="Nao veio "/>
    <s v="Nota Fiscal será pendenciada"/>
    <m/>
    <m/>
    <m/>
    <m/>
    <m/>
  </r>
  <r>
    <x v="2"/>
    <s v="No prazo"/>
    <x v="6"/>
    <x v="26"/>
    <d v="2026-07-03T00:00:00"/>
    <x v="92"/>
    <d v="2026-07-07T00:00:00"/>
    <m/>
    <m/>
    <s v="MIL"/>
    <x v="0"/>
    <x v="0"/>
    <m/>
    <s v="CID Curitiba"/>
    <n v="624"/>
    <d v="2026-07-02T16:57:29"/>
    <s v="Curitiba"/>
    <s v="nedson.reis@fadeltransportes.com.br"/>
    <x v="0"/>
    <s v="BR0219605"/>
    <d v="2026-07-02T00:00:00"/>
    <n v="1583253"/>
    <n v="6877979921"/>
    <x v="1"/>
    <s v="Enviado 2 lucky mint no lugar de 2 lucky double "/>
    <m/>
    <m/>
    <m/>
    <m/>
    <m/>
    <s v="sem etiqueta"/>
    <s v="Nota Fiscal será retornada ao estoque"/>
    <m/>
    <m/>
    <m/>
    <m/>
    <m/>
  </r>
  <r>
    <x v="2"/>
    <s v="No prazo"/>
    <x v="6"/>
    <x v="27"/>
    <d v="2026-07-06T00:00:00"/>
    <x v="93"/>
    <d v="2026-07-08T00:00:00"/>
    <m/>
    <m/>
    <s v="MIL"/>
    <x v="0"/>
    <x v="0"/>
    <m/>
    <s v="CID Curitiba"/>
    <n v="626"/>
    <d v="2026-07-06T08:28:30"/>
    <s v="Curitiba"/>
    <s v="nedson.reis@fadeltransportes.com.br"/>
    <x v="0"/>
    <s v="BR0219605"/>
    <d v="2026-07-03T00:00:00"/>
    <n v="1583724"/>
    <n v="6877899349"/>
    <x v="0"/>
    <s v="Falta 5 pacotes de dunhill carlton blend"/>
    <m/>
    <m/>
    <m/>
    <m/>
    <m/>
    <s v="sem etiqueta"/>
    <s v="Nota Fiscal será entregue com falta."/>
    <m/>
    <m/>
    <m/>
    <m/>
    <m/>
  </r>
  <r>
    <x v="2"/>
    <s v="No prazo"/>
    <x v="6"/>
    <x v="27"/>
    <d v="2026-07-06T00:00:00"/>
    <x v="93"/>
    <d v="2026-07-08T00:00:00"/>
    <m/>
    <m/>
    <s v="MIL"/>
    <x v="0"/>
    <x v="0"/>
    <m/>
    <s v="CID Curitiba"/>
    <n v="627"/>
    <d v="2026-07-06T10:20:37"/>
    <s v="Curitiba"/>
    <s v="nedson.reis@fadeltransportes.com.br"/>
    <x v="0"/>
    <s v="BR0075598"/>
    <d v="2026-07-03T00:00:00"/>
    <n v="1584000"/>
    <n v="6878010159"/>
    <x v="0"/>
    <s v="faltou Isqueiro bic maxi berço c/50"/>
    <m/>
    <m/>
    <m/>
    <m/>
    <m/>
    <s v="sem etiqueta"/>
    <s v="Nota Fiscal será entregue com falta."/>
    <m/>
    <m/>
    <m/>
    <m/>
    <m/>
  </r>
  <r>
    <x v="1"/>
    <s v="No prazo"/>
    <x v="6"/>
    <x v="27"/>
    <d v="2026-07-06T00:00:00"/>
    <x v="93"/>
    <d v="2026-07-08T00:00:00"/>
    <m/>
    <m/>
    <s v="MIL"/>
    <x v="0"/>
    <x v="0"/>
    <m/>
    <s v="CID Curitiba"/>
    <n v="628"/>
    <d v="2026-07-06T14:49:10"/>
    <s v="Curitiba"/>
    <s v="nedson.reis@fadeltransportes.com.br"/>
    <x v="0"/>
    <s v="BR0075727"/>
    <d v="2026-07-02T00:00:00"/>
    <n v="1583360"/>
    <n v="6877994244"/>
    <x v="0"/>
    <s v="Falta 1 pacote do novo kent sabor"/>
    <m/>
    <m/>
    <m/>
    <m/>
    <m/>
    <s v="sem produto"/>
    <s v="Nota Fiscal será entregue com falta."/>
    <m/>
    <m/>
    <m/>
    <m/>
    <m/>
  </r>
  <r>
    <x v="0"/>
    <s v="No prazo"/>
    <x v="6"/>
    <x v="27"/>
    <d v="2026-07-09T00:00:00"/>
    <x v="94"/>
    <d v="2026-07-13T00:00:00"/>
    <m/>
    <m/>
    <s v="MIL"/>
    <x v="0"/>
    <x v="1"/>
    <m/>
    <s v="CID Curitiba"/>
    <n v="629"/>
    <d v="2026-07-07T07:34:41"/>
    <s v="Curitiba"/>
    <s v="Solismarmoraes@hotmail.com"/>
    <x v="1"/>
    <s v="BR0442231"/>
    <d v="2026-07-07T00:00:00"/>
    <n v="1578058"/>
    <n v="6877549538"/>
    <x v="0"/>
    <s v="Caixa lacrada faltando 1 pacote / '10224293"/>
    <m/>
    <m/>
    <m/>
    <m/>
    <m/>
    <s v="62/91"/>
    <s v="Produto foi retirado de outra nota fiscal."/>
    <m/>
    <m/>
    <m/>
    <m/>
    <m/>
  </r>
  <r>
    <x v="1"/>
    <s v="No prazo"/>
    <x v="6"/>
    <x v="27"/>
    <d v="2026-07-09T00:00:00"/>
    <x v="94"/>
    <d v="2026-07-13T00:00:00"/>
    <m/>
    <m/>
    <s v="MIL"/>
    <x v="0"/>
    <x v="1"/>
    <m/>
    <s v="CID Curitiba"/>
    <n v="630"/>
    <d v="2026-07-07T15:38:05"/>
    <s v="Curitiba"/>
    <s v="Alessandropedroso21@gmail.com"/>
    <x v="1"/>
    <s v="BR0442233"/>
    <d v="2026-07-06T00:00:00"/>
    <n v="1583952"/>
    <n v="6877958746"/>
    <x v="2"/>
    <s v="Aguradar chegar as mercadorias "/>
    <m/>
    <m/>
    <m/>
    <m/>
    <m/>
    <n v="0"/>
    <s v="Nota Fiscal será pendenciada"/>
    <m/>
    <m/>
    <m/>
    <m/>
    <m/>
  </r>
  <r>
    <x v="1"/>
    <s v="No prazo"/>
    <x v="6"/>
    <x v="27"/>
    <d v="2026-07-09T00:00:00"/>
    <x v="94"/>
    <d v="2026-07-13T00:00:00"/>
    <m/>
    <m/>
    <s v="MIL"/>
    <x v="0"/>
    <x v="1"/>
    <m/>
    <s v="CID Curitiba"/>
    <n v="631"/>
    <d v="2026-07-07T15:40:23"/>
    <s v="Curitiba"/>
    <s v="Alessandropedroso21@gmail.com"/>
    <x v="1"/>
    <s v="BR0442233"/>
    <d v="2026-07-06T00:00:00"/>
    <n v="1583670"/>
    <n v="6877861176"/>
    <x v="0"/>
    <s v="So veio as notas e nao os.produtos"/>
    <m/>
    <m/>
    <m/>
    <m/>
    <m/>
    <n v="0"/>
    <s v="Nota Fiscal será pendenciada"/>
    <m/>
    <m/>
    <m/>
    <m/>
    <m/>
  </r>
  <r>
    <x v="1"/>
    <s v="No prazo"/>
    <x v="6"/>
    <x v="27"/>
    <d v="2026-07-09T00:00:00"/>
    <x v="94"/>
    <d v="2026-07-13T00:00:00"/>
    <m/>
    <m/>
    <s v="MIL"/>
    <x v="0"/>
    <x v="1"/>
    <m/>
    <s v="CID Curitiba"/>
    <n v="632"/>
    <d v="2026-07-07T19:57:41"/>
    <s v="Curitiba"/>
    <s v="fabiopast.bat@gmail.com"/>
    <x v="1"/>
    <s v="BR0442245"/>
    <d v="2026-07-07T00:00:00"/>
    <n v="1584248"/>
    <n v="6877957441"/>
    <x v="0"/>
    <s v="10227896 Lucky strike double click box_x000a_50065431 tubes morango 12x12x15G"/>
    <m/>
    <m/>
    <m/>
    <m/>
    <m/>
    <s v="."/>
    <s v="Nota Fiscal será entregue com falta."/>
    <m/>
    <m/>
    <m/>
    <m/>
    <m/>
  </r>
  <r>
    <x v="1"/>
    <s v="No prazo"/>
    <x v="6"/>
    <x v="27"/>
    <d v="2026-07-09T00:00:00"/>
    <x v="95"/>
    <d v="2026-07-13T00:00:00"/>
    <m/>
    <m/>
    <s v="MIL"/>
    <x v="0"/>
    <x v="1"/>
    <m/>
    <s v="CID Curitiba"/>
    <n v="633"/>
    <d v="2026-07-08T08:52:34"/>
    <s v="Curitiba"/>
    <s v="Fernando.frank1@hotmail.com"/>
    <x v="1"/>
    <s v="BR0442246"/>
    <d v="2026-07-07T00:00:00"/>
    <n v="1583513"/>
    <n v="6877993296"/>
    <x v="0"/>
    <s v="05 milheiros (25 pacotes) 10226425 Lucky Blue Patterson box_x000a_09 cartelas 50063718 Barbeador proback _x000a_21 cartelas 50055233 Lâminas Wilkinson _x000a_01 display 50066153 Mais Mu Wheyfer chocolate _x000a_06 kit (24 cartelas) 50065406 Pilha zinco AA cartela c/4"/>
    <m/>
    <m/>
    <m/>
    <m/>
    <m/>
    <s v="Não tenho "/>
    <s v="Nota Fiscal será entregue com falta."/>
    <m/>
    <m/>
    <m/>
    <m/>
    <m/>
  </r>
  <r>
    <x v="1"/>
    <s v="No prazo"/>
    <x v="6"/>
    <x v="27"/>
    <d v="2026-07-09T00:00:00"/>
    <x v="95"/>
    <d v="2026-07-13T00:00:00"/>
    <m/>
    <m/>
    <s v="MIL"/>
    <x v="0"/>
    <x v="1"/>
    <m/>
    <s v="CID Curitiba"/>
    <n v="634"/>
    <d v="2026-07-08T09:20:35"/>
    <s v="Curitiba"/>
    <s v="Brunofdahmerpsouzac@gmail.com"/>
    <x v="1"/>
    <s v="BR0442185"/>
    <d v="2026-07-07T00:00:00"/>
    <n v="1583516"/>
    <n v="6878007282"/>
    <x v="0"/>
    <s v="10226399 rothmans hand select silver boxe - 5milheiros_x000a_50065405 pilha zinco AA4 28 TUBO - 3 DISPLAYS "/>
    <m/>
    <m/>
    <m/>
    <m/>
    <m/>
    <n v="1583516"/>
    <s v="Nota Fiscal será entregue com falta."/>
    <m/>
    <m/>
    <m/>
    <m/>
    <m/>
  </r>
  <r>
    <x v="2"/>
    <s v="No prazo"/>
    <x v="6"/>
    <x v="27"/>
    <d v="2026-07-09T00:00:00"/>
    <x v="95"/>
    <d v="2026-07-13T00:00:00"/>
    <m/>
    <m/>
    <s v="MIL"/>
    <x v="0"/>
    <x v="1"/>
    <m/>
    <s v="CID Curitiba"/>
    <n v="635"/>
    <d v="2026-07-08T12:07:29"/>
    <s v="Curitiba"/>
    <s v="gi.omega@hotmail.com"/>
    <x v="1"/>
    <s v="BR0442243"/>
    <d v="2026-07-08T00:00:00"/>
    <n v="1584838"/>
    <n v="6878049436"/>
    <x v="1"/>
    <s v="Falta 4 Mais Mu barra muke paoquita 60g_x000a_Sobra 4 mais mu wafer pacoquita"/>
    <m/>
    <m/>
    <m/>
    <m/>
    <m/>
    <n v="0"/>
    <s v="Nota Fiscal será pendenciada"/>
    <m/>
    <m/>
    <m/>
    <m/>
    <m/>
  </r>
  <r>
    <x v="0"/>
    <s v="No prazo"/>
    <x v="6"/>
    <x v="27"/>
    <d v="2026-07-09T00:00:00"/>
    <x v="95"/>
    <d v="2026-07-13T00:00:00"/>
    <m/>
    <m/>
    <s v="MIL"/>
    <x v="0"/>
    <x v="1"/>
    <m/>
    <s v="CID Curitiba"/>
    <n v="636"/>
    <d v="2026-07-09T00:00:00"/>
    <s v="Curitiba"/>
    <s v="reservatvlondrina@gmail.com"/>
    <x v="1"/>
    <s v="BR0442242"/>
    <d v="2026-07-09T00:00:00"/>
    <n v="15854209"/>
    <n v="0"/>
    <x v="2"/>
    <n v="0"/>
    <m/>
    <m/>
    <m/>
    <m/>
    <m/>
    <n v="0"/>
    <s v="Nota Fiscal será pendenciada"/>
    <m/>
    <m/>
    <m/>
    <m/>
    <m/>
  </r>
  <r>
    <x v="0"/>
    <s v="No prazo"/>
    <x v="6"/>
    <x v="27"/>
    <d v="2026-07-09T00:00:00"/>
    <x v="95"/>
    <d v="2026-07-13T00:00:00"/>
    <m/>
    <m/>
    <s v="MIL"/>
    <x v="0"/>
    <x v="1"/>
    <m/>
    <s v="CID Curitiba"/>
    <n v="637"/>
    <d v="2026-07-09T00:00:00"/>
    <s v="Curitiba"/>
    <s v="reservatvlondrina@gmail.com"/>
    <x v="1"/>
    <s v="BR0442242"/>
    <d v="2026-07-09T00:00:00"/>
    <n v="15854799"/>
    <n v="0"/>
    <x v="2"/>
    <n v="0"/>
    <m/>
    <m/>
    <m/>
    <m/>
    <m/>
    <n v="0"/>
    <s v="Produto foi retirado de outra nota fiscal."/>
    <m/>
    <n v="0"/>
    <m/>
    <m/>
    <m/>
  </r>
  <r>
    <x v="0"/>
    <s v="No prazo"/>
    <x v="6"/>
    <x v="27"/>
    <d v="2026-07-09T00:00:00"/>
    <x v="95"/>
    <d v="2026-07-13T00:00:00"/>
    <m/>
    <m/>
    <s v="MIL"/>
    <x v="0"/>
    <x v="1"/>
    <m/>
    <s v="CID Curitiba"/>
    <n v="638"/>
    <d v="2026-07-09T00:00:00"/>
    <s v="Curitiba"/>
    <s v="reservatvlondrina@gmail.com"/>
    <x v="1"/>
    <s v="BR0442242"/>
    <d v="2026-07-09T00:00:00"/>
    <n v="15854559"/>
    <n v="0"/>
    <x v="2"/>
    <n v="0"/>
    <m/>
    <m/>
    <m/>
    <m/>
    <m/>
    <n v="0"/>
    <s v="Nota Fiscal será pendenciada"/>
    <m/>
    <m/>
    <m/>
    <m/>
    <m/>
  </r>
  <r>
    <x v="0"/>
    <s v="No prazo"/>
    <x v="6"/>
    <x v="27"/>
    <d v="2026-07-09T00:00:00"/>
    <x v="95"/>
    <d v="2026-07-13T00:00:00"/>
    <m/>
    <m/>
    <s v="MIL"/>
    <x v="0"/>
    <x v="1"/>
    <m/>
    <s v="CID Curitiba"/>
    <n v="639"/>
    <d v="2026-07-09T00:00:00"/>
    <s v="Curitiba"/>
    <s v="reservatvlondrina@gmail.com"/>
    <x v="1"/>
    <s v="BR0442242"/>
    <d v="2026-07-09T00:00:00"/>
    <n v="15854839"/>
    <n v="0"/>
    <x v="2"/>
    <n v="0"/>
    <m/>
    <m/>
    <m/>
    <m/>
    <m/>
    <n v="0"/>
    <s v="Produto foi retirado de outra nota fiscal."/>
    <m/>
    <n v="0"/>
    <m/>
    <m/>
    <m/>
  </r>
  <r>
    <x v="2"/>
    <s v="No prazo"/>
    <x v="6"/>
    <x v="27"/>
    <d v="2026-07-09T00:00:00"/>
    <x v="95"/>
    <d v="2026-07-13T00:00:00"/>
    <m/>
    <m/>
    <s v="MIL"/>
    <x v="0"/>
    <x v="0"/>
    <m/>
    <s v="CID Curitiba"/>
    <n v="640"/>
    <d v="2026-07-09T00:00:00"/>
    <s v="Curitiba"/>
    <s v="nedson.reis@fadeltransportes.com.br"/>
    <x v="0"/>
    <s v="BR0075522"/>
    <d v="2026-07-09T00:00:00"/>
    <n v="1585860"/>
    <n v="6877906048"/>
    <x v="0"/>
    <s v="Falta meio pacote de kent red box "/>
    <m/>
    <m/>
    <m/>
    <m/>
    <m/>
    <n v="10807641"/>
    <s v="Nota Fiscal será entregue com falta."/>
    <m/>
    <m/>
    <m/>
    <m/>
    <m/>
  </r>
  <r>
    <x v="1"/>
    <s v="No prazo"/>
    <x v="6"/>
    <x v="27"/>
    <d v="2026-07-09T00:00:00"/>
    <x v="96"/>
    <d v="2026-07-21T00:00:00"/>
    <m/>
    <m/>
    <s v="MIL"/>
    <x v="0"/>
    <x v="1"/>
    <m/>
    <s v="CID Curitiba"/>
    <n v="641"/>
    <d v="2026-07-09T00:00:00"/>
    <s v="Curitiba"/>
    <s v="francisco8511bat@gmail.com"/>
    <x v="1"/>
    <s v="BR0442240"/>
    <d v="2026-07-09T00:00:00"/>
    <n v="1585480"/>
    <n v="6878079723"/>
    <x v="0"/>
    <s v="Nf com o produto não veio"/>
    <m/>
    <m/>
    <m/>
    <m/>
    <m/>
    <n v="0"/>
    <s v="Nota Fiscal será pendenciada"/>
    <m/>
    <s v="Reagendada"/>
    <m/>
    <m/>
    <m/>
  </r>
  <r>
    <x v="2"/>
    <s v="No prazo"/>
    <x v="6"/>
    <x v="27"/>
    <d v="2026-07-09T00:00:00"/>
    <x v="95"/>
    <d v="2026-07-13T00:00:00"/>
    <m/>
    <m/>
    <s v="MIL"/>
    <x v="0"/>
    <x v="1"/>
    <m/>
    <s v="CID Curitiba"/>
    <n v="642"/>
    <d v="2026-07-09T00:00:00"/>
    <s v="Curitiba"/>
    <s v="francisco8511bat@gmail.com"/>
    <x v="1"/>
    <s v="BR0442240"/>
    <d v="2026-07-09T00:00:00"/>
    <n v="1584799"/>
    <n v="6878033449"/>
    <x v="0"/>
    <s v="Produtos em falta   1pct  kent azul Box  1 pct luck strick red box"/>
    <m/>
    <m/>
    <m/>
    <m/>
    <m/>
    <n v="0"/>
    <s v="Nota Fiscal será entregue com falta."/>
    <m/>
    <s v="Foi retirado da carga tpe a falta ."/>
    <m/>
    <m/>
    <m/>
  </r>
  <r>
    <x v="1"/>
    <s v="No prazo"/>
    <x v="6"/>
    <x v="27"/>
    <d v="2026-07-16T00:00:00"/>
    <x v="97"/>
    <d v="2026-07-21T00:00:00"/>
    <d v="2026-07-21T00:00:00"/>
    <m/>
    <s v="MIL"/>
    <x v="0"/>
    <x v="1"/>
    <m/>
    <s v="CID Curitiba"/>
    <n v="643"/>
    <d v="2026-07-10T10:37:00"/>
    <s v="Curitiba"/>
    <s v="fabiopast.bat@gmail.com"/>
    <x v="1"/>
    <s v="BR0442245"/>
    <d v="2026-07-07T00:00:00"/>
    <n v="1584248"/>
    <n v="6877957441"/>
    <x v="0"/>
    <s v="50063028 Bic Decor Trend-50067285 Papel Trevo Prc/ Falta NF 1584248/   22 Isqueiros Bic decor trend /   5 papel trevo "/>
    <m/>
    <m/>
    <m/>
    <m/>
    <m/>
    <s v="."/>
    <s v="Nota Fiscal será entregue com falta."/>
    <m/>
    <m/>
    <m/>
    <m/>
    <m/>
  </r>
  <r>
    <x v="2"/>
    <s v="No prazo"/>
    <x v="6"/>
    <x v="28"/>
    <d v="2026-07-16T00:00:00"/>
    <x v="98"/>
    <d v="2026-07-17T00:00:00"/>
    <m/>
    <m/>
    <s v="MIL"/>
    <x v="0"/>
    <x v="0"/>
    <m/>
    <s v="CID Curitiba"/>
    <n v="644"/>
    <d v="2026-07-13T09:54:04"/>
    <s v="Curitiba"/>
    <s v="nedson.reis@fadeltransportes.com.br"/>
    <x v="0"/>
    <s v="BR0075562"/>
    <d v="2026-07-10T00:00:00"/>
    <n v="1586557"/>
    <n v="6877940727"/>
    <x v="1"/>
    <s v="Enviado um pacote roth red maço no lugar de um kent red maço"/>
    <m/>
    <m/>
    <m/>
    <m/>
    <m/>
    <s v="sem etiqueta"/>
    <s v="Nota Fiscal será retornada ao estoque"/>
    <m/>
    <m/>
    <m/>
    <m/>
    <m/>
  </r>
  <r>
    <x v="2"/>
    <s v="No prazo"/>
    <x v="6"/>
    <x v="28"/>
    <d v="2026-07-16T00:00:00"/>
    <x v="99"/>
    <d v="2026-07-17T00:00:00"/>
    <m/>
    <m/>
    <s v="MIL"/>
    <x v="0"/>
    <x v="1"/>
    <m/>
    <s v="CID Curitiba"/>
    <n v="645"/>
    <d v="2026-07-14T12:10:47"/>
    <s v="Curitiba"/>
    <s v="Alessandropedroso21@gmail.com"/>
    <x v="1"/>
    <s v="BR0442233"/>
    <d v="2026-07-16T00:00:00"/>
    <n v="1586268"/>
    <n v="6878104832"/>
    <x v="1"/>
    <s v="Veio 50 kent pro blue_x000a_Era _x000a_50 rothmans White blue"/>
    <m/>
    <m/>
    <m/>
    <m/>
    <m/>
    <n v="10827563"/>
    <s v="Nota Fiscal será entregue com falta."/>
    <m/>
    <m/>
    <m/>
    <m/>
    <m/>
  </r>
  <r>
    <x v="2"/>
    <s v="No prazo"/>
    <x v="6"/>
    <x v="28"/>
    <d v="2026-07-16T00:00:00"/>
    <x v="99"/>
    <d v="2026-07-17T00:00:00"/>
    <d v="2026-07-17T00:00:00"/>
    <m/>
    <s v="MIL"/>
    <x v="0"/>
    <x v="1"/>
    <m/>
    <s v="CID Curitiba"/>
    <n v="646"/>
    <d v="2026-07-14T12:36:54"/>
    <s v="Curitiba"/>
    <s v="tv503.zv336@gmail.com"/>
    <x v="1"/>
    <s v="BR0442236"/>
    <d v="2026-07-14T00:00:00"/>
    <n v="1586870"/>
    <n v="6878135166"/>
    <x v="0"/>
    <s v="10226415 - LUCKY STRIKE AMERICAN ORIGINAL  BOX HM25 - 50 PACOTES"/>
    <m/>
    <m/>
    <m/>
    <m/>
    <m/>
    <s v="CXG: 226362"/>
    <s v="Nota Fiscal será entregue com falta."/>
    <m/>
    <m/>
    <m/>
    <m/>
    <m/>
  </r>
  <r>
    <x v="2"/>
    <s v="No prazo"/>
    <x v="6"/>
    <x v="28"/>
    <d v="2026-07-16T00:00:00"/>
    <x v="99"/>
    <d v="2026-07-17T00:00:00"/>
    <d v="2026-07-17T00:00:00"/>
    <m/>
    <s v="MIL"/>
    <x v="0"/>
    <x v="1"/>
    <m/>
    <s v="CID Curitiba"/>
    <n v="647"/>
    <d v="2026-07-14T12:44:10"/>
    <s v="Curitiba"/>
    <s v="tv503.zv336@gmail.com"/>
    <x v="1"/>
    <s v="BR0442236"/>
    <d v="2026-07-14T00:00:00"/>
    <n v="1586870"/>
    <n v="6878135166"/>
    <x v="4"/>
    <s v="10226435 - LUCKY STRIKE RED MIX BOX HW25 - 50 PACOTES "/>
    <m/>
    <m/>
    <m/>
    <m/>
    <m/>
    <s v="CXG: 226362"/>
    <s v="Nota Fiscal será entregue com falta."/>
    <m/>
    <m/>
    <m/>
    <m/>
    <m/>
  </r>
  <r>
    <x v="2"/>
    <s v="No prazo"/>
    <x v="6"/>
    <x v="28"/>
    <d v="2026-07-16T00:00:00"/>
    <x v="99"/>
    <d v="2026-07-20T00:00:00"/>
    <d v="2026-07-23T00:00:00"/>
    <m/>
    <s v="MIL"/>
    <x v="0"/>
    <x v="1"/>
    <m/>
    <s v="CID Curitiba"/>
    <n v="648"/>
    <d v="2026-07-14T13:18:20"/>
    <s v="Curitiba"/>
    <s v="paulo-bassani@hotmail.com"/>
    <x v="1"/>
    <s v="BR0442235"/>
    <d v="2026-07-14T00:00:00"/>
    <n v="1586676"/>
    <n v="6878127081"/>
    <x v="0"/>
    <s v="30 CARTEIRAS 10226435 LUCKY STRIK  RED MIX _x000a__x000a_20 CARTEIRAS 10226418 LUCKY STRIK PURPLE "/>
    <m/>
    <m/>
    <m/>
    <m/>
    <m/>
    <s v="...."/>
    <s v="Nota Fiscal será pendenciada"/>
    <m/>
    <m/>
    <m/>
    <m/>
    <m/>
  </r>
  <r>
    <x v="2"/>
    <s v="No prazo"/>
    <x v="6"/>
    <x v="28"/>
    <d v="2026-07-16T00:00:00"/>
    <x v="100"/>
    <d v="2026-07-17T00:00:00"/>
    <d v="2026-07-17T00:00:00"/>
    <m/>
    <s v="MIL"/>
    <x v="0"/>
    <x v="0"/>
    <m/>
    <s v="CID Curitiba"/>
    <n v="649"/>
    <d v="2026-07-16T08:12:57"/>
    <s v="Curitiba"/>
    <s v="nedson.reis@fadeltransportes.com.br"/>
    <x v="0"/>
    <s v="BR0075488"/>
    <d v="2026-07-15T00:00:00"/>
    <n v="1587858"/>
    <n v="6878185016"/>
    <x v="0"/>
    <s v="Falta 1 caixa de bic mini "/>
    <m/>
    <m/>
    <m/>
    <m/>
    <m/>
    <s v="sem etiqueta"/>
    <s v="Nota Fiscal será entregue com falta."/>
    <m/>
    <m/>
    <m/>
    <m/>
    <m/>
  </r>
  <r>
    <x v="2"/>
    <s v="No prazo"/>
    <x v="6"/>
    <x v="28"/>
    <d v="2026-07-16T00:00:00"/>
    <x v="100"/>
    <d v="2026-07-17T00:00:00"/>
    <d v="2026-07-17T00:00:00"/>
    <m/>
    <s v="MIL"/>
    <x v="0"/>
    <x v="0"/>
    <m/>
    <s v="CID Curitiba"/>
    <n v="650"/>
    <d v="2026-07-16T08:18:42"/>
    <s v="Curitiba"/>
    <s v="nedson.reis@fadeltransportes.com.br"/>
    <x v="0"/>
    <s v="BR0075781"/>
    <d v="2026-07-15T00:00:00"/>
    <n v="1587663"/>
    <n v="6878183345"/>
    <x v="0"/>
    <s v="Falta 2 unidades de mais mu paçoquita "/>
    <m/>
    <m/>
    <m/>
    <m/>
    <m/>
    <s v="sem etiqueta"/>
    <s v="Nota Fiscal será retornada ao estoque"/>
    <m/>
    <m/>
    <m/>
    <m/>
    <m/>
  </r>
  <r>
    <x v="1"/>
    <s v="No prazo"/>
    <x v="6"/>
    <x v="28"/>
    <d v="2026-07-16T00:00:00"/>
    <x v="100"/>
    <d v="2026-07-17T00:00:00"/>
    <d v="2026-07-17T00:00:00"/>
    <m/>
    <s v="MIL"/>
    <x v="0"/>
    <x v="0"/>
    <m/>
    <s v="CID Curitiba"/>
    <n v="651"/>
    <d v="2026-07-16T08:34:02"/>
    <s v="Curitiba"/>
    <s v="nedson.reis@fadeltransportes.com"/>
    <x v="0"/>
    <s v="BR0075494"/>
    <d v="2026-07-14T00:00:00"/>
    <n v="1587113"/>
    <n v="6878126749"/>
    <x v="0"/>
    <s v="falta 1 pacote de roth double click"/>
    <m/>
    <m/>
    <m/>
    <m/>
    <m/>
    <s v="sem etiqueta"/>
    <s v="Nota Fiscal será entregue com falta."/>
    <m/>
    <m/>
    <m/>
    <m/>
    <m/>
  </r>
  <r>
    <x v="2"/>
    <s v="No prazo"/>
    <x v="6"/>
    <x v="28"/>
    <d v="2026-07-20T00:00:00"/>
    <x v="100"/>
    <d v="2026-07-21T00:00:00"/>
    <m/>
    <m/>
    <s v="MIL"/>
    <x v="0"/>
    <x v="0"/>
    <m/>
    <s v="CID Curitiba"/>
    <n v="653"/>
    <d v="2026-07-16T10:51:49"/>
    <s v="Curitiba"/>
    <s v="nedson.reis@fadeltransportes.com.br"/>
    <x v="0"/>
    <s v="BR0075522"/>
    <d v="2026-07-16T00:00:00"/>
    <n v="1588221"/>
    <n v="6878196837"/>
    <x v="0"/>
    <s v="Falta 5 carteiras de roth double click"/>
    <m/>
    <m/>
    <m/>
    <m/>
    <m/>
    <s v="sem etiqueta"/>
    <s v="Nota Fiscal será entregue com falta."/>
    <m/>
    <m/>
    <m/>
    <m/>
    <m/>
  </r>
  <r>
    <x v="1"/>
    <s v="No prazo"/>
    <x v="6"/>
    <x v="28"/>
    <d v="2026-07-20T00:00:00"/>
    <x v="100"/>
    <d v="2026-07-22T00:00:00"/>
    <d v="2026-07-23T00:00:00"/>
    <m/>
    <s v="MIL"/>
    <x v="0"/>
    <x v="1"/>
    <m/>
    <s v="CID Curitiba"/>
    <n v="654"/>
    <d v="2026-07-16T18:04:19"/>
    <s v="Curitiba"/>
    <s v="fernando.frank1@hotmail.com"/>
    <x v="1"/>
    <s v="BR0442246"/>
    <d v="2026-07-16T00:00:00"/>
    <n v="1587571"/>
    <n v="6878158775"/>
    <x v="0"/>
    <s v="1,8 (09 pacotes) 10226428 Lucky Blue Original Box_x000a_12 display 50066135 Fini banana_x000a_12 display 50066133 Fini  beijo_x000a_12 display 50066125 Fini dentadura _x000a_04 cx 50057346 Bobina Premium "/>
    <m/>
    <m/>
    <m/>
    <m/>
    <m/>
    <s v="Não tenho "/>
    <s v="Nota Fiscal será entregue com falta."/>
    <m/>
    <m/>
    <m/>
    <m/>
    <m/>
  </r>
  <r>
    <x v="2"/>
    <s v="No prazo"/>
    <x v="6"/>
    <x v="28"/>
    <d v="2026-07-20T00:00:00"/>
    <x v="101"/>
    <d v="2026-07-21T00:00:00"/>
    <d v="2026-07-21T00:00:00"/>
    <m/>
    <s v="MIL"/>
    <x v="0"/>
    <x v="1"/>
    <m/>
    <s v="CID Curitiba"/>
    <n v="655"/>
    <d v="2026-07-17T15:55:20"/>
    <s v="Curitiba"/>
    <s v="fabiopast.bat@gmail.com"/>
    <x v="1"/>
    <s v="BR0442245"/>
    <d v="2026-07-07T00:00:00"/>
    <n v="1584248"/>
    <n v="6877957441"/>
    <x v="0"/>
    <s v="50065250 BIC COMFORT 2 C/12"/>
    <m/>
    <m/>
    <m/>
    <m/>
    <m/>
    <s v="."/>
    <s v="Nota Fiscal será entregue com falta."/>
    <m/>
    <m/>
    <m/>
    <m/>
    <m/>
  </r>
  <r>
    <x v="2"/>
    <s v="No prazo"/>
    <x v="6"/>
    <x v="28"/>
    <d v="2026-07-20T00:00:00"/>
    <x v="101"/>
    <d v="2026-07-21T00:00:00"/>
    <m/>
    <m/>
    <s v="MIL"/>
    <x v="0"/>
    <x v="0"/>
    <m/>
    <s v="CID Curitiba"/>
    <n v="656"/>
    <d v="2026-07-17T15:55:40"/>
    <s v="Curitiba"/>
    <s v="nedson.reis@fadeltransportes.com.br"/>
    <x v="0"/>
    <s v="BR0075485"/>
    <d v="2026-07-17T00:00:00"/>
    <n v="1588645"/>
    <n v="6878205787"/>
    <x v="1"/>
    <s v="foi enviado 50 pacotes de Kent pro Silver no lugar de 50 Dunhill"/>
    <m/>
    <m/>
    <m/>
    <m/>
    <m/>
    <s v="sem etiqueta "/>
    <s v="Nota Fiscal será retornada ao estoque"/>
    <m/>
    <m/>
    <m/>
    <m/>
    <m/>
  </r>
  <r>
    <x v="1"/>
    <s v="No prazo"/>
    <x v="6"/>
    <x v="29"/>
    <d v="2026-07-20T00:00:00"/>
    <x v="102"/>
    <d v="2026-07-21T00:00:00"/>
    <m/>
    <m/>
    <s v="MIL"/>
    <x v="0"/>
    <x v="1"/>
    <m/>
    <s v="CID Curitiba"/>
    <n v="657"/>
    <d v="2026-07-20T12:25:10"/>
    <s v="Curitiba"/>
    <s v="Cascavel502865@gmail.com"/>
    <x v="1"/>
    <s v="BR0442702"/>
    <d v="2026-07-20T00:00:00"/>
    <n v="1587418"/>
    <n v="6878038651"/>
    <x v="0"/>
    <s v="Veio a nota 168 porém faltou 12 unidades de + mu cappuccino"/>
    <m/>
    <m/>
    <m/>
    <m/>
    <m/>
    <n v="6878038651"/>
    <s v="Nota Fiscal será entregue com falta."/>
    <m/>
    <m/>
    <m/>
    <m/>
    <m/>
  </r>
  <r>
    <x v="1"/>
    <s v="No prazo"/>
    <x v="6"/>
    <x v="29"/>
    <d v="2026-07-20T00:00:00"/>
    <x v="102"/>
    <d v="2026-07-22T00:00:00"/>
    <d v="2026-07-24T00:00:00"/>
    <m/>
    <s v="MIL"/>
    <x v="0"/>
    <x v="1"/>
    <m/>
    <s v="CID Curitiba"/>
    <n v="658"/>
    <d v="2026-07-20T14:47:58"/>
    <s v="Curitiba"/>
    <s v="Cascavel502865@gmail.com"/>
    <x v="1"/>
    <s v="BR0442702"/>
    <d v="2026-07-17T00:00:00"/>
    <n v="1586695"/>
    <n v="6877837889"/>
    <x v="0"/>
    <s v="Faltou 1 caixa kent azul box"/>
    <m/>
    <m/>
    <m/>
    <m/>
    <m/>
    <n v="6877837889"/>
    <s v="Produto foi retirado de outra nota fiscal."/>
    <m/>
    <m/>
    <m/>
    <m/>
    <m/>
  </r>
  <r>
    <x v="1"/>
    <s v="No prazo"/>
    <x v="6"/>
    <x v="29"/>
    <d v="2026-07-20T00:00:00"/>
    <x v="102"/>
    <d v="2026-07-22T00:00:00"/>
    <d v="2026-07-23T00:00:00"/>
    <m/>
    <s v="MIL"/>
    <x v="0"/>
    <x v="1"/>
    <m/>
    <s v="CID Curitiba"/>
    <n v="659"/>
    <d v="2026-07-20T14:50:53"/>
    <s v="Curitiba"/>
    <s v="gi.omega@hotmail.com"/>
    <x v="1"/>
    <s v="BR0442243"/>
    <d v="2026-07-09T00:00:00"/>
    <n v="1585429"/>
    <n v="6878082251"/>
    <x v="2"/>
    <s v="Faltas totais"/>
    <m/>
    <m/>
    <m/>
    <m/>
    <m/>
    <n v="0"/>
    <s v="Nota Fiscal será pendenciada"/>
    <m/>
    <m/>
    <m/>
    <m/>
    <m/>
  </r>
  <r>
    <x v="1"/>
    <s v="No prazo"/>
    <x v="6"/>
    <x v="29"/>
    <d v="2026-07-20T00:00:00"/>
    <x v="102"/>
    <d v="2026-07-21T00:00:00"/>
    <m/>
    <m/>
    <s v="MIL"/>
    <x v="0"/>
    <x v="0"/>
    <m/>
    <s v="CID Curitiba"/>
    <n v="660"/>
    <d v="2026-07-20T14:51:07"/>
    <s v="Curitiba"/>
    <s v="nedson.reis@fadeltransportes.com.br"/>
    <x v="0"/>
    <s v="BR0075494"/>
    <d v="2026-07-20T00:00:00"/>
    <n v="1589194"/>
    <n v="6878243192"/>
    <x v="0"/>
    <s v="1 rothmans global blue"/>
    <m/>
    <m/>
    <m/>
    <m/>
    <m/>
    <s v="sem etiqueta"/>
    <s v="Nota Fiscal será retornada ao estoque"/>
    <m/>
    <m/>
    <m/>
    <m/>
    <m/>
  </r>
  <r>
    <x v="1"/>
    <s v="No prazo"/>
    <x v="6"/>
    <x v="29"/>
    <d v="2026-07-20T00:00:00"/>
    <x v="102"/>
    <d v="2026-07-22T00:00:00"/>
    <d v="2026-07-23T00:00:00"/>
    <m/>
    <s v="MIL"/>
    <x v="0"/>
    <x v="1"/>
    <m/>
    <s v="CID Curitiba"/>
    <n v="661"/>
    <d v="2026-07-20T15:34:28"/>
    <s v="Curitiba"/>
    <s v="Valde.souzacruz@hotmail.com"/>
    <x v="1"/>
    <s v="BR0442230"/>
    <d v="2026-07-20T00:00:00"/>
    <n v="1587417"/>
    <n v="6878011203"/>
    <x v="0"/>
    <s v="Isqueiro bic maxi c/6"/>
    <m/>
    <m/>
    <m/>
    <m/>
    <m/>
    <s v="Faltou a cx "/>
    <s v="Produto foi retirado de outra nota fiscal."/>
    <m/>
    <m/>
    <m/>
    <m/>
    <m/>
  </r>
  <r>
    <x v="2"/>
    <s v="No prazo"/>
    <x v="6"/>
    <x v="29"/>
    <d v="2026-07-20T00:00:00"/>
    <x v="102"/>
    <d v="2026-07-22T00:00:00"/>
    <d v="2026-07-27T00:00:00"/>
    <m/>
    <s v="MIL"/>
    <x v="0"/>
    <x v="1"/>
    <m/>
    <s v="CID Curitiba"/>
    <n v="662"/>
    <d v="2026-07-20T15:37:12"/>
    <s v="Curitiba"/>
    <s v="Valde.souzacruz@hotmail.com"/>
    <x v="1"/>
    <s v="BR0442230"/>
    <d v="2026-07-20T00:00:00"/>
    <n v="1585987"/>
    <n v="6878098297"/>
    <x v="0"/>
    <s v="Isqueiro bic maxi c/6_x000a_Isqueiro bic mini c/6"/>
    <m/>
    <m/>
    <m/>
    <m/>
    <m/>
    <s v="Tpe"/>
    <s v="Nota Fiscal será entregue com falta."/>
    <m/>
    <m/>
    <m/>
    <m/>
    <m/>
  </r>
  <r>
    <x v="2"/>
    <s v="No prazo"/>
    <x v="6"/>
    <x v="29"/>
    <d v="2026-07-21T00:00:00"/>
    <x v="103"/>
    <d v="2026-07-23T00:00:00"/>
    <d v="2026-07-27T00:00:00"/>
    <m/>
    <s v="MIL"/>
    <x v="0"/>
    <x v="1"/>
    <m/>
    <s v="CID Curitiba"/>
    <n v="663"/>
    <d v="2026-07-21T10:11:17"/>
    <s v="Curitiba"/>
    <s v="francisco8511bat@gmail.com"/>
    <x v="1"/>
    <s v="BR0442240"/>
    <d v="2026-07-23T00:00:00"/>
    <n v="1588844"/>
    <n v="6878038639"/>
    <x v="1"/>
    <s v="Luck strike red mix  5 pacotes em _x000a_Vês de  luck strike blu Patterson ._x000a_"/>
    <m/>
    <m/>
    <m/>
    <m/>
    <m/>
    <n v="10883254"/>
    <s v="Nota Fiscal será entregue com falta."/>
    <m/>
    <m/>
    <m/>
    <m/>
    <m/>
  </r>
  <r>
    <x v="2"/>
    <s v="No prazo"/>
    <x v="6"/>
    <x v="29"/>
    <d v="2026-07-21T00:00:00"/>
    <x v="103"/>
    <d v="2026-07-23T00:00:00"/>
    <d v="2026-07-28T00:00:00"/>
    <m/>
    <s v="MIL"/>
    <x v="0"/>
    <x v="1"/>
    <m/>
    <s v="CID Curitiba"/>
    <n v="664"/>
    <d v="2026-07-21T10:22:51"/>
    <s v="Curitiba"/>
    <s v="Carlosaparecidomelo@gmail.com"/>
    <x v="1"/>
    <s v="BR0442185"/>
    <d v="2026-07-20T00:00:00"/>
    <n v="1587420"/>
    <n v="6878144817"/>
    <x v="0"/>
    <s v="Faltou uma caixa de dunhil on red"/>
    <m/>
    <m/>
    <m/>
    <m/>
    <m/>
    <s v="Bro0442185 001 20/07/001"/>
    <s v="Nota Fiscal será entregue com falta."/>
    <m/>
    <m/>
    <m/>
    <m/>
    <m/>
  </r>
  <r>
    <x v="0"/>
    <s v="No prazo"/>
    <x v="6"/>
    <x v="29"/>
    <d v="2026-07-22T00:00:00"/>
    <x v="103"/>
    <d v="2026-07-23T00:00:00"/>
    <d v="2026-07-27T00:00:00"/>
    <m/>
    <s v="MIL"/>
    <x v="0"/>
    <x v="1"/>
    <m/>
    <s v="CID Curitiba"/>
    <n v="665"/>
    <d v="2026-07-21T00:00:00"/>
    <s v="Curitiba"/>
    <s v="Julianosavagin@gmail.com"/>
    <x v="1"/>
    <s v="BR0442232"/>
    <d v="2026-07-21T00:00:00"/>
    <n v="15895309"/>
    <n v="6878232517"/>
    <x v="2"/>
    <s v="Não recebi nota nem produtos ate o momento."/>
    <m/>
    <m/>
    <m/>
    <m/>
    <m/>
    <n v="0"/>
    <s v="Nota Fiscal será pendenciada"/>
    <m/>
    <s v="Entrega reagendada ate o envio dos produtos e nota."/>
    <m/>
    <m/>
    <m/>
  </r>
  <r>
    <x v="1"/>
    <s v="No prazo"/>
    <x v="6"/>
    <x v="29"/>
    <d v="2026-07-22T00:00:00"/>
    <x v="104"/>
    <d v="2026-07-24T00:00:00"/>
    <d v="2026-07-27T00:00:00"/>
    <m/>
    <s v="MIL"/>
    <x v="0"/>
    <x v="1"/>
    <m/>
    <s v="CID Curitiba"/>
    <n v="666"/>
    <d v="2026-07-22T00:00:00"/>
    <s v="Curitiba"/>
    <s v="gi.omega@hotmail.com"/>
    <x v="1"/>
    <s v="BR0442243"/>
    <d v="2026-07-20T00:00:00"/>
    <n v="1588421"/>
    <n v="6878200732"/>
    <x v="0"/>
    <s v="05 pacotes cod 10226402 luck strike fresh double ice box"/>
    <m/>
    <m/>
    <m/>
    <m/>
    <m/>
    <n v="0"/>
    <s v="Nota Fiscal será pendenciada"/>
    <m/>
    <n v="0"/>
    <m/>
    <m/>
    <m/>
  </r>
  <r>
    <x v="2"/>
    <s v="No prazo"/>
    <x v="6"/>
    <x v="29"/>
    <d v="2026-07-22T00:00:00"/>
    <x v="104"/>
    <d v="2026-07-24T00:00:00"/>
    <d v="2026-07-27T00:00:00"/>
    <m/>
    <s v="MIL"/>
    <x v="0"/>
    <x v="0"/>
    <m/>
    <s v="CID Curitiba"/>
    <n v="668"/>
    <d v="2026-07-22T00:00:00"/>
    <s v="Curitiba"/>
    <s v="nedson.reis@fadeltransportes.com.br"/>
    <x v="0"/>
    <s v="BR0075950"/>
    <d v="2026-07-22T00:00:00"/>
    <n v="1590288"/>
    <n v="6878285218"/>
    <x v="1"/>
    <s v="Enviado um pacote de roth click sense no lugar de um pacote kent azul maço"/>
    <m/>
    <m/>
    <m/>
    <m/>
    <m/>
    <s v="sem etiqueta"/>
    <s v="Nota Fiscal será retornada ao estoque"/>
    <m/>
    <m/>
    <m/>
    <m/>
    <m/>
  </r>
  <r>
    <x v="2"/>
    <s v="No prazo"/>
    <x v="6"/>
    <x v="29"/>
    <d v="2026-07-22T00:00:00"/>
    <x v="104"/>
    <d v="2026-07-24T00:00:00"/>
    <d v="2026-07-27T00:00:00"/>
    <m/>
    <s v="MIL"/>
    <x v="0"/>
    <x v="0"/>
    <m/>
    <s v="CID Curitiba"/>
    <n v="669"/>
    <d v="2026-07-22T00:00:00"/>
    <s v="Curitiba"/>
    <s v="nedson.reis@fadeltransportes.com.br"/>
    <x v="0"/>
    <s v="BR0075950"/>
    <d v="2026-07-22T00:00:00"/>
    <n v="1590087"/>
    <n v="6878228994"/>
    <x v="0"/>
    <s v="Falta 3 pacotes de Dunhill In Blue"/>
    <m/>
    <m/>
    <m/>
    <m/>
    <m/>
    <s v="sem etiqueta"/>
    <s v="Nota Fiscal será retornada ao estoque"/>
    <m/>
    <m/>
    <m/>
    <m/>
    <m/>
  </r>
  <r>
    <x v="2"/>
    <s v="No prazo"/>
    <x v="6"/>
    <x v="29"/>
    <d v="2026-07-22T00:00:00"/>
    <x v="104"/>
    <d v="2026-07-24T00:00:00"/>
    <d v="2026-07-27T00:00:00"/>
    <m/>
    <s v="MIL"/>
    <x v="0"/>
    <x v="0"/>
    <m/>
    <s v="CID Curitiba"/>
    <n v="670"/>
    <d v="2026-07-22T00:00:00"/>
    <s v="Curitiba"/>
    <s v="nedson.reis@fadeltransportes.com.br"/>
    <x v="0"/>
    <s v="BR0075549"/>
    <d v="2026-07-22T00:00:00"/>
    <n v="1590159"/>
    <n v="6878284343"/>
    <x v="1"/>
    <s v="Enviado uma caixa com 50 pacotes de dunhill carlton no lugar de 50 pacotes kent pro silver"/>
    <m/>
    <m/>
    <m/>
    <m/>
    <m/>
    <s v="sem etiqueta"/>
    <s v="Nota Fiscal será retornada ao estoque"/>
    <m/>
    <m/>
    <m/>
    <m/>
    <m/>
  </r>
  <r>
    <x v="2"/>
    <s v="No prazo"/>
    <x v="6"/>
    <x v="29"/>
    <d v="2026-07-22T00:00:00"/>
    <x v="104"/>
    <d v="2026-07-24T00:00:00"/>
    <m/>
    <m/>
    <s v="MIL"/>
    <x v="0"/>
    <x v="0"/>
    <m/>
    <s v="CID Curitiba"/>
    <n v="671"/>
    <d v="2026-07-22T00:00:00"/>
    <s v="Curitiba"/>
    <s v="nedson.reis@fadeltransportes.com.br"/>
    <x v="0"/>
    <s v="BR0219601"/>
    <d v="2026-07-22T00:00:00"/>
    <n v="1590564"/>
    <n v="6878296802"/>
    <x v="1"/>
    <s v="Enviado um pacote de kent azul maço no lugar de um rothmans click sense "/>
    <m/>
    <m/>
    <m/>
    <m/>
    <m/>
    <s v="sem etiqueta"/>
    <s v="Nota Fiscal será entregue com falta."/>
    <m/>
    <m/>
    <m/>
    <m/>
    <m/>
  </r>
  <r>
    <x v="2"/>
    <s v="No prazo"/>
    <x v="6"/>
    <x v="29"/>
    <d v="2026-07-22T00:00:00"/>
    <x v="104"/>
    <d v="2026-07-24T00:00:00"/>
    <m/>
    <m/>
    <s v="MIL"/>
    <x v="0"/>
    <x v="0"/>
    <m/>
    <s v="CID Curitiba"/>
    <n v="672"/>
    <d v="2026-07-22T00:00:00"/>
    <s v="Curitiba"/>
    <s v="nedson.reis@fadeltransportes.com.br"/>
    <x v="0"/>
    <s v="BR0075507"/>
    <d v="2026-07-22T00:00:00"/>
    <n v="1590434"/>
    <n v="6878296490"/>
    <x v="0"/>
    <s v="Falta 1 pacote de rothmans blue box "/>
    <m/>
    <m/>
    <m/>
    <m/>
    <m/>
    <s v="Sem etiqueta "/>
    <s v="Nota Fiscal será retornada ao estoque"/>
    <m/>
    <s v="Feito uma nota de devolução parcial "/>
    <m/>
    <m/>
    <m/>
  </r>
  <r>
    <x v="1"/>
    <s v="No prazo"/>
    <x v="6"/>
    <x v="29"/>
    <d v="2026-07-23T00:00:00"/>
    <x v="105"/>
    <d v="2026-07-28T00:00:00"/>
    <d v="2026-07-27T00:00:00"/>
    <m/>
    <s v="MIL"/>
    <x v="0"/>
    <x v="1"/>
    <m/>
    <s v="CID Curitiba"/>
    <n v="673"/>
    <d v="2026-07-23T00:00:00"/>
    <s v="Curitiba"/>
    <s v="francisco8511bat@gmail.com"/>
    <x v="1"/>
    <s v="BR0442240"/>
    <d v="2026-07-17T00:00:00"/>
    <n v="1588576"/>
    <n v="6878212622"/>
    <x v="0"/>
    <s v="Dunhill carton blend 48 pacotes  Rothmans hand core blu Box 2 pacotes "/>
    <m/>
    <m/>
    <m/>
    <m/>
    <m/>
    <n v="0"/>
    <s v="Nota Fiscal será entregue com falta."/>
    <m/>
    <s v="Veio somente a nota e faltou os produtos  Nf 1588576"/>
    <m/>
    <m/>
    <m/>
  </r>
  <r>
    <x v="2"/>
    <s v="No prazo"/>
    <x v="6"/>
    <x v="29"/>
    <d v="2026-07-23T00:00:00"/>
    <x v="105"/>
    <d v="2026-07-28T00:00:00"/>
    <d v="2026-07-27T00:00:00"/>
    <m/>
    <s v="MIL"/>
    <x v="0"/>
    <x v="1"/>
    <m/>
    <s v="CID Curitiba"/>
    <n v="674"/>
    <d v="2026-07-23T00:00:00"/>
    <s v="Curitiba"/>
    <s v="francisco8511bat@gmail.com"/>
    <x v="1"/>
    <s v="BR0442240"/>
    <d v="2026-07-27T00:00:00"/>
    <n v="1590528"/>
    <n v="6878215488"/>
    <x v="0"/>
    <s v="Kent blue box Faltou 2 pacotes  Dunhil carton blen blu Box 5 pacotes "/>
    <m/>
    <m/>
    <m/>
    <m/>
    <m/>
    <n v="0"/>
    <s v="Nota Fiscal será entregue com falta."/>
    <m/>
    <s v="Nota entregue , tirado da carga tpe Nf 1590528"/>
    <m/>
    <m/>
    <m/>
  </r>
  <r>
    <x v="2"/>
    <s v="No prazo"/>
    <x v="6"/>
    <x v="29"/>
    <d v="2026-07-23T00:00:00"/>
    <x v="105"/>
    <d v="2026-07-28T00:00:00"/>
    <d v="2026-07-27T00:00:00"/>
    <m/>
    <s v="MIL"/>
    <x v="0"/>
    <x v="1"/>
    <m/>
    <s v="CID Curitiba"/>
    <n v="675"/>
    <d v="2026-07-24T00:00:00"/>
    <s v="Curitiba"/>
    <s v="francisco8511bat@gmail.com"/>
    <x v="1"/>
    <s v="BR0442240"/>
    <d v="2026-07-21T00:00:00"/>
    <n v="1589469"/>
    <n v="6878250552"/>
    <x v="0"/>
    <s v="Veio somente a nota e os produtos não veio 11pacotes faltando bonificacão rothmans core blu Box"/>
    <m/>
    <m/>
    <m/>
    <m/>
    <m/>
    <n v="0"/>
    <s v="Nota Fiscal será pendenciada"/>
    <m/>
    <n v="0"/>
    <m/>
    <m/>
    <m/>
  </r>
  <r>
    <x v="1"/>
    <s v="No prazo"/>
    <x v="6"/>
    <x v="30"/>
    <d v="2026-07-27T00:00:00"/>
    <x v="106"/>
    <d v="2026-07-29T00:00:00"/>
    <d v="2026-07-29T00:00:00"/>
    <m/>
    <s v="MIL"/>
    <x v="0"/>
    <x v="0"/>
    <m/>
    <s v="CID Curitiba"/>
    <n v="676"/>
    <d v="2026-07-24T00:00:00"/>
    <s v="Curitiba"/>
    <s v="nedson.reis@fadeltransportes.com.br"/>
    <x v="0"/>
    <s v="BR0219599"/>
    <d v="2026-07-24T00:00:00"/>
    <n v="1591221"/>
    <n v="6878306122"/>
    <x v="0"/>
    <s v="Falta um pacote de Rothmans Blue Box"/>
    <m/>
    <m/>
    <m/>
    <m/>
    <m/>
    <s v="Sem etiqueta "/>
    <s v="Nota Fiscal será entregue com falta."/>
    <m/>
    <s v="Feito nota parcial de devolução "/>
    <m/>
    <m/>
    <m/>
  </r>
  <r>
    <x v="2"/>
    <s v="No prazo"/>
    <x v="6"/>
    <x v="30"/>
    <d v="2026-07-27T00:00:00"/>
    <x v="106"/>
    <d v="2026-07-29T00:00:00"/>
    <d v="2026-07-29T00:00:00"/>
    <m/>
    <s v="MIL"/>
    <x v="0"/>
    <x v="1"/>
    <m/>
    <s v="CID Curitiba"/>
    <n v="677"/>
    <d v="2026-07-27T00:00:00"/>
    <s v="Curitiba"/>
    <s v="Cascavel502865@gmail.com"/>
    <x v="1"/>
    <s v="BR0442702"/>
    <d v="2026-07-24T00:00:00"/>
    <n v="1590015"/>
    <n v="6878283105"/>
    <x v="0"/>
    <s v="Recebi s carga na sexta feira quando estava fazendo conferência marca a marca constatei que estava faltando produtos "/>
    <m/>
    <m/>
    <m/>
    <m/>
    <m/>
    <n v="6878283105"/>
    <s v="Nota Fiscal será entregue com falta."/>
    <m/>
    <s v="Faltou  2 caixa bic maxi 1 caixa bic mini 10 fumo trevo 10 kent asces prata 9 bolinho bauduco chocolate "/>
    <m/>
    <m/>
    <m/>
  </r>
  <r>
    <x v="1"/>
    <s v="No prazo"/>
    <x v="6"/>
    <x v="30"/>
    <d v="2026-07-27T00:00:00"/>
    <x v="106"/>
    <d v="2026-07-29T00:00:00"/>
    <d v="2026-07-29T00:00:00"/>
    <m/>
    <s v="MIL"/>
    <x v="0"/>
    <x v="1"/>
    <m/>
    <s v="CID Curitiba"/>
    <n v="678"/>
    <d v="2026-07-27T00:00:00"/>
    <s v="Curitiba"/>
    <s v="paeskruger@gmail.com"/>
    <x v="1"/>
    <s v="BR0442236"/>
    <d v="2026-07-27T00:00:00"/>
    <n v="1591213"/>
    <n v="0"/>
    <x v="0"/>
    <s v="10 caixas de isqueiro BIC MAXI"/>
    <m/>
    <m/>
    <m/>
    <m/>
    <m/>
    <n v="226362"/>
    <s v="Nota Fiscal será retornada ao estoque"/>
    <m/>
    <m/>
    <m/>
    <m/>
    <m/>
  </r>
  <r>
    <x v="2"/>
    <s v="No prazo"/>
    <x v="6"/>
    <x v="30"/>
    <d v="2026-07-28T00:00:00"/>
    <x v="107"/>
    <d v="2026-07-30T00:00:00"/>
    <d v="2026-07-29T00:00:00"/>
    <m/>
    <s v="MIL"/>
    <x v="0"/>
    <x v="0"/>
    <m/>
    <s v="CID Curitiba"/>
    <n v="679"/>
    <d v="2026-07-28T00:00:00"/>
    <s v="Curitiba"/>
    <s v="nedson.reis@fadeltransportes.com.br"/>
    <x v="0"/>
    <s v="BR0219603"/>
    <d v="2026-07-24T00:00:00"/>
    <n v="1590958"/>
    <n v="6878321546"/>
    <x v="0"/>
    <s v="Falta 1 pacote de rothmans purple boost"/>
    <m/>
    <m/>
    <m/>
    <m/>
    <m/>
    <s v="Sem etiqueta"/>
    <s v="Nota Fiscal será retornada ao estoque"/>
    <m/>
    <m/>
    <m/>
    <m/>
    <m/>
  </r>
  <r>
    <x v="4"/>
    <s v="No prazo"/>
    <x v="6"/>
    <x v="30"/>
    <d v="2026-07-28T00:00:00"/>
    <x v="107"/>
    <d v="2026-07-30T00:00:00"/>
    <m/>
    <m/>
    <s v="MIL"/>
    <x v="0"/>
    <x v="1"/>
    <m/>
    <s v="CID Curitiba"/>
    <n v="680"/>
    <d v="2026-07-28T00:00:00"/>
    <s v="Curitiba"/>
    <s v="Carlosaparecidomelo@gmail.com "/>
    <x v="1"/>
    <s v="BR0442185"/>
    <d v="2026-07-28T00:00:00"/>
    <n v="1590171"/>
    <n v="6878288670"/>
    <x v="0"/>
    <s v="Faltou 2 caixas de cigarro uma de dunhil blu blend e a outra dunhil on red e os prestobarba  Bic confort 2 c/12 Bic confortável 3 c/12 Prestobarba 5fixo c/24 "/>
    <m/>
    <m/>
    <m/>
    <m/>
    <m/>
    <n v="6878288670"/>
    <s v="Nota Fiscal será pendenciada"/>
    <m/>
    <s v="Não veio na carga"/>
    <m/>
    <m/>
    <m/>
  </r>
  <r>
    <x v="2"/>
    <s v="No prazo"/>
    <x v="6"/>
    <x v="30"/>
    <d v="2026-07-28T00:00:00"/>
    <x v="107"/>
    <d v="2026-07-30T00:00:00"/>
    <d v="2026-07-29T00:00:00"/>
    <m/>
    <s v="MIL"/>
    <x v="0"/>
    <x v="1"/>
    <m/>
    <s v="CID Curitiba"/>
    <n v="681"/>
    <d v="2026-07-28T00:00:00"/>
    <s v="Curitiba"/>
    <s v="Carlosaparecidomelo@gmail.com "/>
    <x v="1"/>
    <s v="BR0442185"/>
    <d v="2026-07-23T00:00:00"/>
    <s v="1590171-9"/>
    <n v="6878288670"/>
    <x v="0"/>
    <s v="10 pacotes de dunhil voragem duble refresh"/>
    <m/>
    <m/>
    <m/>
    <m/>
    <m/>
    <n v="6878288670"/>
    <s v="Nota Fiscal será pendenciada"/>
    <m/>
    <s v="Não veio na carga"/>
    <m/>
    <m/>
    <m/>
  </r>
  <r>
    <x v="4"/>
    <s v="No prazo"/>
    <x v="6"/>
    <x v="30"/>
    <s v="2907/2026"/>
    <x v="108"/>
    <d v="2026-07-31T00:00:00"/>
    <m/>
    <m/>
    <s v="MIL"/>
    <x v="0"/>
    <x v="1"/>
    <m/>
    <s v="CID Curitiba"/>
    <n v="682"/>
    <d v="2026-07-29T00:00:00"/>
    <s v="Curitiba"/>
    <s v="tv503.zv336@gmail.com"/>
    <x v="1"/>
    <s v="BR0442236"/>
    <d v="2026-07-29T00:00:00"/>
    <n v="1591461"/>
    <n v="6878331016"/>
    <x v="0"/>
    <m/>
    <m/>
    <m/>
    <s v="10215610 - DUNHILL CARLTON BLEND 2.0 BOX 10X1 - 2 CARTEIRAS"/>
    <m/>
    <n v="226362"/>
    <s v="Nota Fiscal será entregue com falta."/>
    <m/>
    <m/>
    <s v="CAIXA FECHADA VEIO FALTANDO DUAS CARTEIRAS NO PACOTE QUE TAMBEM VEIO LACRADO."/>
    <m/>
    <m/>
    <m/>
  </r>
  <r>
    <x v="4"/>
    <s v="No prazo"/>
    <x v="6"/>
    <x v="30"/>
    <s v="2907/2026"/>
    <x v="108"/>
    <d v="2026-07-31T00:00:00"/>
    <m/>
    <m/>
    <s v="MIL"/>
    <x v="0"/>
    <x v="0"/>
    <m/>
    <s v="CID Curitiba"/>
    <n v="683"/>
    <d v="2026-07-29T00:00:00"/>
    <s v="Curitiba"/>
    <s v="nedson.reis@fadeltransportes.com.br"/>
    <x v="0"/>
    <s v="BR0075494"/>
    <d v="2026-07-29T00:00:00"/>
    <n v="1592068"/>
    <n v="6878373280"/>
    <x v="0"/>
    <m/>
    <m/>
    <m/>
    <s v="Caixa não foi carregada no veículo"/>
    <m/>
    <s v="Sem etiqueta"/>
    <s v="Nota Fiscal será retornada ao estoque"/>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6F1ECEB-AD76-44AE-BE73-984A73391364}" name="Tabela dinâmica6" cacheId="0" applyNumberFormats="0" applyBorderFormats="0" applyFontFormats="0" applyPatternFormats="0" applyAlignmentFormats="0" applyWidthHeightFormats="1" dataCaption="Valores" updatedVersion="8" minRefreshableVersion="3" itemPrintTitles="1" createdVersion="8" indent="0" outline="1" outlineData="1" multipleFieldFilters="0" chartFormat="822">
  <location ref="F13:G15" firstHeaderRow="1" firstDataRow="1" firstDataCol="1"/>
  <pivotFields count="37">
    <pivotField showAll="0"/>
    <pivotField showAll="0"/>
    <pivotField showAll="0">
      <items count="18">
        <item h="1" m="1" x="9"/>
        <item h="1" m="1" x="10"/>
        <item h="1" x="2"/>
        <item h="1" m="1" x="7"/>
        <item h="1" x="4"/>
        <item h="1" x="5"/>
        <item x="6"/>
        <item h="1" m="1" x="11"/>
        <item h="1" m="1" x="12"/>
        <item h="1" m="1" x="13"/>
        <item h="1" x="3"/>
        <item h="1" m="1" x="15"/>
        <item h="1" x="1"/>
        <item h="1" m="1" x="8"/>
        <item h="1" x="0"/>
        <item h="1" m="1" x="14"/>
        <item h="1" m="1" x="16"/>
        <item t="default"/>
      </items>
    </pivotField>
    <pivotField numFmtId="1" showAll="0"/>
    <pivotField numFmtId="14" showAll="0"/>
    <pivotField showAll="0"/>
    <pivotField numFmtId="14" showAll="0"/>
    <pivotField showAll="0"/>
    <pivotField showAll="0"/>
    <pivotField showAll="0"/>
    <pivotField axis="axisRow" showAll="0">
      <items count="11">
        <item x="0"/>
        <item x="2"/>
        <item m="1" x="9"/>
        <item x="1"/>
        <item m="1" x="8"/>
        <item m="1" x="7"/>
        <item x="3"/>
        <item x="4"/>
        <item x="5"/>
        <item x="6"/>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
  </rowFields>
  <rowItems count="2">
    <i>
      <x/>
    </i>
    <i t="grand">
      <x/>
    </i>
  </rowItems>
  <colItems count="1">
    <i/>
  </colItems>
  <dataFields count="1">
    <dataField name="Ocs" fld="14" subtotal="count" baseField="0" baseItem="0"/>
  </dataFields>
  <formats count="18">
    <format dxfId="19">
      <pivotArea type="all" dataOnly="0" outline="0" fieldPosition="0"/>
    </format>
    <format dxfId="18">
      <pivotArea outline="0" collapsedLevelsAreSubtotals="1" fieldPosition="0"/>
    </format>
    <format dxfId="17">
      <pivotArea field="10" type="button" dataOnly="0" labelOnly="1" outline="0" axis="axisRow" fieldPosition="0"/>
    </format>
    <format dxfId="16">
      <pivotArea dataOnly="0" labelOnly="1" fieldPosition="0">
        <references count="1">
          <reference field="10" count="0"/>
        </references>
      </pivotArea>
    </format>
    <format dxfId="15">
      <pivotArea dataOnly="0" labelOnly="1" grandRow="1" outline="0" fieldPosition="0"/>
    </format>
    <format dxfId="14">
      <pivotArea dataOnly="0" labelOnly="1" outline="0" axis="axisValues" fieldPosition="0"/>
    </format>
    <format dxfId="13">
      <pivotArea type="all" dataOnly="0" outline="0" fieldPosition="0"/>
    </format>
    <format dxfId="12">
      <pivotArea outline="0" collapsedLevelsAreSubtotals="1" fieldPosition="0"/>
    </format>
    <format dxfId="11">
      <pivotArea field="10" type="button" dataOnly="0" labelOnly="1" outline="0" axis="axisRow" fieldPosition="0"/>
    </format>
    <format dxfId="10">
      <pivotArea dataOnly="0" labelOnly="1" fieldPosition="0">
        <references count="1">
          <reference field="10" count="0"/>
        </references>
      </pivotArea>
    </format>
    <format dxfId="9">
      <pivotArea dataOnly="0" labelOnly="1" grandRow="1" outline="0" fieldPosition="0"/>
    </format>
    <format dxfId="8">
      <pivotArea dataOnly="0" labelOnly="1" outline="0" axis="axisValues" fieldPosition="0"/>
    </format>
    <format dxfId="7">
      <pivotArea type="all" dataOnly="0" outline="0" fieldPosition="0"/>
    </format>
    <format dxfId="6">
      <pivotArea outline="0" collapsedLevelsAreSubtotals="1" fieldPosition="0"/>
    </format>
    <format dxfId="5">
      <pivotArea field="10" type="button" dataOnly="0" labelOnly="1" outline="0" axis="axisRow" fieldPosition="0"/>
    </format>
    <format dxfId="4">
      <pivotArea dataOnly="0" labelOnly="1" fieldPosition="0">
        <references count="1">
          <reference field="10" count="0"/>
        </references>
      </pivotArea>
    </format>
    <format dxfId="3">
      <pivotArea dataOnly="0" labelOnly="1" grandRow="1" outline="0" fieldPosition="0"/>
    </format>
    <format dxfId="2">
      <pivotArea dataOnly="0" labelOnly="1" outline="0" axis="axisValues" fieldPosition="0"/>
    </format>
  </formats>
  <chartFormats count="11">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10" count="1" selected="0">
            <x v="0"/>
          </reference>
        </references>
      </pivotArea>
    </chartFormat>
    <chartFormat chart="3" format="8">
      <pivotArea type="data" outline="0" fieldPosition="0">
        <references count="2">
          <reference field="4294967294" count="1" selected="0">
            <x v="0"/>
          </reference>
          <reference field="10" count="1" selected="0">
            <x v="1"/>
          </reference>
        </references>
      </pivotArea>
    </chartFormat>
    <chartFormat chart="3" format="9">
      <pivotArea type="data" outline="0" fieldPosition="0">
        <references count="2">
          <reference field="4294967294" count="1" selected="0">
            <x v="0"/>
          </reference>
          <reference field="10" count="1" selected="0">
            <x v="2"/>
          </reference>
        </references>
      </pivotArea>
    </chartFormat>
    <chartFormat chart="3" format="10">
      <pivotArea type="data" outline="0" fieldPosition="0">
        <references count="2">
          <reference field="4294967294" count="1" selected="0">
            <x v="0"/>
          </reference>
          <reference field="10" count="1" selected="0">
            <x v="3"/>
          </reference>
        </references>
      </pivotArea>
    </chartFormat>
    <chartFormat chart="3" format="11">
      <pivotArea type="data" outline="0" fieldPosition="0">
        <references count="2">
          <reference field="4294967294" count="1" selected="0">
            <x v="0"/>
          </reference>
          <reference field="10" count="1" selected="0">
            <x v="4"/>
          </reference>
        </references>
      </pivotArea>
    </chartFormat>
    <chartFormat chart="3" format="12">
      <pivotArea type="data" outline="0" fieldPosition="0">
        <references count="2">
          <reference field="4294967294" count="1" selected="0">
            <x v="0"/>
          </reference>
          <reference field="10" count="1" selected="0">
            <x v="6"/>
          </reference>
        </references>
      </pivotArea>
    </chartFormat>
    <chartFormat chart="3" format="13">
      <pivotArea type="data" outline="0" fieldPosition="0">
        <references count="2">
          <reference field="4294967294" count="1" selected="0">
            <x v="0"/>
          </reference>
          <reference field="10" count="1" selected="0">
            <x v="7"/>
          </reference>
        </references>
      </pivotArea>
    </chartFormat>
    <chartFormat chart="3" format="14">
      <pivotArea type="data" outline="0" fieldPosition="0">
        <references count="2">
          <reference field="4294967294" count="1" selected="0">
            <x v="0"/>
          </reference>
          <reference field="10" count="1" selected="0">
            <x v="8"/>
          </reference>
        </references>
      </pivotArea>
    </chartFormat>
    <chartFormat chart="3" format="15">
      <pivotArea type="data" outline="0" fieldPosition="0">
        <references count="2">
          <reference field="4294967294" count="1" selected="0">
            <x v="0"/>
          </reference>
          <reference field="10" count="1" selected="0">
            <x v="9"/>
          </reference>
        </references>
      </pivotArea>
    </chartFormat>
    <chartFormat chart="3" format="16">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D4AC4BB-4B8E-42D3-B03C-3D917204B0A3}" name="Tabela dinâmica2" cacheId="0" applyNumberFormats="0" applyBorderFormats="0" applyFontFormats="0" applyPatternFormats="0" applyAlignmentFormats="0" applyWidthHeightFormats="1" dataCaption="Valores" updatedVersion="8" minRefreshableVersion="3" itemPrintTitles="1" createdVersion="8" indent="0" outline="1" outlineData="1" multipleFieldFilters="0" chartFormat="831" rowHeaderCaption="Data">
  <location ref="F21:K39" firstHeaderRow="1" firstDataRow="2" firstDataCol="1"/>
  <pivotFields count="37">
    <pivotField showAll="0"/>
    <pivotField showAll="0"/>
    <pivotField showAll="0">
      <items count="18">
        <item h="1" m="1" x="9"/>
        <item h="1" m="1" x="10"/>
        <item h="1" x="2"/>
        <item h="1" m="1" x="7"/>
        <item h="1" x="4"/>
        <item h="1" x="5"/>
        <item x="6"/>
        <item h="1" m="1" x="11"/>
        <item h="1" m="1" x="12"/>
        <item h="1" m="1" x="13"/>
        <item h="1" x="3"/>
        <item h="1" m="1" x="15"/>
        <item h="1" x="1"/>
        <item h="1" m="1" x="8"/>
        <item h="1" x="0"/>
        <item h="1" m="1" x="14"/>
        <item h="1" m="1" x="16"/>
        <item t="default"/>
      </items>
    </pivotField>
    <pivotField axis="axisRow" numFmtId="1" showAll="0">
      <items count="55">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x="28"/>
        <item x="29"/>
        <item x="30"/>
        <item m="1" x="31"/>
        <item m="1" x="32"/>
        <item m="1" x="33"/>
        <item m="1" x="34"/>
        <item m="1" x="35"/>
        <item m="1" x="36"/>
        <item m="1" x="37"/>
        <item m="1" x="38"/>
        <item m="1" x="39"/>
        <item m="1" x="40"/>
        <item m="1" x="41"/>
        <item m="1" x="42"/>
        <item m="1" x="53"/>
        <item m="1" x="43"/>
        <item m="1" x="44"/>
        <item m="1" x="45"/>
        <item m="1" x="46"/>
        <item m="1" x="47"/>
        <item m="1" x="48"/>
        <item m="1" x="49"/>
        <item m="1" x="50"/>
        <item m="1" x="51"/>
        <item m="1" x="52"/>
        <item x="0"/>
        <item t="default" sd="0"/>
      </items>
    </pivotField>
    <pivotField numFmtId="14" showAll="0"/>
    <pivotField axis="axisRow" showAll="0">
      <items count="353">
        <item m="1" x="345"/>
        <item m="1" x="179"/>
        <item m="1" x="180"/>
        <item m="1" x="181"/>
        <item m="1" x="182"/>
        <item m="1" x="183"/>
        <item m="1" x="184"/>
        <item m="1" x="185"/>
        <item m="1" x="186"/>
        <item m="1" x="187"/>
        <item m="1" x="188"/>
        <item m="1" x="191"/>
        <item m="1" x="192"/>
        <item m="1" x="193"/>
        <item m="1" x="189"/>
        <item m="1" x="190"/>
        <item m="1" x="194"/>
        <item m="1" x="196"/>
        <item m="1" x="197"/>
        <item m="1" x="198"/>
        <item m="1" x="199"/>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346"/>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200"/>
        <item m="1" x="201"/>
        <item m="1" x="347"/>
        <item m="1" x="348"/>
        <item m="1" x="349"/>
        <item m="1" x="350"/>
        <item m="1" x="351"/>
        <item m="1" x="202"/>
        <item m="1" x="203"/>
        <item m="1" x="130"/>
        <item m="1" x="195"/>
        <item m="1" x="342"/>
        <item m="1" x="343"/>
        <item m="1" x="344"/>
        <item m="1" x="205"/>
        <item m="1" x="206"/>
        <item m="1" x="207"/>
        <item m="1" x="209"/>
        <item m="1" x="208"/>
        <item m="1" x="210"/>
        <item m="1" x="211"/>
        <item m="1" x="212"/>
        <item m="1" x="213"/>
        <item m="1" x="214"/>
        <item m="1" x="20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340"/>
        <item m="1" x="341"/>
        <item m="1" x="253"/>
        <item m="1" x="254"/>
        <item m="1" x="255"/>
        <item m="1" x="256"/>
        <item m="1" x="257"/>
        <item m="1" x="258"/>
        <item m="1" x="246"/>
        <item m="1" x="247"/>
        <item m="1" x="248"/>
        <item m="1" x="249"/>
        <item m="1" x="250"/>
        <item m="1" x="251"/>
        <item m="1" x="252"/>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339"/>
        <item m="1" x="291"/>
        <item m="1" x="292"/>
        <item m="1" x="293"/>
        <item m="1" x="294"/>
        <item m="1" x="295"/>
        <item m="1" x="296"/>
        <item m="1" x="297"/>
        <item m="1" x="298"/>
        <item m="1" x="299"/>
        <item m="1" x="300"/>
        <item m="1" x="301"/>
        <item m="1" x="302"/>
        <item m="1" x="303"/>
        <item m="1" x="304"/>
        <item m="1" x="305"/>
        <item m="1" x="332"/>
        <item m="1" x="333"/>
        <item m="1" x="334"/>
        <item m="1" x="335"/>
        <item m="1" x="336"/>
        <item m="1" x="337"/>
        <item m="1" x="338"/>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x="0"/>
        <item x="1"/>
        <item x="2"/>
        <item x="3"/>
        <item x="4"/>
        <item x="5"/>
        <item x="6"/>
        <item x="7"/>
        <item x="8"/>
        <item x="9"/>
        <item x="10"/>
        <item x="11"/>
        <item x="12"/>
        <item x="13"/>
        <item x="14"/>
        <item x="15"/>
        <item x="16"/>
        <item x="17"/>
        <item x="18"/>
        <item x="19"/>
        <item x="20"/>
        <item x="21"/>
        <item x="23"/>
        <item x="22"/>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7"/>
        <item x="98"/>
        <item x="99"/>
        <item x="100"/>
        <item x="101"/>
        <item x="102"/>
        <item x="96"/>
        <item x="103"/>
        <item x="104"/>
        <item x="105"/>
        <item x="106"/>
        <item x="107"/>
        <item x="108"/>
        <item t="default"/>
      </items>
    </pivotField>
    <pivotField numFmtId="14" showAll="0"/>
    <pivotField showAll="0"/>
    <pivotField showAll="0"/>
    <pivotField showAll="0"/>
    <pivotField showAll="0"/>
    <pivotField showAll="0"/>
    <pivotField showAll="0"/>
    <pivotField showAll="0"/>
    <pivotField dataField="1" showAll="0"/>
    <pivotField showAll="0"/>
    <pivotField showAll="0"/>
    <pivotField showAll="0"/>
    <pivotField showAll="0">
      <items count="4">
        <item m="1" x="2"/>
        <item x="0"/>
        <item x="1"/>
        <item t="default"/>
      </items>
    </pivotField>
    <pivotField showAll="0"/>
    <pivotField showAll="0"/>
    <pivotField showAll="0"/>
    <pivotField showAll="0"/>
    <pivotField axis="axisCol" showAll="0">
      <items count="9">
        <item x="3"/>
        <item x="0"/>
        <item x="2"/>
        <item m="1" x="5"/>
        <item x="1"/>
        <item m="1" x="6"/>
        <item m="1" x="7"/>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3"/>
    <field x="5"/>
  </rowFields>
  <rowItems count="17">
    <i>
      <x v="25"/>
    </i>
    <i>
      <x v="26"/>
    </i>
    <i>
      <x v="27"/>
    </i>
    <i r="1">
      <x v="340"/>
    </i>
    <i r="1">
      <x v="341"/>
    </i>
    <i r="1">
      <x v="342"/>
    </i>
    <i r="1">
      <x v="343"/>
    </i>
    <i>
      <x v="28"/>
    </i>
    <i r="1">
      <x v="344"/>
    </i>
    <i r="1">
      <x v="346"/>
    </i>
    <i r="1">
      <x v="347"/>
    </i>
    <i r="1">
      <x v="348"/>
    </i>
    <i>
      <x v="29"/>
    </i>
    <i r="1">
      <x v="349"/>
    </i>
    <i r="1">
      <x v="350"/>
    </i>
    <i r="1">
      <x v="351"/>
    </i>
    <i t="grand">
      <x/>
    </i>
  </rowItems>
  <colFields count="1">
    <field x="23"/>
  </colFields>
  <colItems count="5">
    <i>
      <x v="1"/>
    </i>
    <i>
      <x v="2"/>
    </i>
    <i>
      <x v="4"/>
    </i>
    <i>
      <x v="7"/>
    </i>
    <i t="grand">
      <x/>
    </i>
  </colItems>
  <dataFields count="1">
    <dataField name="Contagem de ID" fld="14" subtotal="count" baseField="0" baseItem="0"/>
  </dataFields>
  <formats count="17">
    <format dxfId="36">
      <pivotArea type="all" dataOnly="0" outline="0" fieldPosition="0"/>
    </format>
    <format dxfId="35">
      <pivotArea outline="0" collapsedLevelsAreSubtotals="1" fieldPosition="0"/>
    </format>
    <format dxfId="34">
      <pivotArea type="origin" dataOnly="0" labelOnly="1" outline="0" fieldPosition="0"/>
    </format>
    <format dxfId="33">
      <pivotArea field="18" type="button" dataOnly="0" labelOnly="1" outline="0"/>
    </format>
    <format dxfId="32">
      <pivotArea type="topRight" dataOnly="0" labelOnly="1" outline="0" fieldPosition="0"/>
    </format>
    <format dxfId="31">
      <pivotArea field="5" type="button" dataOnly="0" labelOnly="1" outline="0" axis="axisRow" fieldPosition="1"/>
    </format>
    <format dxfId="30">
      <pivotArea dataOnly="0" labelOnly="1" grandRow="1" outline="0" fieldPosition="0"/>
    </format>
    <format dxfId="29">
      <pivotArea dataOnly="0" labelOnly="1" grandCol="1" outline="0" fieldPosition="0"/>
    </format>
    <format dxfId="28">
      <pivotArea type="all" dataOnly="0" outline="0" fieldPosition="0"/>
    </format>
    <format dxfId="27">
      <pivotArea outline="0" collapsedLevelsAreSubtotals="1" fieldPosition="0"/>
    </format>
    <format dxfId="26">
      <pivotArea type="origin" dataOnly="0" labelOnly="1" outline="0" fieldPosition="0"/>
    </format>
    <format dxfId="25">
      <pivotArea field="18" type="button" dataOnly="0" labelOnly="1" outline="0"/>
    </format>
    <format dxfId="24">
      <pivotArea type="topRight" dataOnly="0" labelOnly="1" outline="0" fieldPosition="0"/>
    </format>
    <format dxfId="23">
      <pivotArea field="5" type="button" dataOnly="0" labelOnly="1" outline="0" axis="axisRow" fieldPosition="1"/>
    </format>
    <format dxfId="22">
      <pivotArea dataOnly="0" labelOnly="1" grandRow="1" outline="0" fieldPosition="0"/>
    </format>
    <format dxfId="21">
      <pivotArea dataOnly="0" labelOnly="1" grandCol="1" outline="0" fieldPosition="0"/>
    </format>
    <format dxfId="20">
      <pivotArea type="all" dataOnly="0" outline="0" fieldPosition="0"/>
    </format>
  </formats>
  <chartFormats count="9">
    <chartFormat chart="16" format="4" series="1">
      <pivotArea type="data" outline="0" fieldPosition="0">
        <references count="2">
          <reference field="4294967294" count="1" selected="0">
            <x v="0"/>
          </reference>
          <reference field="23" count="1" selected="0">
            <x v="3"/>
          </reference>
        </references>
      </pivotArea>
    </chartFormat>
    <chartFormat chart="16" format="5" series="1">
      <pivotArea type="data" outline="0" fieldPosition="0">
        <references count="2">
          <reference field="4294967294" count="1" selected="0">
            <x v="0"/>
          </reference>
          <reference field="23" count="1" selected="0">
            <x v="5"/>
          </reference>
        </references>
      </pivotArea>
    </chartFormat>
    <chartFormat chart="16" format="6" series="1">
      <pivotArea type="data" outline="0" fieldPosition="0">
        <references count="2">
          <reference field="4294967294" count="1" selected="0">
            <x v="0"/>
          </reference>
          <reference field="23" count="1" selected="0">
            <x v="6"/>
          </reference>
        </references>
      </pivotArea>
    </chartFormat>
    <chartFormat chart="16" format="7" series="1">
      <pivotArea type="data" outline="0" fieldPosition="0">
        <references count="2">
          <reference field="4294967294" count="1" selected="0">
            <x v="0"/>
          </reference>
          <reference field="23" count="1" selected="0">
            <x v="0"/>
          </reference>
        </references>
      </pivotArea>
    </chartFormat>
    <chartFormat chart="16" format="8" series="1">
      <pivotArea type="data" outline="0" fieldPosition="0">
        <references count="2">
          <reference field="4294967294" count="1" selected="0">
            <x v="0"/>
          </reference>
          <reference field="23" count="1" selected="0">
            <x v="2"/>
          </reference>
        </references>
      </pivotArea>
    </chartFormat>
    <chartFormat chart="16" format="9" series="1">
      <pivotArea type="data" outline="0" fieldPosition="0">
        <references count="2">
          <reference field="4294967294" count="1" selected="0">
            <x v="0"/>
          </reference>
          <reference field="23" count="1" selected="0">
            <x v="4"/>
          </reference>
        </references>
      </pivotArea>
    </chartFormat>
    <chartFormat chart="16" format="10" series="1">
      <pivotArea type="data" outline="0" fieldPosition="0">
        <references count="2">
          <reference field="4294967294" count="1" selected="0">
            <x v="0"/>
          </reference>
          <reference field="23" count="1" selected="0">
            <x v="1"/>
          </reference>
        </references>
      </pivotArea>
    </chartFormat>
    <chartFormat chart="16" format="11" series="1">
      <pivotArea type="data" outline="0" fieldPosition="0">
        <references count="2">
          <reference field="4294967294" count="1" selected="0">
            <x v="0"/>
          </reference>
          <reference field="23" count="1" selected="0">
            <x v="7"/>
          </reference>
        </references>
      </pivotArea>
    </chartFormat>
    <chartFormat chart="16" format="1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345A1AA-D97D-4E24-9C25-A2D0D2BD1FDD}" name="Tabela dinâmica12" cacheId="0" applyNumberFormats="0" applyBorderFormats="0" applyFontFormats="0" applyPatternFormats="0" applyAlignmentFormats="0" applyWidthHeightFormats="1" dataCaption="Valores" updatedVersion="8" minRefreshableVersion="3" itemPrintTitles="1" createdVersion="8" indent="0" outline="1" outlineData="1" multipleFieldFilters="0" chartFormat="991">
  <location ref="AB4:AC10" firstHeaderRow="1" firstDataRow="1" firstDataCol="1" rowPageCount="1" colPageCount="1"/>
  <pivotFields count="37">
    <pivotField showAll="0">
      <items count="16">
        <item x="0"/>
        <item x="3"/>
        <item x="1"/>
        <item x="4"/>
        <item x="2"/>
        <item m="1" x="7"/>
        <item m="1" x="13"/>
        <item m="1" x="14"/>
        <item m="1" x="11"/>
        <item m="1" x="12"/>
        <item m="1" x="10"/>
        <item m="1" x="9"/>
        <item m="1" x="8"/>
        <item m="1" x="6"/>
        <item m="1" x="5"/>
        <item t="default"/>
      </items>
    </pivotField>
    <pivotField showAll="0"/>
    <pivotField showAll="0">
      <items count="18">
        <item h="1" m="1" x="9"/>
        <item h="1" m="1" x="10"/>
        <item h="1" x="2"/>
        <item h="1" m="1" x="7"/>
        <item h="1" x="4"/>
        <item h="1" x="5"/>
        <item x="6"/>
        <item h="1" m="1" x="11"/>
        <item h="1" m="1" x="12"/>
        <item h="1" m="1" x="13"/>
        <item h="1" x="3"/>
        <item h="1" m="1" x="15"/>
        <item h="1" x="1"/>
        <item h="1" m="1" x="8"/>
        <item h="1" x="0"/>
        <item h="1" m="1" x="14"/>
        <item h="1" m="1" x="16"/>
        <item t="default"/>
      </items>
    </pivotField>
    <pivotField numFmtId="1" showAll="0"/>
    <pivotField numFmtId="14" showAll="0"/>
    <pivotField showAll="0"/>
    <pivotField numFmtId="14" showAll="0"/>
    <pivotField showAll="0"/>
    <pivotField showAll="0"/>
    <pivotField showAll="0"/>
    <pivotField axis="axisRow" showAll="0">
      <items count="11">
        <item x="0"/>
        <item x="2"/>
        <item m="1" x="9"/>
        <item x="1"/>
        <item m="1" x="8"/>
        <item m="1" x="7"/>
        <item x="3"/>
        <item x="4"/>
        <item x="5"/>
        <item x="6"/>
        <item t="default"/>
      </items>
    </pivotField>
    <pivotField axis="axisPage" multipleItemSelectionAllowed="1" showAll="0">
      <items count="6">
        <item x="1"/>
        <item x="0"/>
        <item h="1" m="1" x="4"/>
        <item h="1" x="2"/>
        <item h="1" m="1" x="3"/>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items count="9">
        <item x="3"/>
        <item x="2"/>
        <item m="1" x="5"/>
        <item x="1"/>
        <item m="1" x="6"/>
        <item m="1" x="7"/>
        <item x="0"/>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10"/>
    <field x="23"/>
  </rowFields>
  <rowItems count="6">
    <i>
      <x/>
    </i>
    <i r="1">
      <x v="1"/>
    </i>
    <i r="1">
      <x v="3"/>
    </i>
    <i r="1">
      <x v="6"/>
    </i>
    <i r="1">
      <x v="7"/>
    </i>
    <i t="grand">
      <x/>
    </i>
  </rowItems>
  <colItems count="1">
    <i/>
  </colItems>
  <pageFields count="1">
    <pageField fld="11" hier="-1"/>
  </pageFields>
  <dataFields count="1">
    <dataField name="Ocs" fld="14" subtotal="count" baseField="0" baseItem="0"/>
  </dataFields>
  <formats count="18">
    <format dxfId="54">
      <pivotArea type="all" dataOnly="0" outline="0" fieldPosition="0"/>
    </format>
    <format dxfId="53">
      <pivotArea outline="0" collapsedLevelsAreSubtotals="1" fieldPosition="0"/>
    </format>
    <format dxfId="52">
      <pivotArea field="0" type="button" dataOnly="0" labelOnly="1" outline="0"/>
    </format>
    <format dxfId="51">
      <pivotArea dataOnly="0" labelOnly="1" grandRow="1" outline="0" fieldPosition="0"/>
    </format>
    <format dxfId="50">
      <pivotArea dataOnly="0" labelOnly="1" outline="0" axis="axisValues" fieldPosition="0"/>
    </format>
    <format dxfId="49">
      <pivotArea type="all" dataOnly="0" outline="0" fieldPosition="0"/>
    </format>
    <format dxfId="48">
      <pivotArea outline="0" collapsedLevelsAreSubtotals="1" fieldPosition="0"/>
    </format>
    <format dxfId="47">
      <pivotArea field="0" type="button" dataOnly="0" labelOnly="1" outline="0"/>
    </format>
    <format dxfId="46">
      <pivotArea dataOnly="0" labelOnly="1" grandRow="1" outline="0" fieldPosition="0"/>
    </format>
    <format dxfId="45">
      <pivotArea dataOnly="0" labelOnly="1" outline="0" axis="axisValues" fieldPosition="0"/>
    </format>
    <format dxfId="44">
      <pivotArea type="all" dataOnly="0" outline="0" fieldPosition="0"/>
    </format>
    <format dxfId="43">
      <pivotArea outline="0" collapsedLevelsAreSubtotals="1" fieldPosition="0"/>
    </format>
    <format dxfId="42">
      <pivotArea field="10" type="button" dataOnly="0" labelOnly="1" outline="0" axis="axisRow" fieldPosition="0"/>
    </format>
    <format dxfId="41">
      <pivotArea dataOnly="0" labelOnly="1" fieldPosition="0">
        <references count="1">
          <reference field="10" count="2">
            <x v="1"/>
            <x v="3"/>
          </reference>
        </references>
      </pivotArea>
    </format>
    <format dxfId="40">
      <pivotArea dataOnly="0" labelOnly="1" grandRow="1" outline="0" fieldPosition="0"/>
    </format>
    <format dxfId="39">
      <pivotArea dataOnly="0" labelOnly="1" fieldPosition="0">
        <references count="2">
          <reference field="10" count="1" selected="0">
            <x v="1"/>
          </reference>
          <reference field="23" count="1">
            <x v="2"/>
          </reference>
        </references>
      </pivotArea>
    </format>
    <format dxfId="38">
      <pivotArea dataOnly="0" labelOnly="1" fieldPosition="0">
        <references count="2">
          <reference field="10" count="1" selected="0">
            <x v="3"/>
          </reference>
          <reference field="23" count="2">
            <x v="2"/>
            <x v="4"/>
          </reference>
        </references>
      </pivotArea>
    </format>
    <format dxfId="37">
      <pivotArea dataOnly="0" labelOnly="1" outline="0" axis="axisValues" fieldPosition="0"/>
    </format>
  </formats>
  <chartFormats count="3">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75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4193766-5026-4AE3-B4B2-66AADD447F08}" name="Tabela dinâmica1" cacheId="0" applyNumberFormats="0" applyBorderFormats="0" applyFontFormats="0" applyPatternFormats="0" applyAlignmentFormats="0" applyWidthHeightFormats="1" dataCaption="Valores" updatedVersion="8" minRefreshableVersion="3" itemPrintTitles="1" createdVersion="8" indent="0" outline="1" outlineData="1" multipleFieldFilters="0" chartFormat="827" rowHeaderCaption="Data">
  <location ref="A56:D63" firstHeaderRow="1" firstDataRow="2" firstDataCol="1"/>
  <pivotFields count="37">
    <pivotField showAll="0"/>
    <pivotField showAll="0"/>
    <pivotField showAll="0">
      <items count="18">
        <item h="1" m="1" x="9"/>
        <item h="1" m="1" x="10"/>
        <item h="1" x="2"/>
        <item h="1" m="1" x="7"/>
        <item h="1" x="4"/>
        <item h="1" x="5"/>
        <item x="6"/>
        <item h="1" m="1" x="11"/>
        <item h="1" m="1" x="12"/>
        <item h="1" m="1" x="13"/>
        <item h="1" x="3"/>
        <item h="1" m="1" x="15"/>
        <item h="1" x="1"/>
        <item h="1" m="1" x="8"/>
        <item h="1" x="0"/>
        <item h="1" m="1" x="14"/>
        <item h="1" m="1" x="16"/>
        <item t="default"/>
      </items>
    </pivotField>
    <pivotField axis="axisRow" numFmtId="1" showAll="0">
      <items count="55">
        <item x="1"/>
        <item x="2"/>
        <item x="3"/>
        <item x="4"/>
        <item x="5"/>
        <item x="6"/>
        <item x="7"/>
        <item x="8"/>
        <item x="9"/>
        <item x="10"/>
        <item x="11"/>
        <item x="12"/>
        <item x="13"/>
        <item x="14"/>
        <item x="15"/>
        <item x="16"/>
        <item x="17"/>
        <item x="18"/>
        <item x="19"/>
        <item x="20"/>
        <item x="21"/>
        <item x="22"/>
        <item x="23"/>
        <item x="24"/>
        <item x="25"/>
        <item x="26"/>
        <item x="27"/>
        <item x="28"/>
        <item x="29"/>
        <item x="30"/>
        <item m="1" x="31"/>
        <item m="1" x="32"/>
        <item m="1" x="33"/>
        <item m="1" x="34"/>
        <item m="1" x="35"/>
        <item m="1" x="36"/>
        <item m="1" x="37"/>
        <item m="1" x="38"/>
        <item m="1" x="39"/>
        <item m="1" x="40"/>
        <item m="1" x="41"/>
        <item m="1" x="42"/>
        <item m="1" x="53"/>
        <item m="1" x="43"/>
        <item m="1" x="44"/>
        <item m="1" x="45"/>
        <item m="1" x="46"/>
        <item m="1" x="47"/>
        <item m="1" x="48"/>
        <item m="1" x="49"/>
        <item m="1" x="50"/>
        <item m="1" x="51"/>
        <item m="1" x="52"/>
        <item x="0"/>
        <item t="default"/>
      </items>
    </pivotField>
    <pivotField numFmtId="14" showAll="0"/>
    <pivotField showAll="0">
      <items count="353">
        <item m="1" x="345"/>
        <item m="1" x="179"/>
        <item m="1" x="180"/>
        <item m="1" x="181"/>
        <item m="1" x="182"/>
        <item m="1" x="183"/>
        <item m="1" x="184"/>
        <item m="1" x="185"/>
        <item m="1" x="186"/>
        <item m="1" x="187"/>
        <item m="1" x="188"/>
        <item m="1" x="191"/>
        <item m="1" x="192"/>
        <item m="1" x="193"/>
        <item m="1" x="189"/>
        <item m="1" x="190"/>
        <item m="1" x="194"/>
        <item m="1" x="196"/>
        <item m="1" x="197"/>
        <item m="1" x="198"/>
        <item m="1" x="199"/>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346"/>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200"/>
        <item m="1" x="201"/>
        <item m="1" x="347"/>
        <item m="1" x="348"/>
        <item m="1" x="349"/>
        <item m="1" x="350"/>
        <item m="1" x="351"/>
        <item m="1" x="202"/>
        <item m="1" x="203"/>
        <item m="1" x="130"/>
        <item m="1" x="195"/>
        <item m="1" x="342"/>
        <item m="1" x="343"/>
        <item m="1" x="344"/>
        <item m="1" x="205"/>
        <item m="1" x="206"/>
        <item m="1" x="207"/>
        <item m="1" x="209"/>
        <item m="1" x="208"/>
        <item m="1" x="210"/>
        <item m="1" x="211"/>
        <item m="1" x="212"/>
        <item m="1" x="213"/>
        <item m="1" x="214"/>
        <item m="1" x="20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340"/>
        <item m="1" x="341"/>
        <item m="1" x="253"/>
        <item m="1" x="254"/>
        <item m="1" x="255"/>
        <item m="1" x="256"/>
        <item m="1" x="257"/>
        <item m="1" x="258"/>
        <item m="1" x="246"/>
        <item m="1" x="247"/>
        <item m="1" x="248"/>
        <item m="1" x="249"/>
        <item m="1" x="250"/>
        <item m="1" x="251"/>
        <item m="1" x="252"/>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339"/>
        <item m="1" x="291"/>
        <item m="1" x="292"/>
        <item m="1" x="293"/>
        <item m="1" x="294"/>
        <item m="1" x="295"/>
        <item m="1" x="296"/>
        <item m="1" x="297"/>
        <item m="1" x="298"/>
        <item m="1" x="299"/>
        <item m="1" x="300"/>
        <item m="1" x="301"/>
        <item m="1" x="302"/>
        <item m="1" x="303"/>
        <item m="1" x="304"/>
        <item m="1" x="305"/>
        <item m="1" x="332"/>
        <item m="1" x="333"/>
        <item m="1" x="334"/>
        <item m="1" x="335"/>
        <item m="1" x="336"/>
        <item m="1" x="337"/>
        <item m="1" x="338"/>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x="0"/>
        <item x="1"/>
        <item x="2"/>
        <item x="3"/>
        <item x="4"/>
        <item x="5"/>
        <item x="6"/>
        <item x="7"/>
        <item x="8"/>
        <item x="9"/>
        <item x="10"/>
        <item x="11"/>
        <item x="12"/>
        <item x="13"/>
        <item x="14"/>
        <item x="15"/>
        <item x="16"/>
        <item x="17"/>
        <item x="18"/>
        <item x="19"/>
        <item x="20"/>
        <item x="21"/>
        <item x="23"/>
        <item x="22"/>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7"/>
        <item x="98"/>
        <item x="99"/>
        <item x="100"/>
        <item x="101"/>
        <item x="102"/>
        <item x="96"/>
        <item x="103"/>
        <item x="104"/>
        <item x="105"/>
        <item x="106"/>
        <item x="107"/>
        <item x="108"/>
        <item t="default"/>
      </items>
    </pivotField>
    <pivotField numFmtId="14" showAll="0"/>
    <pivotField showAll="0"/>
    <pivotField showAll="0"/>
    <pivotField showAll="0"/>
    <pivotField showAll="0"/>
    <pivotField showAll="0"/>
    <pivotField showAll="0"/>
    <pivotField showAll="0"/>
    <pivotField dataField="1" showAll="0"/>
    <pivotField showAll="0"/>
    <pivotField showAll="0"/>
    <pivotField showAll="0"/>
    <pivotField axis="axisCol" showAll="0">
      <items count="4">
        <item m="1" x="2"/>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6">
    <i>
      <x v="25"/>
    </i>
    <i>
      <x v="26"/>
    </i>
    <i>
      <x v="27"/>
    </i>
    <i>
      <x v="28"/>
    </i>
    <i>
      <x v="29"/>
    </i>
    <i t="grand">
      <x/>
    </i>
  </rowItems>
  <colFields count="1">
    <field x="18"/>
  </colFields>
  <colItems count="3">
    <i>
      <x v="1"/>
    </i>
    <i>
      <x v="2"/>
    </i>
    <i t="grand">
      <x/>
    </i>
  </colItems>
  <dataFields count="1">
    <dataField name="Contagem de ID" fld="14" subtotal="count" baseField="0" baseItem="0"/>
  </dataFields>
  <formats count="17">
    <format dxfId="71">
      <pivotArea type="all" dataOnly="0" outline="0" fieldPosition="0"/>
    </format>
    <format dxfId="70">
      <pivotArea outline="0" collapsedLevelsAreSubtotals="1" fieldPosition="0"/>
    </format>
    <format dxfId="69">
      <pivotArea type="origin" dataOnly="0" labelOnly="1" outline="0" fieldPosition="0"/>
    </format>
    <format dxfId="68">
      <pivotArea field="18" type="button" dataOnly="0" labelOnly="1" outline="0" axis="axisCol" fieldPosition="0"/>
    </format>
    <format dxfId="67">
      <pivotArea type="topRight" dataOnly="0" labelOnly="1" outline="0" fieldPosition="0"/>
    </format>
    <format dxfId="66">
      <pivotArea field="5" type="button" dataOnly="0" labelOnly="1" outline="0"/>
    </format>
    <format dxfId="65">
      <pivotArea dataOnly="0" labelOnly="1" grandRow="1" outline="0" fieldPosition="0"/>
    </format>
    <format dxfId="64">
      <pivotArea dataOnly="0" labelOnly="1" grandCol="1" outline="0" fieldPosition="0"/>
    </format>
    <format dxfId="63">
      <pivotArea type="all" dataOnly="0" outline="0" fieldPosition="0"/>
    </format>
    <format dxfId="62">
      <pivotArea outline="0" collapsedLevelsAreSubtotals="1" fieldPosition="0"/>
    </format>
    <format dxfId="61">
      <pivotArea type="origin" dataOnly="0" labelOnly="1" outline="0" fieldPosition="0"/>
    </format>
    <format dxfId="60">
      <pivotArea field="18" type="button" dataOnly="0" labelOnly="1" outline="0" axis="axisCol" fieldPosition="0"/>
    </format>
    <format dxfId="59">
      <pivotArea type="topRight" dataOnly="0" labelOnly="1" outline="0" fieldPosition="0"/>
    </format>
    <format dxfId="58">
      <pivotArea field="5" type="button" dataOnly="0" labelOnly="1" outline="0"/>
    </format>
    <format dxfId="57">
      <pivotArea dataOnly="0" labelOnly="1" grandRow="1" outline="0" fieldPosition="0"/>
    </format>
    <format dxfId="56">
      <pivotArea dataOnly="0" labelOnly="1" grandCol="1" outline="0" fieldPosition="0"/>
    </format>
    <format dxfId="55">
      <pivotArea type="all" dataOnly="0" outline="0" fieldPosition="0"/>
    </format>
  </formats>
  <chartFormats count="3">
    <chartFormat chart="11" format="4" series="1">
      <pivotArea type="data" outline="0" fieldPosition="0">
        <references count="2">
          <reference field="4294967294" count="1" selected="0">
            <x v="0"/>
          </reference>
          <reference field="18" count="1" selected="0">
            <x v="1"/>
          </reference>
        </references>
      </pivotArea>
    </chartFormat>
    <chartFormat chart="11" format="5" series="1">
      <pivotArea type="data" outline="0" fieldPosition="0">
        <references count="2">
          <reference field="4294967294" count="1" selected="0">
            <x v="0"/>
          </reference>
          <reference field="18" count="1" selected="0">
            <x v="2"/>
          </reference>
        </references>
      </pivotArea>
    </chartFormat>
    <chartFormat chart="11"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DA04A82-D2C8-4A81-9C0F-5602C39100A9}" name="Tabela dinâmica5" cacheId="0" applyNumberFormats="0" applyBorderFormats="0" applyFontFormats="0" applyPatternFormats="0" applyAlignmentFormats="0" applyWidthHeightFormats="1" dataCaption="Valores" updatedVersion="8" minRefreshableVersion="3" itemPrintTitles="1" createdVersion="8" indent="0" outline="1" outlineData="1" multipleFieldFilters="0" chartFormat="995">
  <location ref="A13:B18" firstHeaderRow="1" firstDataRow="1" firstDataCol="1"/>
  <pivotFields count="37">
    <pivotField showAll="0"/>
    <pivotField showAll="0"/>
    <pivotField showAll="0">
      <items count="18">
        <item h="1" m="1" x="9"/>
        <item h="1" m="1" x="10"/>
        <item h="1" x="2"/>
        <item h="1" m="1" x="7"/>
        <item h="1" x="4"/>
        <item h="1" x="5"/>
        <item x="6"/>
        <item h="1" m="1" x="11"/>
        <item h="1" m="1" x="12"/>
        <item h="1" m="1" x="13"/>
        <item h="1" x="3"/>
        <item h="1" m="1" x="15"/>
        <item h="1" x="1"/>
        <item h="1" m="1" x="8"/>
        <item h="1" x="0"/>
        <item h="1" m="1" x="14"/>
        <item h="1" m="1" x="16"/>
        <item t="default"/>
      </items>
    </pivotField>
    <pivotField numFmtId="1" showAll="0"/>
    <pivotField numFmtId="14" showAll="0"/>
    <pivotField showAll="0"/>
    <pivotField numFmtId="14"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axis="axisRow" showAll="0">
      <items count="9">
        <item x="3"/>
        <item x="2"/>
        <item m="1" x="5"/>
        <item x="1"/>
        <item m="1" x="6"/>
        <item m="1" x="7"/>
        <item x="0"/>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3"/>
  </rowFields>
  <rowItems count="5">
    <i>
      <x v="1"/>
    </i>
    <i>
      <x v="3"/>
    </i>
    <i>
      <x v="6"/>
    </i>
    <i>
      <x v="7"/>
    </i>
    <i t="grand">
      <x/>
    </i>
  </rowItems>
  <colItems count="1">
    <i/>
  </colItems>
  <dataFields count="1">
    <dataField name="Ocs" fld="14" subtotal="count" baseField="0" baseItem="0"/>
  </dataFields>
  <formats count="18">
    <format dxfId="89">
      <pivotArea type="all" dataOnly="0" outline="0" fieldPosition="0"/>
    </format>
    <format dxfId="88">
      <pivotArea outline="0" collapsedLevelsAreSubtotals="1" fieldPosition="0"/>
    </format>
    <format dxfId="87">
      <pivotArea field="23" type="button" dataOnly="0" labelOnly="1" outline="0" axis="axisRow" fieldPosition="0"/>
    </format>
    <format dxfId="86">
      <pivotArea dataOnly="0" labelOnly="1" fieldPosition="0">
        <references count="1">
          <reference field="23" count="0"/>
        </references>
      </pivotArea>
    </format>
    <format dxfId="85">
      <pivotArea dataOnly="0" labelOnly="1" grandRow="1" outline="0" fieldPosition="0"/>
    </format>
    <format dxfId="84">
      <pivotArea dataOnly="0" labelOnly="1" outline="0" axis="axisValues" fieldPosition="0"/>
    </format>
    <format dxfId="83">
      <pivotArea type="all" dataOnly="0" outline="0" fieldPosition="0"/>
    </format>
    <format dxfId="82">
      <pivotArea outline="0" collapsedLevelsAreSubtotals="1" fieldPosition="0"/>
    </format>
    <format dxfId="81">
      <pivotArea field="23" type="button" dataOnly="0" labelOnly="1" outline="0" axis="axisRow" fieldPosition="0"/>
    </format>
    <format dxfId="80">
      <pivotArea dataOnly="0" labelOnly="1" fieldPosition="0">
        <references count="1">
          <reference field="23" count="0"/>
        </references>
      </pivotArea>
    </format>
    <format dxfId="79">
      <pivotArea dataOnly="0" labelOnly="1" grandRow="1" outline="0" fieldPosition="0"/>
    </format>
    <format dxfId="78">
      <pivotArea dataOnly="0" labelOnly="1" outline="0" axis="axisValues" fieldPosition="0"/>
    </format>
    <format dxfId="77">
      <pivotArea type="all" dataOnly="0" outline="0" fieldPosition="0"/>
    </format>
    <format dxfId="76">
      <pivotArea outline="0" collapsedLevelsAreSubtotals="1" fieldPosition="0"/>
    </format>
    <format dxfId="75">
      <pivotArea field="23" type="button" dataOnly="0" labelOnly="1" outline="0" axis="axisRow" fieldPosition="0"/>
    </format>
    <format dxfId="74">
      <pivotArea dataOnly="0" labelOnly="1" fieldPosition="0">
        <references count="1">
          <reference field="23" count="2">
            <x v="2"/>
            <x v="4"/>
          </reference>
        </references>
      </pivotArea>
    </format>
    <format dxfId="73">
      <pivotArea dataOnly="0" labelOnly="1" grandRow="1" outline="0" fieldPosition="0"/>
    </format>
    <format dxfId="72">
      <pivotArea dataOnly="0" labelOnly="1" outline="0" axis="axisValues" fieldPosition="0"/>
    </format>
  </formats>
  <chartFormats count="15">
    <chartFormat chart="7" format="7" series="1">
      <pivotArea type="data" outline="0" fieldPosition="0">
        <references count="1">
          <reference field="4294967294" count="1" selected="0">
            <x v="0"/>
          </reference>
        </references>
      </pivotArea>
    </chartFormat>
    <chartFormat chart="7" format="8">
      <pivotArea type="data" outline="0" fieldPosition="0">
        <references count="2">
          <reference field="4294967294" count="1" selected="0">
            <x v="0"/>
          </reference>
          <reference field="23" count="1" selected="0">
            <x v="0"/>
          </reference>
        </references>
      </pivotArea>
    </chartFormat>
    <chartFormat chart="7" format="9">
      <pivotArea type="data" outline="0" fieldPosition="0">
        <references count="2">
          <reference field="4294967294" count="1" selected="0">
            <x v="0"/>
          </reference>
          <reference field="23" count="1" selected="0">
            <x v="1"/>
          </reference>
        </references>
      </pivotArea>
    </chartFormat>
    <chartFormat chart="7" format="10">
      <pivotArea type="data" outline="0" fieldPosition="0">
        <references count="2">
          <reference field="4294967294" count="1" selected="0">
            <x v="0"/>
          </reference>
          <reference field="23" count="1" selected="0">
            <x v="2"/>
          </reference>
        </references>
      </pivotArea>
    </chartFormat>
    <chartFormat chart="7" format="11">
      <pivotArea type="data" outline="0" fieldPosition="0">
        <references count="2">
          <reference field="4294967294" count="1" selected="0">
            <x v="0"/>
          </reference>
          <reference field="23" count="1" selected="0">
            <x v="4"/>
          </reference>
        </references>
      </pivotArea>
    </chartFormat>
    <chartFormat chart="7" format="12">
      <pivotArea type="data" outline="0" fieldPosition="0">
        <references count="2">
          <reference field="4294967294" count="1" selected="0">
            <x v="0"/>
          </reference>
          <reference field="23" count="1" selected="0">
            <x v="5"/>
          </reference>
        </references>
      </pivotArea>
    </chartFormat>
    <chartFormat chart="7" format="13">
      <pivotArea type="data" outline="0" fieldPosition="0">
        <references count="2">
          <reference field="4294967294" count="1" selected="0">
            <x v="0"/>
          </reference>
          <reference field="23" count="1" selected="0">
            <x v="6"/>
          </reference>
        </references>
      </pivotArea>
    </chartFormat>
    <chartFormat chart="7" format="14">
      <pivotArea type="data" outline="0" fieldPosition="0">
        <references count="2">
          <reference field="4294967294" count="1" selected="0">
            <x v="0"/>
          </reference>
          <reference field="23" count="1" selected="0">
            <x v="3"/>
          </reference>
        </references>
      </pivotArea>
    </chartFormat>
    <chartFormat chart="7" format="15">
      <pivotArea type="data" outline="0" fieldPosition="0">
        <references count="2">
          <reference field="4294967294" count="1" selected="0">
            <x v="0"/>
          </reference>
          <reference field="23" count="1" selected="0">
            <x v="7"/>
          </reference>
        </references>
      </pivotArea>
    </chartFormat>
    <chartFormat chart="762" format="19" series="1">
      <pivotArea type="data" outline="0" fieldPosition="0">
        <references count="1">
          <reference field="4294967294" count="1" selected="0">
            <x v="0"/>
          </reference>
        </references>
      </pivotArea>
    </chartFormat>
    <chartFormat chart="762" format="20">
      <pivotArea type="data" outline="0" fieldPosition="0">
        <references count="2">
          <reference field="4294967294" count="1" selected="0">
            <x v="0"/>
          </reference>
          <reference field="23" count="1" selected="0">
            <x v="3"/>
          </reference>
        </references>
      </pivotArea>
    </chartFormat>
    <chartFormat chart="762" format="21">
      <pivotArea type="data" outline="0" fieldPosition="0">
        <references count="2">
          <reference field="4294967294" count="1" selected="0">
            <x v="0"/>
          </reference>
          <reference field="23" count="1" selected="0">
            <x v="6"/>
          </reference>
        </references>
      </pivotArea>
    </chartFormat>
    <chartFormat chart="762" format="22">
      <pivotArea type="data" outline="0" fieldPosition="0">
        <references count="2">
          <reference field="4294967294" count="1" selected="0">
            <x v="0"/>
          </reference>
          <reference field="23" count="1" selected="0">
            <x v="1"/>
          </reference>
        </references>
      </pivotArea>
    </chartFormat>
    <chartFormat chart="762" format="23">
      <pivotArea type="data" outline="0" fieldPosition="0">
        <references count="2">
          <reference field="4294967294" count="1" selected="0">
            <x v="0"/>
          </reference>
          <reference field="23" count="1" selected="0">
            <x v="0"/>
          </reference>
        </references>
      </pivotArea>
    </chartFormat>
    <chartFormat chart="762" format="24">
      <pivotArea type="data" outline="0" fieldPosition="0">
        <references count="2">
          <reference field="4294967294" count="1" selected="0">
            <x v="0"/>
          </reference>
          <reference field="23"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3078D16-93A4-48F4-B926-1F2DAEF91CE2}" name="Tabela dinâmica14" cacheId="0" applyNumberFormats="0" applyBorderFormats="0" applyFontFormats="0" applyPatternFormats="0" applyAlignmentFormats="0" applyWidthHeightFormats="1" dataCaption="Valores" updatedVersion="8" minRefreshableVersion="3" itemPrintTitles="1" createdVersion="8" indent="0" outline="1" outlineData="1" multipleFieldFilters="0" chartFormat="6">
  <location ref="A26:B28" firstHeaderRow="1" firstDataRow="1" firstDataCol="1"/>
  <pivotFields count="37">
    <pivotField showAll="0"/>
    <pivotField showAll="0"/>
    <pivotField axis="axisRow" showAll="0">
      <items count="18">
        <item h="1" m="1" x="16"/>
        <item h="1" m="1" x="14"/>
        <item h="1" x="0"/>
        <item h="1" m="1" x="8"/>
        <item h="1" x="1"/>
        <item h="1" m="1" x="15"/>
        <item h="1" x="2"/>
        <item h="1" x="3"/>
        <item h="1" m="1" x="13"/>
        <item h="1" m="1" x="12"/>
        <item h="1" m="1" x="11"/>
        <item h="1" x="4"/>
        <item h="1" x="5"/>
        <item x="6"/>
        <item h="1" m="1" x="7"/>
        <item h="1" m="1" x="10"/>
        <item h="1" m="1" x="9"/>
        <item t="default"/>
      </items>
    </pivotField>
    <pivotField numFmtId="1" showAll="0"/>
    <pivotField numFmtId="14" showAll="0"/>
    <pivotField showAll="0"/>
    <pivotField numFmtId="14"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items count="9">
        <item x="3"/>
        <item x="2"/>
        <item m="1" x="5"/>
        <item x="1"/>
        <item m="1" x="6"/>
        <item m="1" x="7"/>
        <item x="0"/>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
    <i>
      <x v="13"/>
    </i>
    <i t="grand">
      <x/>
    </i>
  </rowItems>
  <colItems count="1">
    <i/>
  </colItems>
  <dataFields count="1">
    <dataField name="Ocs" fld="14" subtotal="count" baseField="0" baseItem="0"/>
  </dataFields>
  <formats count="16">
    <format dxfId="105">
      <pivotArea type="all" dataOnly="0" outline="0" fieldPosition="0"/>
    </format>
    <format dxfId="104">
      <pivotArea outline="0" collapsedLevelsAreSubtotals="1" fieldPosition="0"/>
    </format>
    <format dxfId="103">
      <pivotArea field="23" type="button" dataOnly="0" labelOnly="1" outline="0"/>
    </format>
    <format dxfId="102">
      <pivotArea dataOnly="0" labelOnly="1" grandRow="1" outline="0" fieldPosition="0"/>
    </format>
    <format dxfId="101">
      <pivotArea dataOnly="0" labelOnly="1" outline="0" axis="axisValues" fieldPosition="0"/>
    </format>
    <format dxfId="100">
      <pivotArea type="all" dataOnly="0" outline="0" fieldPosition="0"/>
    </format>
    <format dxfId="99">
      <pivotArea outline="0" collapsedLevelsAreSubtotals="1" fieldPosition="0"/>
    </format>
    <format dxfId="98">
      <pivotArea field="23" type="button" dataOnly="0" labelOnly="1" outline="0"/>
    </format>
    <format dxfId="97">
      <pivotArea dataOnly="0" labelOnly="1" grandRow="1" outline="0" fieldPosition="0"/>
    </format>
    <format dxfId="96">
      <pivotArea dataOnly="0" labelOnly="1" outline="0" axis="axisValues" fieldPosition="0"/>
    </format>
    <format dxfId="95">
      <pivotArea type="all" dataOnly="0" outline="0" fieldPosition="0"/>
    </format>
    <format dxfId="94">
      <pivotArea outline="0" collapsedLevelsAreSubtotals="1" fieldPosition="0"/>
    </format>
    <format dxfId="93">
      <pivotArea field="2" type="button" dataOnly="0" labelOnly="1" outline="0" axis="axisRow" fieldPosition="0"/>
    </format>
    <format dxfId="92">
      <pivotArea dataOnly="0" labelOnly="1" fieldPosition="0">
        <references count="1">
          <reference field="2" count="0"/>
        </references>
      </pivotArea>
    </format>
    <format dxfId="91">
      <pivotArea dataOnly="0" labelOnly="1" grandRow="1" outline="0" fieldPosition="0"/>
    </format>
    <format dxfId="9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030F81E-2F41-441C-B534-051EAE93E09B}" name="Tabela dinâmica13" cacheId="0" applyNumberFormats="0" applyBorderFormats="0" applyFontFormats="0" applyPatternFormats="0" applyAlignmentFormats="0" applyWidthHeightFormats="1" dataCaption="Valores" updatedVersion="8" minRefreshableVersion="3" itemPrintTitles="1" createdVersion="8" indent="0" outline="1" outlineData="1" multipleFieldFilters="0" chartFormat="989">
  <location ref="Y4:Z10" firstHeaderRow="1" firstDataRow="1" firstDataCol="1" rowPageCount="1" colPageCount="1"/>
  <pivotFields count="37">
    <pivotField axis="axisRow" showAll="0">
      <items count="16">
        <item x="0"/>
        <item x="3"/>
        <item x="1"/>
        <item x="4"/>
        <item x="2"/>
        <item m="1" x="7"/>
        <item m="1" x="13"/>
        <item m="1" x="14"/>
        <item m="1" x="11"/>
        <item m="1" x="12"/>
        <item m="1" x="10"/>
        <item m="1" x="9"/>
        <item m="1" x="8"/>
        <item m="1" x="6"/>
        <item m="1" x="5"/>
        <item t="default"/>
      </items>
    </pivotField>
    <pivotField showAll="0"/>
    <pivotField showAll="0">
      <items count="18">
        <item h="1" m="1" x="9"/>
        <item h="1" m="1" x="10"/>
        <item h="1" x="2"/>
        <item h="1" m="1" x="7"/>
        <item h="1" x="4"/>
        <item h="1" x="5"/>
        <item x="6"/>
        <item h="1" m="1" x="11"/>
        <item h="1" m="1" x="12"/>
        <item h="1" m="1" x="13"/>
        <item h="1" x="3"/>
        <item h="1" m="1" x="15"/>
        <item h="1" x="1"/>
        <item h="1" m="1" x="8"/>
        <item h="1" x="0"/>
        <item h="1" m="1" x="14"/>
        <item h="1" m="1" x="16"/>
        <item t="default"/>
      </items>
    </pivotField>
    <pivotField numFmtId="1" showAll="0"/>
    <pivotField numFmtId="14" showAll="0"/>
    <pivotField showAll="0"/>
    <pivotField numFmtId="14" showAll="0"/>
    <pivotField showAll="0"/>
    <pivotField showAll="0"/>
    <pivotField showAll="0"/>
    <pivotField axis="axisRow" showAll="0">
      <items count="11">
        <item x="0"/>
        <item x="2"/>
        <item m="1" x="9"/>
        <item x="1"/>
        <item m="1" x="8"/>
        <item m="1" x="7"/>
        <item x="3"/>
        <item x="4"/>
        <item x="5"/>
        <item x="6"/>
        <item t="default"/>
      </items>
    </pivotField>
    <pivotField axis="axisPage" multipleItemSelectionAllowed="1" showAll="0">
      <items count="6">
        <item x="1"/>
        <item x="0"/>
        <item h="1" m="1" x="4"/>
        <item h="1" x="2"/>
        <item h="1" m="1" x="3"/>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10"/>
    <field x="0"/>
  </rowFields>
  <rowItems count="6">
    <i>
      <x/>
    </i>
    <i r="1">
      <x/>
    </i>
    <i r="1">
      <x v="2"/>
    </i>
    <i r="1">
      <x v="3"/>
    </i>
    <i r="1">
      <x v="4"/>
    </i>
    <i t="grand">
      <x/>
    </i>
  </rowItems>
  <colItems count="1">
    <i/>
  </colItems>
  <pageFields count="1">
    <pageField fld="11" hier="-1"/>
  </pageFields>
  <dataFields count="1">
    <dataField name="Ocs" fld="14" subtotal="count" baseField="0" baseItem="0"/>
  </dataFields>
  <formats count="20">
    <format dxfId="125">
      <pivotArea type="all" dataOnly="0" outline="0" fieldPosition="0"/>
    </format>
    <format dxfId="124">
      <pivotArea outline="0" collapsedLevelsAreSubtotals="1" fieldPosition="0"/>
    </format>
    <format dxfId="123">
      <pivotArea field="0" type="button" dataOnly="0" labelOnly="1" outline="0" axis="axisRow" fieldPosition="1"/>
    </format>
    <format dxfId="122">
      <pivotArea dataOnly="0" labelOnly="1" fieldPosition="0">
        <references count="1">
          <reference field="0" count="0"/>
        </references>
      </pivotArea>
    </format>
    <format dxfId="121">
      <pivotArea dataOnly="0" labelOnly="1" grandRow="1" outline="0" fieldPosition="0"/>
    </format>
    <format dxfId="120">
      <pivotArea dataOnly="0" labelOnly="1" outline="0" axis="axisValues" fieldPosition="0"/>
    </format>
    <format dxfId="119">
      <pivotArea type="all" dataOnly="0" outline="0" fieldPosition="0"/>
    </format>
    <format dxfId="118">
      <pivotArea outline="0" collapsedLevelsAreSubtotals="1" fieldPosition="0"/>
    </format>
    <format dxfId="117">
      <pivotArea field="0" type="button" dataOnly="0" labelOnly="1" outline="0" axis="axisRow" fieldPosition="1"/>
    </format>
    <format dxfId="116">
      <pivotArea dataOnly="0" labelOnly="1" fieldPosition="0">
        <references count="1">
          <reference field="0" count="0"/>
        </references>
      </pivotArea>
    </format>
    <format dxfId="115">
      <pivotArea dataOnly="0" labelOnly="1" grandRow="1" outline="0" fieldPosition="0"/>
    </format>
    <format dxfId="114">
      <pivotArea dataOnly="0" labelOnly="1" outline="0" axis="axisValues" fieldPosition="0"/>
    </format>
    <format dxfId="113">
      <pivotArea type="all" dataOnly="0" outline="0" fieldPosition="0"/>
    </format>
    <format dxfId="112">
      <pivotArea outline="0" collapsedLevelsAreSubtotals="1" fieldPosition="0"/>
    </format>
    <format dxfId="111">
      <pivotArea field="10" type="button" dataOnly="0" labelOnly="1" outline="0" axis="axisRow" fieldPosition="0"/>
    </format>
    <format dxfId="110">
      <pivotArea dataOnly="0" labelOnly="1" fieldPosition="0">
        <references count="1">
          <reference field="10" count="2">
            <x v="1"/>
            <x v="3"/>
          </reference>
        </references>
      </pivotArea>
    </format>
    <format dxfId="109">
      <pivotArea dataOnly="0" labelOnly="1" grandRow="1" outline="0" fieldPosition="0"/>
    </format>
    <format dxfId="108">
      <pivotArea dataOnly="0" labelOnly="1" fieldPosition="0">
        <references count="2">
          <reference field="0" count="1">
            <x v="2"/>
          </reference>
          <reference field="10" count="1" selected="0">
            <x v="1"/>
          </reference>
        </references>
      </pivotArea>
    </format>
    <format dxfId="107">
      <pivotArea dataOnly="0" labelOnly="1" fieldPosition="0">
        <references count="2">
          <reference field="0" count="3">
            <x v="2"/>
            <x v="3"/>
            <x v="4"/>
          </reference>
          <reference field="10" count="1" selected="0">
            <x v="3"/>
          </reference>
        </references>
      </pivotArea>
    </format>
    <format dxfId="106">
      <pivotArea dataOnly="0" labelOnly="1" outline="0" axis="axisValues" fieldPosition="0"/>
    </format>
  </formats>
  <chartFormats count="2">
    <chartFormat chart="3" format="2" series="1">
      <pivotArea type="data" outline="0" fieldPosition="0">
        <references count="1">
          <reference field="4294967294" count="1" selected="0">
            <x v="0"/>
          </reference>
        </references>
      </pivotArea>
    </chartFormat>
    <chartFormat chart="756"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F785B45-3AC6-41AE-B744-B9E1383764FC}" name="Tabela dinâmica10" cacheId="0" applyNumberFormats="0" applyBorderFormats="0" applyFontFormats="0" applyPatternFormats="0" applyAlignmentFormats="0" applyWidthHeightFormats="1" dataCaption="Valores" updatedVersion="8" minRefreshableVersion="3" itemPrintTitles="1" createdVersion="8" indent="0" outline="1" outlineData="1" multipleFieldFilters="0" chartFormat="992">
  <location ref="U4:V9" firstHeaderRow="1" firstDataRow="1" firstDataCol="1" rowPageCount="1" colPageCount="1"/>
  <pivotFields count="37">
    <pivotField axis="axisRow" showAll="0">
      <items count="16">
        <item x="0"/>
        <item x="3"/>
        <item x="1"/>
        <item x="4"/>
        <item x="2"/>
        <item m="1" x="7"/>
        <item m="1" x="13"/>
        <item m="1" x="14"/>
        <item m="1" x="11"/>
        <item m="1" x="12"/>
        <item m="1" x="10"/>
        <item m="1" x="9"/>
        <item m="1" x="8"/>
        <item m="1" x="6"/>
        <item m="1" x="5"/>
        <item t="default"/>
      </items>
    </pivotField>
    <pivotField showAll="0"/>
    <pivotField showAll="0">
      <items count="18">
        <item h="1" m="1" x="9"/>
        <item h="1" m="1" x="10"/>
        <item h="1" x="2"/>
        <item h="1" m="1" x="7"/>
        <item h="1" x="4"/>
        <item h="1" x="5"/>
        <item x="6"/>
        <item h="1" m="1" x="11"/>
        <item h="1" m="1" x="12"/>
        <item h="1" m="1" x="13"/>
        <item h="1" x="3"/>
        <item h="1" m="1" x="15"/>
        <item h="1" x="1"/>
        <item h="1" m="1" x="8"/>
        <item h="1" x="0"/>
        <item h="1" m="1" x="14"/>
        <item h="1" m="1" x="16"/>
        <item t="default"/>
      </items>
    </pivotField>
    <pivotField numFmtId="1" showAll="0"/>
    <pivotField numFmtId="14" showAll="0"/>
    <pivotField showAll="0"/>
    <pivotField numFmtId="14" showAll="0"/>
    <pivotField showAll="0"/>
    <pivotField showAll="0"/>
    <pivotField showAll="0"/>
    <pivotField showAll="0"/>
    <pivotField axis="axisPage" multipleItemSelectionAllowed="1" showAll="0">
      <items count="6">
        <item x="1"/>
        <item x="0"/>
        <item h="1" m="1" x="4"/>
        <item h="1" x="2"/>
        <item h="1" m="1" x="3"/>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5">
    <i>
      <x/>
    </i>
    <i>
      <x v="2"/>
    </i>
    <i>
      <x v="3"/>
    </i>
    <i>
      <x v="4"/>
    </i>
    <i t="grand">
      <x/>
    </i>
  </rowItems>
  <colItems count="1">
    <i/>
  </colItems>
  <pageFields count="1">
    <pageField fld="11" hier="-1"/>
  </pageFields>
  <dataFields count="1">
    <dataField name="Ocs" fld="14" subtotal="count" baseField="0" baseItem="0"/>
  </dataFields>
  <formats count="18">
    <format dxfId="143">
      <pivotArea type="all" dataOnly="0" outline="0" fieldPosition="0"/>
    </format>
    <format dxfId="142">
      <pivotArea outline="0" collapsedLevelsAreSubtotals="1" fieldPosition="0"/>
    </format>
    <format dxfId="141">
      <pivotArea field="0" type="button" dataOnly="0" labelOnly="1" outline="0" axis="axisRow" fieldPosition="0"/>
    </format>
    <format dxfId="140">
      <pivotArea dataOnly="0" labelOnly="1" fieldPosition="0">
        <references count="1">
          <reference field="0" count="0"/>
        </references>
      </pivotArea>
    </format>
    <format dxfId="139">
      <pivotArea dataOnly="0" labelOnly="1" grandRow="1" outline="0" fieldPosition="0"/>
    </format>
    <format dxfId="138">
      <pivotArea dataOnly="0" labelOnly="1" outline="0" axis="axisValues" fieldPosition="0"/>
    </format>
    <format dxfId="137">
      <pivotArea type="all" dataOnly="0" outline="0" fieldPosition="0"/>
    </format>
    <format dxfId="136">
      <pivotArea outline="0" collapsedLevelsAreSubtotals="1" fieldPosition="0"/>
    </format>
    <format dxfId="135">
      <pivotArea field="0" type="button" dataOnly="0" labelOnly="1" outline="0" axis="axisRow" fieldPosition="0"/>
    </format>
    <format dxfId="134">
      <pivotArea dataOnly="0" labelOnly="1" fieldPosition="0">
        <references count="1">
          <reference field="0" count="0"/>
        </references>
      </pivotArea>
    </format>
    <format dxfId="133">
      <pivotArea dataOnly="0" labelOnly="1" grandRow="1" outline="0" fieldPosition="0"/>
    </format>
    <format dxfId="132">
      <pivotArea dataOnly="0" labelOnly="1" outline="0" axis="axisValues" fieldPosition="0"/>
    </format>
    <format dxfId="131">
      <pivotArea type="all" dataOnly="0" outline="0" fieldPosition="0"/>
    </format>
    <format dxfId="130">
      <pivotArea outline="0" collapsedLevelsAreSubtotals="1" fieldPosition="0"/>
    </format>
    <format dxfId="129">
      <pivotArea field="0" type="button" dataOnly="0" labelOnly="1" outline="0" axis="axisRow" fieldPosition="0"/>
    </format>
    <format dxfId="128">
      <pivotArea dataOnly="0" labelOnly="1" fieldPosition="0">
        <references count="1">
          <reference field="0" count="3">
            <x v="2"/>
            <x v="3"/>
            <x v="4"/>
          </reference>
        </references>
      </pivotArea>
    </format>
    <format dxfId="127">
      <pivotArea dataOnly="0" labelOnly="1" grandRow="1" outline="0" fieldPosition="0"/>
    </format>
    <format dxfId="126">
      <pivotArea dataOnly="0" labelOnly="1" outline="0" axis="axisValues" fieldPosition="0"/>
    </format>
  </formats>
  <chartFormats count="2">
    <chartFormat chart="2" format="2" series="1">
      <pivotArea type="data" outline="0" fieldPosition="0">
        <references count="1">
          <reference field="4294967294" count="1" selected="0">
            <x v="0"/>
          </reference>
        </references>
      </pivotArea>
    </chartFormat>
    <chartFormat chart="75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B67AB31-6821-48D4-AFF0-A42119782564}" name="Tabela dinâmica11" cacheId="0" applyNumberFormats="0" applyBorderFormats="0" applyFontFormats="0" applyPatternFormats="0" applyAlignmentFormats="0" applyWidthHeightFormats="1" dataCaption="Valores" updatedVersion="8" minRefreshableVersion="3" itemPrintTitles="1" createdVersion="8" indent="0" outline="1" outlineData="1" multipleFieldFilters="0" chartFormat="992">
  <location ref="U16:V21" firstHeaderRow="1" firstDataRow="1" firstDataCol="1" rowPageCount="1" colPageCount="1"/>
  <pivotFields count="37">
    <pivotField showAll="0">
      <items count="16">
        <item x="0"/>
        <item x="3"/>
        <item x="1"/>
        <item x="4"/>
        <item x="2"/>
        <item m="1" x="7"/>
        <item m="1" x="13"/>
        <item m="1" x="14"/>
        <item m="1" x="11"/>
        <item m="1" x="12"/>
        <item m="1" x="10"/>
        <item m="1" x="9"/>
        <item m="1" x="8"/>
        <item m="1" x="6"/>
        <item m="1" x="5"/>
        <item t="default"/>
      </items>
    </pivotField>
    <pivotField showAll="0"/>
    <pivotField showAll="0">
      <items count="18">
        <item h="1" m="1" x="9"/>
        <item h="1" m="1" x="10"/>
        <item h="1" x="2"/>
        <item h="1" m="1" x="7"/>
        <item h="1" x="4"/>
        <item h="1" x="5"/>
        <item x="6"/>
        <item h="1" m="1" x="11"/>
        <item h="1" m="1" x="12"/>
        <item h="1" m="1" x="13"/>
        <item h="1" x="3"/>
        <item h="1" m="1" x="15"/>
        <item h="1" x="1"/>
        <item h="1" m="1" x="8"/>
        <item h="1" x="0"/>
        <item h="1" m="1" x="14"/>
        <item h="1" m="1" x="16"/>
        <item t="default"/>
      </items>
    </pivotField>
    <pivotField numFmtId="1" showAll="0"/>
    <pivotField numFmtId="14" showAll="0"/>
    <pivotField showAll="0"/>
    <pivotField numFmtId="14" showAll="0"/>
    <pivotField showAll="0"/>
    <pivotField showAll="0"/>
    <pivotField showAll="0"/>
    <pivotField showAll="0"/>
    <pivotField axis="axisPage" multipleItemSelectionAllowed="1" showAll="0">
      <items count="6">
        <item x="1"/>
        <item x="0"/>
        <item h="1" m="1" x="4"/>
        <item h="1" x="2"/>
        <item h="1" m="1" x="3"/>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items count="9">
        <item x="3"/>
        <item x="2"/>
        <item m="1" x="5"/>
        <item x="1"/>
        <item m="1" x="6"/>
        <item m="1" x="7"/>
        <item x="0"/>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3"/>
  </rowFields>
  <rowItems count="5">
    <i>
      <x v="1"/>
    </i>
    <i>
      <x v="3"/>
    </i>
    <i>
      <x v="6"/>
    </i>
    <i>
      <x v="7"/>
    </i>
    <i t="grand">
      <x/>
    </i>
  </rowItems>
  <colItems count="1">
    <i/>
  </colItems>
  <pageFields count="1">
    <pageField fld="11" hier="-1"/>
  </pageFields>
  <dataFields count="1">
    <dataField name="Ocs" fld="14" subtotal="count" baseField="0" baseItem="0"/>
  </dataFields>
  <formats count="16">
    <format dxfId="159">
      <pivotArea type="all" dataOnly="0" outline="0" fieldPosition="0"/>
    </format>
    <format dxfId="158">
      <pivotArea outline="0" collapsedLevelsAreSubtotals="1" fieldPosition="0"/>
    </format>
    <format dxfId="157">
      <pivotArea field="0" type="button" dataOnly="0" labelOnly="1" outline="0"/>
    </format>
    <format dxfId="156">
      <pivotArea dataOnly="0" labelOnly="1" grandRow="1" outline="0" fieldPosition="0"/>
    </format>
    <format dxfId="155">
      <pivotArea dataOnly="0" labelOnly="1" outline="0" axis="axisValues" fieldPosition="0"/>
    </format>
    <format dxfId="154">
      <pivotArea type="all" dataOnly="0" outline="0" fieldPosition="0"/>
    </format>
    <format dxfId="153">
      <pivotArea outline="0" collapsedLevelsAreSubtotals="1" fieldPosition="0"/>
    </format>
    <format dxfId="152">
      <pivotArea field="0" type="button" dataOnly="0" labelOnly="1" outline="0"/>
    </format>
    <format dxfId="151">
      <pivotArea dataOnly="0" labelOnly="1" grandRow="1" outline="0" fieldPosition="0"/>
    </format>
    <format dxfId="150">
      <pivotArea dataOnly="0" labelOnly="1" outline="0" axis="axisValues" fieldPosition="0"/>
    </format>
    <format dxfId="149">
      <pivotArea type="all" dataOnly="0" outline="0" fieldPosition="0"/>
    </format>
    <format dxfId="148">
      <pivotArea outline="0" collapsedLevelsAreSubtotals="1" fieldPosition="0"/>
    </format>
    <format dxfId="147">
      <pivotArea field="23" type="button" dataOnly="0" labelOnly="1" outline="0" axis="axisRow" fieldPosition="0"/>
    </format>
    <format dxfId="146">
      <pivotArea dataOnly="0" labelOnly="1" fieldPosition="0">
        <references count="1">
          <reference field="23" count="2">
            <x v="2"/>
            <x v="4"/>
          </reference>
        </references>
      </pivotArea>
    </format>
    <format dxfId="145">
      <pivotArea dataOnly="0" labelOnly="1" grandRow="1" outline="0" fieldPosition="0"/>
    </format>
    <format dxfId="144">
      <pivotArea dataOnly="0" labelOnly="1" outline="0" axis="axisValues" fieldPosition="0"/>
    </format>
  </formats>
  <chartFormats count="2">
    <chartFormat chart="2" format="2" series="1">
      <pivotArea type="data" outline="0" fieldPosition="0">
        <references count="1">
          <reference field="4294967294" count="1" selected="0">
            <x v="0"/>
          </reference>
        </references>
      </pivotArea>
    </chartFormat>
    <chartFormat chart="75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F3FFE69-585A-4E8C-9435-3B6A45ABFC01}" name="Tabela dinâmica7" cacheId="0" applyNumberFormats="0" applyBorderFormats="0" applyFontFormats="0" applyPatternFormats="0" applyAlignmentFormats="0" applyWidthHeightFormats="1" dataCaption="Valores" updatedVersion="8" minRefreshableVersion="3" itemPrintTitles="1" createdVersion="8" indent="0" outline="1" outlineData="1" multipleFieldFilters="0">
  <location ref="F3:G6" firstHeaderRow="1" firstDataRow="1" firstDataCol="1"/>
  <pivotFields count="37">
    <pivotField showAll="0"/>
    <pivotField showAll="0"/>
    <pivotField showAll="0">
      <items count="18">
        <item h="1" m="1" x="9"/>
        <item h="1" m="1" x="10"/>
        <item h="1" x="2"/>
        <item h="1" m="1" x="7"/>
        <item h="1" x="4"/>
        <item h="1" x="5"/>
        <item x="6"/>
        <item h="1" m="1" x="11"/>
        <item h="1" m="1" x="12"/>
        <item h="1" m="1" x="13"/>
        <item h="1" x="3"/>
        <item h="1" m="1" x="15"/>
        <item h="1" x="1"/>
        <item h="1" m="1" x="8"/>
        <item h="1" x="0"/>
        <item h="1" m="1" x="14"/>
        <item h="1" m="1" x="16"/>
        <item t="default"/>
      </items>
    </pivotField>
    <pivotField numFmtId="1" showAll="0"/>
    <pivotField numFmtId="14" showAll="0"/>
    <pivotField showAll="0"/>
    <pivotField numFmtId="14" showAll="0"/>
    <pivotField showAll="0"/>
    <pivotField showAll="0"/>
    <pivotField showAll="0"/>
    <pivotField showAll="0"/>
    <pivotField showAll="0"/>
    <pivotField showAll="0"/>
    <pivotField showAll="0"/>
    <pivotField dataField="1" showAll="0"/>
    <pivotField showAll="0"/>
    <pivotField showAll="0"/>
    <pivotField showAll="0"/>
    <pivotField axis="axisRow" showAll="0">
      <items count="4">
        <item m="1" x="2"/>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8"/>
  </rowFields>
  <rowItems count="3">
    <i>
      <x v="1"/>
    </i>
    <i>
      <x v="2"/>
    </i>
    <i t="grand">
      <x/>
    </i>
  </rowItems>
  <colItems count="1">
    <i/>
  </colItems>
  <dataFields count="1">
    <dataField name="Ocs" fld="14" subtotal="count" baseField="0" baseItem="0"/>
  </dataFields>
  <formats count="18">
    <format dxfId="177">
      <pivotArea type="all" dataOnly="0" outline="0" fieldPosition="0"/>
    </format>
    <format dxfId="176">
      <pivotArea outline="0" collapsedLevelsAreSubtotals="1" fieldPosition="0"/>
    </format>
    <format dxfId="175">
      <pivotArea field="18" type="button" dataOnly="0" labelOnly="1" outline="0" axis="axisRow" fieldPosition="0"/>
    </format>
    <format dxfId="174">
      <pivotArea dataOnly="0" labelOnly="1" fieldPosition="0">
        <references count="1">
          <reference field="18" count="0"/>
        </references>
      </pivotArea>
    </format>
    <format dxfId="173">
      <pivotArea dataOnly="0" labelOnly="1" grandRow="1" outline="0" fieldPosition="0"/>
    </format>
    <format dxfId="172">
      <pivotArea dataOnly="0" labelOnly="1" outline="0" axis="axisValues" fieldPosition="0"/>
    </format>
    <format dxfId="171">
      <pivotArea type="all" dataOnly="0" outline="0" fieldPosition="0"/>
    </format>
    <format dxfId="170">
      <pivotArea outline="0" collapsedLevelsAreSubtotals="1" fieldPosition="0"/>
    </format>
    <format dxfId="169">
      <pivotArea field="18" type="button" dataOnly="0" labelOnly="1" outline="0" axis="axisRow" fieldPosition="0"/>
    </format>
    <format dxfId="168">
      <pivotArea dataOnly="0" labelOnly="1" fieldPosition="0">
        <references count="1">
          <reference field="18" count="0"/>
        </references>
      </pivotArea>
    </format>
    <format dxfId="167">
      <pivotArea dataOnly="0" labelOnly="1" grandRow="1" outline="0" fieldPosition="0"/>
    </format>
    <format dxfId="166">
      <pivotArea dataOnly="0" labelOnly="1" outline="0" axis="axisValues" fieldPosition="0"/>
    </format>
    <format dxfId="165">
      <pivotArea type="all" dataOnly="0" outline="0" fieldPosition="0"/>
    </format>
    <format dxfId="164">
      <pivotArea outline="0" collapsedLevelsAreSubtotals="1" fieldPosition="0"/>
    </format>
    <format dxfId="163">
      <pivotArea field="18" type="button" dataOnly="0" labelOnly="1" outline="0" axis="axisRow" fieldPosition="0"/>
    </format>
    <format dxfId="162">
      <pivotArea dataOnly="0" labelOnly="1" fieldPosition="0">
        <references count="1">
          <reference field="18" count="0"/>
        </references>
      </pivotArea>
    </format>
    <format dxfId="161">
      <pivotArea dataOnly="0" labelOnly="1" grandRow="1" outline="0" fieldPosition="0"/>
    </format>
    <format dxfId="16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3863324-FE0B-497F-8347-131CB6C67403}" name="Tabela dinâmica4" cacheId="0" applyNumberFormats="0" applyBorderFormats="0" applyFontFormats="0" applyPatternFormats="0" applyAlignmentFormats="0" applyWidthHeightFormats="1" dataCaption="Valores" updatedVersion="8" minRefreshableVersion="3" itemPrintTitles="1" createdVersion="8" indent="0" outline="1" outlineData="1" multipleFieldFilters="0" chartFormat="998">
  <location ref="A3:B8" firstHeaderRow="1" firstDataRow="1" firstDataCol="1"/>
  <pivotFields count="37">
    <pivotField axis="axisRow" showAll="0">
      <items count="16">
        <item x="0"/>
        <item x="3"/>
        <item x="1"/>
        <item x="4"/>
        <item x="2"/>
        <item m="1" x="7"/>
        <item m="1" x="13"/>
        <item m="1" x="14"/>
        <item m="1" x="11"/>
        <item m="1" x="12"/>
        <item m="1" x="10"/>
        <item m="1" x="9"/>
        <item m="1" x="8"/>
        <item m="1" x="6"/>
        <item m="1" x="5"/>
        <item t="default"/>
      </items>
    </pivotField>
    <pivotField showAll="0"/>
    <pivotField showAll="0">
      <items count="18">
        <item h="1" m="1" x="9"/>
        <item h="1" m="1" x="10"/>
        <item h="1" x="2"/>
        <item h="1" m="1" x="7"/>
        <item h="1" x="4"/>
        <item h="1" x="5"/>
        <item x="6"/>
        <item h="1" m="1" x="11"/>
        <item h="1" m="1" x="12"/>
        <item h="1" m="1" x="13"/>
        <item h="1" x="3"/>
        <item h="1" m="1" x="15"/>
        <item h="1" x="1"/>
        <item h="1" m="1" x="8"/>
        <item h="1" x="0"/>
        <item h="1" m="1" x="14"/>
        <item h="1" m="1" x="16"/>
        <item t="default"/>
      </items>
    </pivotField>
    <pivotField numFmtId="1" showAll="0"/>
    <pivotField numFmtId="14" showAll="0"/>
    <pivotField showAll="0"/>
    <pivotField numFmtId="14"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5">
    <i>
      <x/>
    </i>
    <i>
      <x v="2"/>
    </i>
    <i>
      <x v="3"/>
    </i>
    <i>
      <x v="4"/>
    </i>
    <i t="grand">
      <x/>
    </i>
  </rowItems>
  <colItems count="1">
    <i/>
  </colItems>
  <dataFields count="1">
    <dataField name="Ocs" fld="14" subtotal="count" baseField="0" baseItem="0"/>
  </dataFields>
  <formats count="18">
    <format dxfId="195">
      <pivotArea type="all" dataOnly="0" outline="0" fieldPosition="0"/>
    </format>
    <format dxfId="194">
      <pivotArea outline="0" collapsedLevelsAreSubtotals="1" fieldPosition="0"/>
    </format>
    <format dxfId="193">
      <pivotArea field="0" type="button" dataOnly="0" labelOnly="1" outline="0" axis="axisRow" fieldPosition="0"/>
    </format>
    <format dxfId="192">
      <pivotArea dataOnly="0" labelOnly="1" fieldPosition="0">
        <references count="1">
          <reference field="0" count="0"/>
        </references>
      </pivotArea>
    </format>
    <format dxfId="191">
      <pivotArea dataOnly="0" labelOnly="1" grandRow="1" outline="0" fieldPosition="0"/>
    </format>
    <format dxfId="190">
      <pivotArea dataOnly="0" labelOnly="1" outline="0" axis="axisValues" fieldPosition="0"/>
    </format>
    <format dxfId="189">
      <pivotArea type="all" dataOnly="0" outline="0" fieldPosition="0"/>
    </format>
    <format dxfId="188">
      <pivotArea outline="0" collapsedLevelsAreSubtotals="1" fieldPosition="0"/>
    </format>
    <format dxfId="187">
      <pivotArea field="0" type="button" dataOnly="0" labelOnly="1" outline="0" axis="axisRow" fieldPosition="0"/>
    </format>
    <format dxfId="186">
      <pivotArea dataOnly="0" labelOnly="1" fieldPosition="0">
        <references count="1">
          <reference field="0" count="0"/>
        </references>
      </pivotArea>
    </format>
    <format dxfId="185">
      <pivotArea dataOnly="0" labelOnly="1" grandRow="1" outline="0" fieldPosition="0"/>
    </format>
    <format dxfId="184">
      <pivotArea dataOnly="0" labelOnly="1" outline="0" axis="axisValues" fieldPosition="0"/>
    </format>
    <format dxfId="183">
      <pivotArea type="all" dataOnly="0" outline="0" fieldPosition="0"/>
    </format>
    <format dxfId="182">
      <pivotArea outline="0" collapsedLevelsAreSubtotals="1" fieldPosition="0"/>
    </format>
    <format dxfId="181">
      <pivotArea field="0" type="button" dataOnly="0" labelOnly="1" outline="0" axis="axisRow" fieldPosition="0"/>
    </format>
    <format dxfId="180">
      <pivotArea dataOnly="0" labelOnly="1" fieldPosition="0">
        <references count="1">
          <reference field="0" count="3">
            <x v="2"/>
            <x v="3"/>
            <x v="4"/>
          </reference>
        </references>
      </pivotArea>
    </format>
    <format dxfId="179">
      <pivotArea dataOnly="0" labelOnly="1" grandRow="1" outline="0" fieldPosition="0"/>
    </format>
    <format dxfId="178">
      <pivotArea dataOnly="0" labelOnly="1" outline="0" axis="axisValues" fieldPosition="0"/>
    </format>
  </formats>
  <chartFormats count="18">
    <chartFormat chart="8" format="7" series="1">
      <pivotArea type="data" outline="0" fieldPosition="0">
        <references count="1">
          <reference field="4294967294" count="1" selected="0">
            <x v="0"/>
          </reference>
        </references>
      </pivotArea>
    </chartFormat>
    <chartFormat chart="8" format="8">
      <pivotArea type="data" outline="0" fieldPosition="0">
        <references count="2">
          <reference field="4294967294" count="1" selected="0">
            <x v="0"/>
          </reference>
          <reference field="0" count="1" selected="0">
            <x v="0"/>
          </reference>
        </references>
      </pivotArea>
    </chartFormat>
    <chartFormat chart="8" format="9">
      <pivotArea type="data" outline="0" fieldPosition="0">
        <references count="2">
          <reference field="4294967294" count="1" selected="0">
            <x v="0"/>
          </reference>
          <reference field="0" count="1" selected="0">
            <x v="1"/>
          </reference>
        </references>
      </pivotArea>
    </chartFormat>
    <chartFormat chart="8" format="10">
      <pivotArea type="data" outline="0" fieldPosition="0">
        <references count="2">
          <reference field="4294967294" count="1" selected="0">
            <x v="0"/>
          </reference>
          <reference field="0" count="1" selected="0">
            <x v="2"/>
          </reference>
        </references>
      </pivotArea>
    </chartFormat>
    <chartFormat chart="8" format="11">
      <pivotArea type="data" outline="0" fieldPosition="0">
        <references count="2">
          <reference field="4294967294" count="1" selected="0">
            <x v="0"/>
          </reference>
          <reference field="0" count="1" selected="0">
            <x v="3"/>
          </reference>
        </references>
      </pivotArea>
    </chartFormat>
    <chartFormat chart="8" format="12">
      <pivotArea type="data" outline="0" fieldPosition="0">
        <references count="2">
          <reference field="4294967294" count="1" selected="0">
            <x v="0"/>
          </reference>
          <reference field="0" count="1" selected="0">
            <x v="4"/>
          </reference>
        </references>
      </pivotArea>
    </chartFormat>
    <chartFormat chart="8" format="13">
      <pivotArea type="data" outline="0" fieldPosition="0">
        <references count="2">
          <reference field="4294967294" count="1" selected="0">
            <x v="0"/>
          </reference>
          <reference field="0" count="1" selected="0">
            <x v="5"/>
          </reference>
        </references>
      </pivotArea>
    </chartFormat>
    <chartFormat chart="8" format="14">
      <pivotArea type="data" outline="0" fieldPosition="0">
        <references count="2">
          <reference field="4294967294" count="1" selected="0">
            <x v="0"/>
          </reference>
          <reference field="0" count="1" selected="0">
            <x v="6"/>
          </reference>
        </references>
      </pivotArea>
    </chartFormat>
    <chartFormat chart="8" format="15">
      <pivotArea type="data" outline="0" fieldPosition="0">
        <references count="2">
          <reference field="4294967294" count="1" selected="0">
            <x v="0"/>
          </reference>
          <reference field="0" count="1" selected="0">
            <x v="7"/>
          </reference>
        </references>
      </pivotArea>
    </chartFormat>
    <chartFormat chart="8" format="16">
      <pivotArea type="data" outline="0" fieldPosition="0">
        <references count="2">
          <reference field="4294967294" count="1" selected="0">
            <x v="0"/>
          </reference>
          <reference field="0" count="1" selected="0">
            <x v="11"/>
          </reference>
        </references>
      </pivotArea>
    </chartFormat>
    <chartFormat chart="8" format="17">
      <pivotArea type="data" outline="0" fieldPosition="0">
        <references count="2">
          <reference field="4294967294" count="1" selected="0">
            <x v="0"/>
          </reference>
          <reference field="0" count="1" selected="0">
            <x v="12"/>
          </reference>
        </references>
      </pivotArea>
    </chartFormat>
    <chartFormat chart="8" format="18">
      <pivotArea type="data" outline="0" fieldPosition="0">
        <references count="2">
          <reference field="4294967294" count="1" selected="0">
            <x v="0"/>
          </reference>
          <reference field="0" count="1" selected="0">
            <x v="14"/>
          </reference>
        </references>
      </pivotArea>
    </chartFormat>
    <chartFormat chart="765" format="21" series="1">
      <pivotArea type="data" outline="0" fieldPosition="0">
        <references count="1">
          <reference field="4294967294" count="1" selected="0">
            <x v="0"/>
          </reference>
        </references>
      </pivotArea>
    </chartFormat>
    <chartFormat chart="765" format="22">
      <pivotArea type="data" outline="0" fieldPosition="0">
        <references count="2">
          <reference field="4294967294" count="1" selected="0">
            <x v="0"/>
          </reference>
          <reference field="0" count="1" selected="0">
            <x v="3"/>
          </reference>
        </references>
      </pivotArea>
    </chartFormat>
    <chartFormat chart="765" format="23">
      <pivotArea type="data" outline="0" fieldPosition="0">
        <references count="2">
          <reference field="4294967294" count="1" selected="0">
            <x v="0"/>
          </reference>
          <reference field="0" count="1" selected="0">
            <x v="4"/>
          </reference>
        </references>
      </pivotArea>
    </chartFormat>
    <chartFormat chart="765" format="24">
      <pivotArea type="data" outline="0" fieldPosition="0">
        <references count="2">
          <reference field="4294967294" count="1" selected="0">
            <x v="0"/>
          </reference>
          <reference field="0" count="1" selected="0">
            <x v="2"/>
          </reference>
        </references>
      </pivotArea>
    </chartFormat>
    <chartFormat chart="765" format="25">
      <pivotArea type="data" outline="0" fieldPosition="0">
        <references count="2">
          <reference field="4294967294" count="1" selected="0">
            <x v="0"/>
          </reference>
          <reference field="0" count="1" selected="0">
            <x v="0"/>
          </reference>
        </references>
      </pivotArea>
    </chartFormat>
    <chartFormat chart="765" format="26">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AD9923C-597F-4119-956F-65C6A8B6B29C}" name="Tabela dinâmica8" cacheId="0" applyNumberFormats="0" applyBorderFormats="0" applyFontFormats="0" applyPatternFormats="0" applyAlignmentFormats="0" applyWidthHeightFormats="1" dataCaption="Valores" updatedVersion="8" minRefreshableVersion="3" itemPrintTitles="1" createdVersion="8" indent="0" outline="1" outlineData="1" multipleFieldFilters="0" chartFormat="9" rowHeaderCaption="Data">
  <location ref="N3:Q23" firstHeaderRow="1" firstDataRow="2" firstDataCol="1"/>
  <pivotFields count="37">
    <pivotField showAll="0"/>
    <pivotField showAll="0"/>
    <pivotField showAll="0">
      <items count="18">
        <item h="1" m="1" x="9"/>
        <item h="1" m="1" x="10"/>
        <item h="1" x="2"/>
        <item h="1" m="1" x="7"/>
        <item h="1" x="4"/>
        <item h="1" x="5"/>
        <item x="6"/>
        <item h="1" m="1" x="11"/>
        <item h="1" m="1" x="12"/>
        <item h="1" m="1" x="13"/>
        <item h="1" x="3"/>
        <item h="1" m="1" x="15"/>
        <item h="1" x="1"/>
        <item h="1" m="1" x="8"/>
        <item h="1" x="0"/>
        <item h="1" m="1" x="14"/>
        <item h="1" m="1" x="16"/>
        <item t="default"/>
      </items>
    </pivotField>
    <pivotField numFmtId="1" showAll="0"/>
    <pivotField numFmtId="14" showAll="0"/>
    <pivotField axis="axisRow" showAll="0">
      <items count="353">
        <item m="1" x="345"/>
        <item m="1" x="179"/>
        <item m="1" x="180"/>
        <item m="1" x="181"/>
        <item m="1" x="182"/>
        <item m="1" x="183"/>
        <item m="1" x="184"/>
        <item m="1" x="185"/>
        <item m="1" x="186"/>
        <item m="1" x="187"/>
        <item m="1" x="188"/>
        <item m="1" x="191"/>
        <item m="1" x="192"/>
        <item m="1" x="193"/>
        <item m="1" x="189"/>
        <item m="1" x="190"/>
        <item m="1" x="194"/>
        <item m="1" x="196"/>
        <item m="1" x="197"/>
        <item m="1" x="198"/>
        <item m="1" x="199"/>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346"/>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200"/>
        <item m="1" x="201"/>
        <item m="1" x="347"/>
        <item m="1" x="348"/>
        <item m="1" x="349"/>
        <item m="1" x="350"/>
        <item m="1" x="351"/>
        <item m="1" x="202"/>
        <item m="1" x="203"/>
        <item m="1" x="130"/>
        <item m="1" x="195"/>
        <item m="1" x="342"/>
        <item m="1" x="343"/>
        <item m="1" x="344"/>
        <item m="1" x="205"/>
        <item m="1" x="206"/>
        <item m="1" x="207"/>
        <item m="1" x="209"/>
        <item m="1" x="208"/>
        <item m="1" x="210"/>
        <item m="1" x="211"/>
        <item m="1" x="212"/>
        <item m="1" x="213"/>
        <item m="1" x="214"/>
        <item m="1" x="20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340"/>
        <item m="1" x="341"/>
        <item m="1" x="253"/>
        <item m="1" x="254"/>
        <item m="1" x="255"/>
        <item m="1" x="256"/>
        <item m="1" x="257"/>
        <item m="1" x="258"/>
        <item m="1" x="246"/>
        <item m="1" x="247"/>
        <item m="1" x="248"/>
        <item m="1" x="249"/>
        <item m="1" x="250"/>
        <item m="1" x="251"/>
        <item m="1" x="252"/>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339"/>
        <item m="1" x="291"/>
        <item m="1" x="292"/>
        <item m="1" x="293"/>
        <item m="1" x="294"/>
        <item m="1" x="295"/>
        <item m="1" x="296"/>
        <item m="1" x="297"/>
        <item m="1" x="298"/>
        <item m="1" x="299"/>
        <item m="1" x="300"/>
        <item m="1" x="301"/>
        <item m="1" x="302"/>
        <item m="1" x="303"/>
        <item m="1" x="304"/>
        <item m="1" x="305"/>
        <item m="1" x="332"/>
        <item m="1" x="333"/>
        <item m="1" x="334"/>
        <item m="1" x="335"/>
        <item m="1" x="336"/>
        <item m="1" x="337"/>
        <item m="1" x="338"/>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x="0"/>
        <item x="1"/>
        <item x="2"/>
        <item x="3"/>
        <item x="4"/>
        <item x="5"/>
        <item x="6"/>
        <item x="7"/>
        <item x="8"/>
        <item x="9"/>
        <item x="10"/>
        <item x="11"/>
        <item x="12"/>
        <item x="13"/>
        <item x="14"/>
        <item x="15"/>
        <item x="16"/>
        <item x="17"/>
        <item x="18"/>
        <item x="19"/>
        <item x="20"/>
        <item x="21"/>
        <item x="23"/>
        <item x="22"/>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7"/>
        <item x="98"/>
        <item x="99"/>
        <item x="100"/>
        <item x="101"/>
        <item x="102"/>
        <item x="96"/>
        <item x="103"/>
        <item x="104"/>
        <item x="105"/>
        <item x="106"/>
        <item x="107"/>
        <item x="108"/>
        <item t="default"/>
      </items>
    </pivotField>
    <pivotField numFmtId="14" showAll="0"/>
    <pivotField showAll="0"/>
    <pivotField showAll="0"/>
    <pivotField showAll="0"/>
    <pivotField showAll="0"/>
    <pivotField showAll="0"/>
    <pivotField showAll="0"/>
    <pivotField showAll="0"/>
    <pivotField dataField="1" showAll="0"/>
    <pivotField showAll="0"/>
    <pivotField showAll="0"/>
    <pivotField showAll="0"/>
    <pivotField axis="axisCol" showAll="0">
      <items count="4">
        <item m="1" x="2"/>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5"/>
  </rowFields>
  <rowItems count="19">
    <i>
      <x v="334"/>
    </i>
    <i>
      <x v="335"/>
    </i>
    <i>
      <x v="336"/>
    </i>
    <i>
      <x v="337"/>
    </i>
    <i>
      <x v="338"/>
    </i>
    <i>
      <x v="339"/>
    </i>
    <i>
      <x v="340"/>
    </i>
    <i>
      <x v="341"/>
    </i>
    <i>
      <x v="342"/>
    </i>
    <i>
      <x v="343"/>
    </i>
    <i>
      <x v="344"/>
    </i>
    <i>
      <x v="345"/>
    </i>
    <i>
      <x v="346"/>
    </i>
    <i>
      <x v="347"/>
    </i>
    <i>
      <x v="348"/>
    </i>
    <i>
      <x v="349"/>
    </i>
    <i>
      <x v="350"/>
    </i>
    <i>
      <x v="351"/>
    </i>
    <i t="grand">
      <x/>
    </i>
  </rowItems>
  <colFields count="1">
    <field x="18"/>
  </colFields>
  <colItems count="3">
    <i>
      <x v="1"/>
    </i>
    <i>
      <x v="2"/>
    </i>
    <i t="grand">
      <x/>
    </i>
  </colItems>
  <dataFields count="1">
    <dataField name="Contagem de ID" fld="14" subtotal="count" baseField="0" baseItem="0"/>
  </dataFields>
  <formats count="23">
    <format dxfId="218">
      <pivotArea type="all" dataOnly="0" outline="0" fieldPosition="0"/>
    </format>
    <format dxfId="217">
      <pivotArea outline="0" collapsedLevelsAreSubtotals="1" fieldPosition="0"/>
    </format>
    <format dxfId="216">
      <pivotArea type="origin" dataOnly="0" labelOnly="1" outline="0" fieldPosition="0"/>
    </format>
    <format dxfId="215">
      <pivotArea field="18" type="button" dataOnly="0" labelOnly="1" outline="0" axis="axisCol" fieldPosition="0"/>
    </format>
    <format dxfId="214">
      <pivotArea type="topRight" dataOnly="0" labelOnly="1" outline="0" fieldPosition="0"/>
    </format>
    <format dxfId="213">
      <pivotArea field="5" type="button" dataOnly="0" labelOnly="1" outline="0" axis="axisRow" fieldPosition="0"/>
    </format>
    <format dxfId="212">
      <pivotArea dataOnly="0" labelOnly="1" fieldPosition="0">
        <references count="1">
          <reference field="5"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11">
      <pivotArea dataOnly="0" labelOnly="1" fieldPosition="0">
        <references count="1">
          <reference field="5" count="41">
            <x v="50"/>
            <x v="51"/>
            <x v="52"/>
            <x v="53"/>
            <x v="54"/>
            <x v="55"/>
            <x v="56"/>
            <x v="57"/>
            <x v="58"/>
            <x v="59"/>
            <x v="60"/>
            <x v="61"/>
            <x v="62"/>
            <x v="63"/>
            <x v="64"/>
            <x v="65"/>
            <x v="66"/>
            <x v="67"/>
            <x v="68"/>
            <x v="69"/>
            <x v="70"/>
            <x v="71"/>
            <x v="72"/>
            <x v="73"/>
            <x v="74"/>
            <x v="75"/>
            <x v="76"/>
            <x v="77"/>
            <x v="78"/>
            <x v="79"/>
            <x v="80"/>
            <x v="81"/>
            <x v="82"/>
            <x v="83"/>
            <x v="84"/>
            <x v="85"/>
            <x v="86"/>
            <x v="87"/>
            <x v="88"/>
            <x v="89"/>
            <x v="90"/>
          </reference>
        </references>
      </pivotArea>
    </format>
    <format dxfId="210">
      <pivotArea dataOnly="0" labelOnly="1" grandRow="1" outline="0" fieldPosition="0"/>
    </format>
    <format dxfId="209">
      <pivotArea dataOnly="0" labelOnly="1" fieldPosition="0">
        <references count="1">
          <reference field="18" count="0"/>
        </references>
      </pivotArea>
    </format>
    <format dxfId="208">
      <pivotArea dataOnly="0" labelOnly="1" grandCol="1" outline="0" fieldPosition="0"/>
    </format>
    <format dxfId="207">
      <pivotArea type="all" dataOnly="0" outline="0" fieldPosition="0"/>
    </format>
    <format dxfId="206">
      <pivotArea outline="0" collapsedLevelsAreSubtotals="1" fieldPosition="0"/>
    </format>
    <format dxfId="205">
      <pivotArea type="origin" dataOnly="0" labelOnly="1" outline="0" fieldPosition="0"/>
    </format>
    <format dxfId="204">
      <pivotArea field="18" type="button" dataOnly="0" labelOnly="1" outline="0" axis="axisCol" fieldPosition="0"/>
    </format>
    <format dxfId="203">
      <pivotArea type="topRight" dataOnly="0" labelOnly="1" outline="0" fieldPosition="0"/>
    </format>
    <format dxfId="202">
      <pivotArea field="5" type="button" dataOnly="0" labelOnly="1" outline="0" axis="axisRow" fieldPosition="0"/>
    </format>
    <format dxfId="201">
      <pivotArea dataOnly="0" labelOnly="1" fieldPosition="0">
        <references count="1">
          <reference field="5"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00">
      <pivotArea dataOnly="0" labelOnly="1" fieldPosition="0">
        <references count="1">
          <reference field="5" count="41">
            <x v="50"/>
            <x v="51"/>
            <x v="52"/>
            <x v="53"/>
            <x v="54"/>
            <x v="55"/>
            <x v="56"/>
            <x v="57"/>
            <x v="58"/>
            <x v="59"/>
            <x v="60"/>
            <x v="61"/>
            <x v="62"/>
            <x v="63"/>
            <x v="64"/>
            <x v="65"/>
            <x v="66"/>
            <x v="67"/>
            <x v="68"/>
            <x v="69"/>
            <x v="70"/>
            <x v="71"/>
            <x v="72"/>
            <x v="73"/>
            <x v="74"/>
            <x v="75"/>
            <x v="76"/>
            <x v="77"/>
            <x v="78"/>
            <x v="79"/>
            <x v="80"/>
            <x v="81"/>
            <x v="82"/>
            <x v="83"/>
            <x v="84"/>
            <x v="85"/>
            <x v="86"/>
            <x v="87"/>
            <x v="88"/>
            <x v="89"/>
            <x v="90"/>
          </reference>
        </references>
      </pivotArea>
    </format>
    <format dxfId="199">
      <pivotArea dataOnly="0" labelOnly="1" grandRow="1" outline="0" fieldPosition="0"/>
    </format>
    <format dxfId="198">
      <pivotArea dataOnly="0" labelOnly="1" fieldPosition="0">
        <references count="1">
          <reference field="18" count="0"/>
        </references>
      </pivotArea>
    </format>
    <format dxfId="197">
      <pivotArea dataOnly="0" labelOnly="1" grandCol="1" outline="0" fieldPosition="0"/>
    </format>
    <format dxfId="196">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Mês" xr10:uid="{18497EFA-9FE4-4A78-B5BB-AD68020F2991}" sourceName="Mês">
  <pivotTables>
    <pivotTable tabId="36" name="Tabela dinâmica8"/>
    <pivotTable tabId="36" name="Tabela dinâmica10"/>
    <pivotTable tabId="36" name="Tabela dinâmica11"/>
    <pivotTable tabId="36" name="Tabela dinâmica12"/>
    <pivotTable tabId="36" name="Tabela dinâmica13"/>
    <pivotTable tabId="36" name="Tabela dinâmica14"/>
    <pivotTable tabId="36" name="Tabela dinâmica4"/>
    <pivotTable tabId="36" name="Tabela dinâmica5"/>
    <pivotTable tabId="36" name="Tabela dinâmica6"/>
    <pivotTable tabId="36" name="Tabela dinâmica7"/>
    <pivotTable tabId="36" name="Tabela dinâmica1"/>
    <pivotTable tabId="36" name="Tabela dinâmica2"/>
  </pivotTables>
  <data>
    <tabular pivotCacheId="998369627">
      <items count="17">
        <i x="2"/>
        <i x="4"/>
        <i x="5"/>
        <i x="6" s="1"/>
        <i x="3"/>
        <i x="1"/>
        <i x="0"/>
        <i x="9" nd="1"/>
        <i x="10" nd="1"/>
        <i x="7" nd="1"/>
        <i x="11" nd="1"/>
        <i x="12" nd="1"/>
        <i x="13" nd="1"/>
        <i x="15" nd="1"/>
        <i x="8" nd="1"/>
        <i x="14" nd="1"/>
        <i x="16"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Procedência" xr10:uid="{3F54F83D-6BDB-4B9D-8720-8889B62488C6}" sourceName="Procedência ">
  <extLst>
    <x:ext xmlns:x15="http://schemas.microsoft.com/office/spreadsheetml/2010/11/main" uri="{2F2917AC-EB37-4324-AD4E-5DD8C200BD13}">
      <x15:tableSlicerCache tableId="1" column="24"/>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Mês1" xr10:uid="{95620939-2C03-442A-A64F-3F29F0C50EB5}" sourceName="Mês">
  <extLst>
    <x:ext xmlns:x15="http://schemas.microsoft.com/office/spreadsheetml/2010/11/main" uri="{2F2917AC-EB37-4324-AD4E-5DD8C200BD13}">
      <x15:tableSlicerCache tableId="1" column="26"/>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Território" xr10:uid="{97EDB23B-4D36-4114-A917-81783BD7F7FE}" sourceName="Território">
  <extLst>
    <x:ext xmlns:x15="http://schemas.microsoft.com/office/spreadsheetml/2010/11/main" uri="{2F2917AC-EB37-4324-AD4E-5DD8C200BD13}">
      <x15:tableSlicerCache tableId="1" column="3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ês" xr10:uid="{883CE6CD-13F8-4F45-A5C5-2E82A9F7C9F3}" cache="SegmentaçãodeDados_Mês" caption="Mês" columnCount="12" style="SlicerStyleDark1 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cedência " xr10:uid="{305E363E-2B6C-44A3-9546-46318E21AE19}" cache="SegmentaçãodeDados_Procedência" caption="Procedência " columnCount="2" rowHeight="241300"/>
  <slicer name="Mês 1" xr10:uid="{B6A4BD5C-133C-4158-A0F3-0452125D2687}" cache="SegmentaçãodeDados_Mês1" caption="Mês" columnCount="3" rowHeight="241300"/>
  <slicer name="Território" xr10:uid="{8D2249D8-F710-4587-94FC-69F385D7D01E}" cache="SegmentaçãodeDados_Território" caption="Território"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3:AL308" totalsRowShown="0" headerRowDxfId="257" dataDxfId="256">
  <autoFilter ref="B3:AL308" xr:uid="{00000000-000C-0000-FFFF-FFFF00000000}">
    <filterColumn colId="11">
      <filters>
        <filter val="FADEL"/>
      </filters>
    </filterColumn>
  </autoFilter>
  <tableColumns count="37">
    <tableColumn id="24" xr3:uid="{BCC13A54-4363-4A1A-B761-528AA47EE1F2}" name="Procedência " dataDxfId="255"/>
    <tableColumn id="25" xr3:uid="{BFB3C88F-FC3B-4F64-9663-28E747D8E407}" name="Status OC" dataDxfId="254"/>
    <tableColumn id="26" xr3:uid="{A8319E16-DAA9-46D9-97BB-30601A7E33D3}" name="Mês" dataDxfId="253"/>
    <tableColumn id="37" xr3:uid="{BE7A3388-16E2-45B3-8A31-002751A448BD}" name="Semana" dataDxfId="252">
      <calculatedColumnFormula>WEEKNUM(Table1[[#This Row],[Dt da abertura]],1)</calculatedColumnFormula>
    </tableColumn>
    <tableColumn id="27" xr3:uid="{6BA549AB-0779-4D83-8BA3-E23C0CFD0FB3}" name="Dt envio p Emergent" dataDxfId="251"/>
    <tableColumn id="28" xr3:uid="{44F623F5-8892-4E78-8CC3-B7C4BEE77EED}" name="Dt da abertura" dataDxfId="250"/>
    <tableColumn id="29" xr3:uid="{481EF2BD-AB0C-4118-8EA7-0CC681E1DCA1}" name="Dt Prazo Retorno ao Campo" dataDxfId="249"/>
    <tableColumn id="30" xr3:uid="{BB92D7DF-0B31-433B-A5E9-8BDD86B3A8B6}" name="Dt de Retorno da analise" dataDxfId="248"/>
    <tableColumn id="31" xr3:uid="{31B628F0-2D71-49B9-8C04-72CF625DB655}" name="Dt da Reavaliação " dataDxfId="247"/>
    <tableColumn id="32" xr3:uid="{C7DDDA4A-E666-4193-8354-B0719A4A62E8}" name="Tipo SKU" dataDxfId="246"/>
    <tableColumn id="33" xr3:uid="{DB354905-FF5F-4917-89BF-BDA159AE370B}" name="Território" dataDxfId="245"/>
    <tableColumn id="34" xr3:uid="{880D1B5D-040E-4B56-9E18-46435CAE0D20}" name="3PL" dataDxfId="244">
      <calculatedColumnFormula>VLOOKUP(U4,Hierarquia!A:K,6,0)</calculatedColumnFormula>
    </tableColumn>
    <tableColumn id="35" xr3:uid="{33252154-77E6-4C85-ABF6-DBAA91DAE75B}" name="Data de pagamento" dataDxfId="243"/>
    <tableColumn id="36" xr3:uid="{06B2FD15-EDBB-4819-99C3-78CAB0DEAC02}" name="Sede" dataDxfId="242"/>
    <tableColumn id="1" xr3:uid="{00000000-0010-0000-0000-000001000000}" name="ID" dataDxfId="241"/>
    <tableColumn id="2" xr3:uid="{00000000-0010-0000-0000-000002000000}" name="Data de Abertura Chamado" dataDxfId="240"/>
    <tableColumn id="3" xr3:uid="{00000000-0010-0000-0000-000003000000}" name="Por qual deposito você é atendido." dataDxfId="239"/>
    <tableColumn id="21" xr3:uid="{00000000-0010-0000-0000-000015000000}" name="E-mail" dataDxfId="238"/>
    <tableColumn id="5" xr3:uid="{00000000-0010-0000-0000-000005000000}" name="Qual sua modalidade de Entrega" dataDxfId="237"/>
    <tableColumn id="4" xr3:uid="{00000000-0010-0000-0000-000004000000}" name="Qual seu Carro de Entrega" dataDxfId="236"/>
    <tableColumn id="6" xr3:uid="{00000000-0010-0000-0000-000006000000}" name="Qual data de Entrega ?" dataDxfId="235"/>
    <tableColumn id="7" xr3:uid="{00000000-0010-0000-0000-000007000000}" name="Qual a Numeração da Nota Fiscal com divergência ?" dataDxfId="234"/>
    <tableColumn id="8" xr3:uid="{00000000-0010-0000-0000-000008000000}" name="Qual a Remessa da Nota Fiscal com divergência ?" dataDxfId="233"/>
    <tableColumn id="9" xr3:uid="{00000000-0010-0000-0000-000009000000}" name="Qual o motivo da ocorrência ?" dataDxfId="232"/>
    <tableColumn id="10" xr3:uid="{00000000-0010-0000-0000-00000A000000}" name="Quais são os Produtos com Falta" dataDxfId="231"/>
    <tableColumn id="11" xr3:uid="{00000000-0010-0000-0000-00000B000000}" name="Quais são os Produtos com Sobra" dataDxfId="230"/>
    <tableColumn id="12" xr3:uid="{00000000-0010-0000-0000-00000C000000}" name="Quais são os Produtos com Avaria" dataDxfId="229"/>
    <tableColumn id="13" xr3:uid="{00000000-0010-0000-0000-00000D000000}" name="Quais são os Produtos com Sobra2" dataDxfId="228"/>
    <tableColumn id="14" xr3:uid="{00000000-0010-0000-0000-00000E000000}" name="Quais são os Produtos com Falta2" dataDxfId="227"/>
    <tableColumn id="22" xr3:uid="{00000000-0010-0000-0000-000016000000}" name="informação adcional " dataDxfId="226"/>
    <tableColumn id="19" xr3:uid="{00000000-0010-0000-0000-000013000000}" name="Número Etiqueta" dataDxfId="225"/>
    <tableColumn id="15" xr3:uid="{00000000-0010-0000-0000-00000F000000}" name="Qual ação foi tomada ?" dataDxfId="224"/>
    <tableColumn id="16" xr3:uid="{00000000-0010-0000-0000-000010000000}" name="Procedência 2" dataDxfId="223"/>
    <tableColumn id="17" xr3:uid="{00000000-0010-0000-0000-000011000000}" name="Motivo" dataDxfId="222"/>
    <tableColumn id="18" xr3:uid="{00000000-0010-0000-0000-000012000000}" name="Ação do Estoque" dataDxfId="221"/>
    <tableColumn id="20" xr3:uid="{00000000-0010-0000-0000-000014000000}" name="Incluir imagens " dataDxfId="220"/>
    <tableColumn id="23" xr3:uid="{00000000-0010-0000-0000-000017000000}" name="Obs" dataDxfId="219"/>
  </tableColumns>
  <tableStyleInfo name="TableStyleLight1" showFirstColumn="0" showLastColumn="0" showRowStripes="1" showColumnStripes="0"/>
</table>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D1FC386-212B-4250-A675-D1BC80F73DAA}">
  <we:reference id="6602af15-b52b-5a02-8a1d-faa7f3a1da28" version="11.2.200.1149" store="EXCatalog" storeType="EXCatalog"/>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3" Type="http://schemas.openxmlformats.org/officeDocument/2006/relationships/hyperlink" Target="mailto:Fernando.frank1@hotmail.com" TargetMode="External"/><Relationship Id="rId18" Type="http://schemas.openxmlformats.org/officeDocument/2006/relationships/hyperlink" Target="mailto:fabiopast.bat@gmail.com" TargetMode="External"/><Relationship Id="rId26" Type="http://schemas.openxmlformats.org/officeDocument/2006/relationships/hyperlink" Target="mailto:Dionewaleski22@gmail.com" TargetMode="External"/><Relationship Id="rId39" Type="http://schemas.openxmlformats.org/officeDocument/2006/relationships/table" Target="../tables/table1.xml"/><Relationship Id="rId21" Type="http://schemas.openxmlformats.org/officeDocument/2006/relationships/hyperlink" Target="mailto:francisco8511bat@gmail.com" TargetMode="External"/><Relationship Id="rId34" Type="http://schemas.openxmlformats.org/officeDocument/2006/relationships/hyperlink" Target="mailto:85111623@bat.com" TargetMode="External"/><Relationship Id="rId7" Type="http://schemas.openxmlformats.org/officeDocument/2006/relationships/hyperlink" Target="mailto:vilczak@hotmail.com" TargetMode="External"/><Relationship Id="rId2" Type="http://schemas.openxmlformats.org/officeDocument/2006/relationships/hyperlink" Target="mailto:francisco8511bat@gmail.com" TargetMode="External"/><Relationship Id="rId16" Type="http://schemas.openxmlformats.org/officeDocument/2006/relationships/hyperlink" Target="mailto:gi.omega@hotmail.com" TargetMode="External"/><Relationship Id="rId20" Type="http://schemas.openxmlformats.org/officeDocument/2006/relationships/hyperlink" Target="mailto:francisco8511bat@gmail.com" TargetMode="External"/><Relationship Id="rId29" Type="http://schemas.openxmlformats.org/officeDocument/2006/relationships/hyperlink" Target="mailto:Dionewaleski22@gmail.com" TargetMode="External"/><Relationship Id="rId41" Type="http://schemas.openxmlformats.org/officeDocument/2006/relationships/comments" Target="../comments1.xml"/><Relationship Id="rId1" Type="http://schemas.openxmlformats.org/officeDocument/2006/relationships/hyperlink" Target="mailto:vendedorsilvio@gmail.com" TargetMode="External"/><Relationship Id="rId6" Type="http://schemas.openxmlformats.org/officeDocument/2006/relationships/hyperlink" Target="mailto:Alessandropedroso21@gmail.com" TargetMode="External"/><Relationship Id="rId11" Type="http://schemas.openxmlformats.org/officeDocument/2006/relationships/hyperlink" Target="mailto:Valde.souzacruz@hotmail.com" TargetMode="External"/><Relationship Id="rId24" Type="http://schemas.openxmlformats.org/officeDocument/2006/relationships/hyperlink" Target="mailto:vendedorsilvio@gmail.com" TargetMode="External"/><Relationship Id="rId32" Type="http://schemas.openxmlformats.org/officeDocument/2006/relationships/hyperlink" Target="mailto:francisco8511bat@gmail.com" TargetMode="External"/><Relationship Id="rId37" Type="http://schemas.openxmlformats.org/officeDocument/2006/relationships/vmlDrawing" Target="../drawings/vmlDrawing1.vml"/><Relationship Id="rId40" Type="http://schemas.microsoft.com/office/2007/relationships/slicer" Target="../slicers/slicer2.xml"/><Relationship Id="rId5" Type="http://schemas.openxmlformats.org/officeDocument/2006/relationships/hyperlink" Target="mailto:nedson.reis@fadeltransportes.com.br" TargetMode="External"/><Relationship Id="rId15" Type="http://schemas.openxmlformats.org/officeDocument/2006/relationships/hyperlink" Target="mailto:may.mattoso@gmail.com" TargetMode="External"/><Relationship Id="rId23" Type="http://schemas.openxmlformats.org/officeDocument/2006/relationships/hyperlink" Target="mailto:fernando.frank1@hotmail.com" TargetMode="External"/><Relationship Id="rId28" Type="http://schemas.openxmlformats.org/officeDocument/2006/relationships/hyperlink" Target="mailto:Dionewaleski22@gmail.com" TargetMode="External"/><Relationship Id="rId36" Type="http://schemas.openxmlformats.org/officeDocument/2006/relationships/drawing" Target="../drawings/drawing3.xml"/><Relationship Id="rId10" Type="http://schemas.openxmlformats.org/officeDocument/2006/relationships/hyperlink" Target="mailto:reservatvlondrina@gmail.com" TargetMode="External"/><Relationship Id="rId19" Type="http://schemas.openxmlformats.org/officeDocument/2006/relationships/hyperlink" Target="mailto:francisco8511bat@gmail.com" TargetMode="External"/><Relationship Id="rId31" Type="http://schemas.openxmlformats.org/officeDocument/2006/relationships/hyperlink" Target="mailto:francisco8511bat@gmail.com" TargetMode="External"/><Relationship Id="rId4" Type="http://schemas.openxmlformats.org/officeDocument/2006/relationships/hyperlink" Target="mailto:nedson.reis@fadeltransportes.com.br" TargetMode="External"/><Relationship Id="rId9" Type="http://schemas.openxmlformats.org/officeDocument/2006/relationships/hyperlink" Target="mailto:Dionewaleski22@gmail.com" TargetMode="External"/><Relationship Id="rId14" Type="http://schemas.openxmlformats.org/officeDocument/2006/relationships/hyperlink" Target="mailto:Felype_r@live.com" TargetMode="External"/><Relationship Id="rId22" Type="http://schemas.openxmlformats.org/officeDocument/2006/relationships/hyperlink" Target="mailto:vendedorsilvio@gmail.com" TargetMode="External"/><Relationship Id="rId27" Type="http://schemas.openxmlformats.org/officeDocument/2006/relationships/hyperlink" Target="mailto:Dionewaleski22@gmail.com" TargetMode="External"/><Relationship Id="rId30" Type="http://schemas.openxmlformats.org/officeDocument/2006/relationships/hyperlink" Target="mailto:may.mattoso@gmail.com" TargetMode="External"/><Relationship Id="rId35" Type="http://schemas.openxmlformats.org/officeDocument/2006/relationships/printerSettings" Target="../printerSettings/printerSettings3.bin"/><Relationship Id="rId8" Type="http://schemas.openxmlformats.org/officeDocument/2006/relationships/hyperlink" Target="mailto:reservatvlondrina@gmail.com" TargetMode="External"/><Relationship Id="rId3" Type="http://schemas.openxmlformats.org/officeDocument/2006/relationships/hyperlink" Target="mailto:gi.omega@hotmail.com" TargetMode="External"/><Relationship Id="rId12" Type="http://schemas.openxmlformats.org/officeDocument/2006/relationships/hyperlink" Target="mailto:joigg2010@hotmail.com" TargetMode="External"/><Relationship Id="rId17" Type="http://schemas.openxmlformats.org/officeDocument/2006/relationships/hyperlink" Target="mailto:gi.omega@hotmail.com" TargetMode="External"/><Relationship Id="rId25" Type="http://schemas.openxmlformats.org/officeDocument/2006/relationships/hyperlink" Target="mailto:Julianosavagin@gmail.com" TargetMode="External"/><Relationship Id="rId33" Type="http://schemas.openxmlformats.org/officeDocument/2006/relationships/hyperlink" Target="mailto:85111623@bat.com" TargetMode="External"/><Relationship Id="rId38"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hyperlink" Target="mailto:EstoqueCDCuritiba@bat.onmicrosoft.com;" TargetMode="External"/><Relationship Id="rId1" Type="http://schemas.openxmlformats.org/officeDocument/2006/relationships/hyperlink" Target="mailto:EstoqueCDCuritiba@bat.onmicrosof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6">
    <tabColor rgb="FFC00000"/>
  </sheetPr>
  <dimension ref="A1:AF73"/>
  <sheetViews>
    <sheetView showRowColHeaders="0" topLeftCell="A10" zoomScaleNormal="100" zoomScaleSheetLayoutView="90" workbookViewId="0">
      <selection activeCell="B4" sqref="B4:AE67"/>
    </sheetView>
  </sheetViews>
  <sheetFormatPr defaultColWidth="0" defaultRowHeight="15" zeroHeight="1" x14ac:dyDescent="0.25"/>
  <cols>
    <col min="1" max="1" width="1.140625" style="28" customWidth="1"/>
    <col min="2" max="3" width="5.5703125" style="28" customWidth="1"/>
    <col min="4" max="4" width="7.140625" style="28" customWidth="1"/>
    <col min="5" max="5" width="8.42578125" style="30" customWidth="1"/>
    <col min="6" max="6" width="15.85546875" style="28" customWidth="1"/>
    <col min="7" max="7" width="1.140625" style="28" customWidth="1"/>
    <col min="8" max="8" width="0.85546875" style="28" customWidth="1"/>
    <col min="9" max="9" width="1.140625" style="28" customWidth="1"/>
    <col min="10" max="10" width="9.28515625" style="28" customWidth="1"/>
    <col min="11" max="11" width="1.140625" style="28" customWidth="1"/>
    <col min="12" max="12" width="15.140625" style="28" customWidth="1"/>
    <col min="13" max="13" width="9.140625" style="28" customWidth="1"/>
    <col min="14" max="14" width="5.140625" style="28" customWidth="1"/>
    <col min="15" max="15" width="2" style="28" customWidth="1"/>
    <col min="16" max="16" width="10.7109375" style="28" customWidth="1"/>
    <col min="17" max="17" width="1.140625" style="28" customWidth="1"/>
    <col min="18" max="18" width="4.7109375" style="28" customWidth="1"/>
    <col min="19" max="19" width="1.140625" style="28" customWidth="1"/>
    <col min="20" max="20" width="11.7109375" style="28" customWidth="1"/>
    <col min="21" max="21" width="1.42578125" style="28" customWidth="1"/>
    <col min="22" max="22" width="1.140625" style="28" customWidth="1"/>
    <col min="23" max="23" width="6.42578125" style="28" customWidth="1"/>
    <col min="24" max="24" width="1.140625" style="28" customWidth="1"/>
    <col min="25" max="25" width="9.140625" style="28" customWidth="1"/>
    <col min="26" max="26" width="5" style="28" customWidth="1"/>
    <col min="27" max="27" width="7.5703125" style="28" customWidth="1"/>
    <col min="28" max="28" width="22.42578125" style="28" customWidth="1"/>
    <col min="29" max="29" width="2.28515625" style="28" customWidth="1"/>
    <col min="30" max="30" width="0.85546875" style="28" customWidth="1"/>
    <col min="31" max="31" width="1.140625" style="28" customWidth="1"/>
    <col min="32" max="32" width="0" style="29" hidden="1" customWidth="1"/>
    <col min="33" max="16384" width="1.7109375" style="29" hidden="1"/>
  </cols>
  <sheetData>
    <row r="1" spans="1:31" ht="27.95" customHeight="1" x14ac:dyDescent="0.25">
      <c r="E1" s="28"/>
    </row>
    <row r="2" spans="1:31" s="32" customFormat="1" ht="61.5" customHeight="1" x14ac:dyDescent="0.25">
      <c r="A2" s="28"/>
      <c r="B2" s="28"/>
      <c r="C2" s="28"/>
      <c r="D2" s="28"/>
      <c r="E2" s="30"/>
      <c r="F2" s="28"/>
      <c r="G2" s="28"/>
      <c r="H2" s="28"/>
      <c r="I2" s="28"/>
      <c r="J2" s="28"/>
      <c r="K2" s="28"/>
      <c r="L2" s="28"/>
      <c r="M2" s="28"/>
      <c r="N2" s="28"/>
      <c r="O2" s="28"/>
      <c r="P2" s="28"/>
      <c r="Q2" s="28"/>
      <c r="R2" s="31"/>
      <c r="S2" s="31"/>
      <c r="T2" s="31"/>
      <c r="U2" s="31"/>
      <c r="V2" s="31"/>
      <c r="W2" s="31"/>
      <c r="X2" s="28"/>
      <c r="Y2" s="28"/>
      <c r="Z2" s="28"/>
      <c r="AA2" s="28"/>
      <c r="AB2" s="28"/>
      <c r="AC2" s="28"/>
      <c r="AD2" s="28"/>
      <c r="AE2" s="28"/>
    </row>
    <row r="3" spans="1:31" s="32" customFormat="1" ht="9.75" customHeight="1" x14ac:dyDescent="0.25">
      <c r="A3" s="28"/>
      <c r="B3" s="31"/>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28"/>
      <c r="AE3" s="28"/>
    </row>
    <row r="4" spans="1:31" s="32" customFormat="1" ht="30.75" customHeight="1" x14ac:dyDescent="0.25">
      <c r="A4" s="28"/>
      <c r="B4" s="125" t="s">
        <v>0</v>
      </c>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33"/>
      <c r="AE4" s="28"/>
    </row>
    <row r="5" spans="1:31" s="32" customFormat="1" ht="15" customHeight="1" x14ac:dyDescent="0.25">
      <c r="A5" s="28"/>
      <c r="B5" s="34"/>
      <c r="C5" s="34"/>
      <c r="D5" s="34"/>
      <c r="E5" s="34"/>
      <c r="F5" s="35"/>
      <c r="G5" s="34"/>
      <c r="H5" s="34"/>
      <c r="I5" s="34"/>
      <c r="J5" s="36">
        <f ca="1">NOW()</f>
        <v>46234.565302777781</v>
      </c>
      <c r="K5" s="132">
        <f ca="1">J5</f>
        <v>46234.565302777781</v>
      </c>
      <c r="L5" s="132"/>
      <c r="M5" s="132"/>
      <c r="N5" s="132"/>
      <c r="O5" s="132"/>
      <c r="P5" s="132"/>
      <c r="Q5" s="132"/>
      <c r="R5" s="132"/>
      <c r="S5" s="132"/>
      <c r="T5" s="132"/>
      <c r="U5" s="132"/>
      <c r="V5" s="132"/>
      <c r="W5" s="132"/>
      <c r="X5" s="34"/>
      <c r="Y5" s="34"/>
      <c r="Z5" s="34"/>
      <c r="AA5" s="34"/>
      <c r="AB5" s="34"/>
      <c r="AC5" s="34"/>
      <c r="AD5" s="28"/>
      <c r="AE5" s="28"/>
    </row>
    <row r="6" spans="1:31" s="32" customFormat="1" ht="15" customHeight="1" thickBot="1" x14ac:dyDescent="0.75">
      <c r="A6" s="28"/>
      <c r="B6" s="28"/>
      <c r="C6" s="37"/>
      <c r="D6" s="28"/>
      <c r="E6" s="30"/>
      <c r="F6" s="28"/>
      <c r="G6" s="28"/>
      <c r="H6" s="28"/>
      <c r="I6" s="28"/>
      <c r="J6" s="28"/>
      <c r="K6" s="124">
        <f ca="1">J5</f>
        <v>46234.565302777781</v>
      </c>
      <c r="L6" s="124"/>
      <c r="M6" s="124"/>
      <c r="N6" s="124"/>
      <c r="O6" s="124"/>
      <c r="P6" s="124"/>
      <c r="Q6" s="124"/>
      <c r="R6" s="124"/>
      <c r="S6" s="124"/>
      <c r="T6" s="124"/>
      <c r="U6" s="124"/>
      <c r="V6" s="124"/>
      <c r="W6" s="124"/>
      <c r="X6" s="28"/>
      <c r="Y6" s="28"/>
      <c r="Z6" s="28"/>
      <c r="AA6" s="28"/>
      <c r="AB6" s="28"/>
      <c r="AC6" s="28"/>
      <c r="AD6" s="28"/>
      <c r="AE6" s="28"/>
    </row>
    <row r="7" spans="1:31" s="32" customFormat="1" ht="20.25" customHeight="1" x14ac:dyDescent="0.25">
      <c r="A7" s="28"/>
      <c r="B7" s="38"/>
      <c r="C7" s="126"/>
      <c r="D7" s="126"/>
      <c r="E7" s="39">
        <f>IFERROR(VLOOKUP(F7,Tabela_Dinâmica!$A$4:$B$9,2,0),"-")</f>
        <v>3</v>
      </c>
      <c r="F7" s="40" t="s">
        <v>1</v>
      </c>
      <c r="G7" s="28"/>
      <c r="H7" s="38"/>
      <c r="I7" s="41"/>
      <c r="J7" s="41"/>
      <c r="K7" s="41"/>
      <c r="L7" s="41"/>
      <c r="M7" s="41"/>
      <c r="N7" s="41"/>
      <c r="O7" s="41"/>
      <c r="P7" s="41"/>
      <c r="Q7" s="41"/>
      <c r="R7" s="41"/>
      <c r="S7" s="41"/>
      <c r="T7" s="41"/>
      <c r="U7" s="41"/>
      <c r="V7" s="41"/>
      <c r="W7" s="42"/>
      <c r="X7" s="28"/>
      <c r="Y7" s="38"/>
      <c r="Z7" s="41"/>
      <c r="AA7" s="41"/>
      <c r="AB7" s="41"/>
      <c r="AC7" s="41"/>
      <c r="AD7" s="42"/>
      <c r="AE7" s="28"/>
    </row>
    <row r="8" spans="1:31" s="32" customFormat="1" ht="20.25" customHeight="1" x14ac:dyDescent="0.25">
      <c r="A8" s="28"/>
      <c r="B8" s="43"/>
      <c r="C8" s="127">
        <f>IFERROR(VLOOKUP("Total Geral",Tabela_Dinâmica!A4:B9,2,0),GETPIVOTDATA("ID",Tabela_Dinâmica!$A$3))</f>
        <v>62</v>
      </c>
      <c r="D8" s="127"/>
      <c r="E8" s="44">
        <f>IFERROR(VLOOKUP(F8,Tabela_Dinâmica!$A$4:$B$9,2,0),"-")</f>
        <v>32</v>
      </c>
      <c r="F8" s="45" t="s">
        <v>2</v>
      </c>
      <c r="G8" s="28"/>
      <c r="H8" s="46"/>
      <c r="I8" s="47"/>
      <c r="J8" s="47"/>
      <c r="K8" s="47"/>
      <c r="L8" s="47"/>
      <c r="M8" s="47"/>
      <c r="N8" s="47"/>
      <c r="O8" s="47"/>
      <c r="P8" s="47"/>
      <c r="Q8" s="47"/>
      <c r="R8" s="47"/>
      <c r="S8" s="47"/>
      <c r="T8" s="47"/>
      <c r="U8" s="47"/>
      <c r="V8" s="47"/>
      <c r="W8" s="48"/>
      <c r="X8" s="28"/>
      <c r="Y8" s="46"/>
      <c r="Z8" s="47"/>
      <c r="AA8" s="47"/>
      <c r="AB8" s="47"/>
      <c r="AC8" s="49"/>
      <c r="AD8" s="50"/>
      <c r="AE8" s="28"/>
    </row>
    <row r="9" spans="1:31" s="32" customFormat="1" ht="20.25" customHeight="1" x14ac:dyDescent="0.25">
      <c r="A9" s="28"/>
      <c r="B9" s="43"/>
      <c r="C9" s="127"/>
      <c r="D9" s="127"/>
      <c r="E9" s="44">
        <f>IFERROR(VLOOKUP(F9,Tabela_Dinâmica!$A$4:$B$9,2,0),"-")</f>
        <v>21</v>
      </c>
      <c r="F9" s="45" t="s">
        <v>3</v>
      </c>
      <c r="G9" s="28"/>
      <c r="H9" s="46"/>
      <c r="I9" s="47"/>
      <c r="J9" s="47"/>
      <c r="K9" s="47"/>
      <c r="L9" s="47"/>
      <c r="M9" s="47"/>
      <c r="N9" s="47"/>
      <c r="O9" s="47"/>
      <c r="P9" s="47"/>
      <c r="Q9" s="47"/>
      <c r="R9" s="47"/>
      <c r="S9" s="47"/>
      <c r="T9" s="47"/>
      <c r="U9" s="47"/>
      <c r="V9" s="47"/>
      <c r="W9" s="48"/>
      <c r="X9" s="28"/>
      <c r="Y9" s="46"/>
      <c r="Z9" s="47"/>
      <c r="AA9" s="47"/>
      <c r="AB9" s="47"/>
      <c r="AC9" s="49"/>
      <c r="AD9" s="50"/>
      <c r="AE9" s="28"/>
    </row>
    <row r="10" spans="1:31" s="32" customFormat="1" ht="20.25" customHeight="1" x14ac:dyDescent="0.25">
      <c r="A10" s="28"/>
      <c r="B10" s="43"/>
      <c r="C10" s="154" t="s">
        <v>4</v>
      </c>
      <c r="D10" s="154"/>
      <c r="E10" s="44" t="str">
        <f>IFERROR(VLOOKUP(F10,Tabela_Dinâmica!$A$4:$B$9,2,0),"-")</f>
        <v>-</v>
      </c>
      <c r="F10" s="45" t="s">
        <v>5</v>
      </c>
      <c r="G10" s="28"/>
      <c r="H10" s="46"/>
      <c r="I10" s="47"/>
      <c r="J10" s="47"/>
      <c r="K10" s="47"/>
      <c r="L10" s="47"/>
      <c r="M10" s="47"/>
      <c r="N10" s="47"/>
      <c r="O10" s="47"/>
      <c r="P10" s="47"/>
      <c r="Q10" s="47"/>
      <c r="R10" s="47"/>
      <c r="S10" s="47"/>
      <c r="T10" s="47"/>
      <c r="U10" s="47"/>
      <c r="V10" s="47"/>
      <c r="W10" s="48"/>
      <c r="X10" s="28"/>
      <c r="Y10" s="46"/>
      <c r="Z10" s="47"/>
      <c r="AA10" s="47"/>
      <c r="AB10" s="47"/>
      <c r="AC10" s="49"/>
      <c r="AD10" s="50"/>
      <c r="AE10" s="28"/>
    </row>
    <row r="11" spans="1:31" s="32" customFormat="1" ht="20.25" customHeight="1" x14ac:dyDescent="0.25">
      <c r="A11" s="28"/>
      <c r="B11" s="43"/>
      <c r="C11" s="154"/>
      <c r="D11" s="154"/>
      <c r="E11" s="44" t="str">
        <f>IFERROR(VLOOKUP(F11,Tabela_Dinâmica!$A$4:$B$9,2,0),"-")</f>
        <v>-</v>
      </c>
      <c r="F11" s="45" t="s">
        <v>6</v>
      </c>
      <c r="G11" s="28"/>
      <c r="H11" s="46"/>
      <c r="I11" s="47"/>
      <c r="J11" s="47"/>
      <c r="K11" s="47"/>
      <c r="L11" s="47"/>
      <c r="M11" s="47"/>
      <c r="N11" s="47"/>
      <c r="O11" s="47"/>
      <c r="P11" s="47"/>
      <c r="Q11" s="47"/>
      <c r="R11" s="47"/>
      <c r="S11" s="47"/>
      <c r="T11" s="47"/>
      <c r="U11" s="47"/>
      <c r="V11" s="47"/>
      <c r="W11" s="48"/>
      <c r="X11" s="28"/>
      <c r="Y11" s="46"/>
      <c r="Z11" s="47"/>
      <c r="AA11" s="47"/>
      <c r="AB11" s="47"/>
      <c r="AC11" s="49"/>
      <c r="AD11" s="50"/>
      <c r="AE11" s="28"/>
    </row>
    <row r="12" spans="1:31" s="32" customFormat="1" ht="20.25" customHeight="1" x14ac:dyDescent="0.25">
      <c r="A12" s="28"/>
      <c r="B12" s="43"/>
      <c r="C12" s="128"/>
      <c r="D12" s="128"/>
      <c r="E12" s="44">
        <f>IFERROR(VLOOKUP(F12,Tabela_Dinâmica!$A$4:$B$9,2,0),"-")</f>
        <v>6</v>
      </c>
      <c r="F12" s="45" t="s">
        <v>7</v>
      </c>
      <c r="G12" s="28"/>
      <c r="H12" s="46"/>
      <c r="I12" s="47"/>
      <c r="J12" s="47"/>
      <c r="K12" s="47"/>
      <c r="L12" s="47"/>
      <c r="M12" s="47"/>
      <c r="N12" s="47"/>
      <c r="O12" s="47"/>
      <c r="P12" s="47"/>
      <c r="Q12" s="47"/>
      <c r="R12" s="47"/>
      <c r="S12" s="47"/>
      <c r="T12" s="47"/>
      <c r="U12" s="47"/>
      <c r="V12" s="47"/>
      <c r="W12" s="48"/>
      <c r="X12" s="28"/>
      <c r="Y12" s="46"/>
      <c r="Z12" s="47"/>
      <c r="AA12" s="47"/>
      <c r="AB12" s="47"/>
      <c r="AC12" s="49"/>
      <c r="AD12" s="50"/>
      <c r="AE12" s="28"/>
    </row>
    <row r="13" spans="1:31" s="32" customFormat="1" ht="20.25" customHeight="1" thickBot="1" x14ac:dyDescent="0.3">
      <c r="A13" s="28"/>
      <c r="B13" s="51"/>
      <c r="C13" s="129"/>
      <c r="D13" s="129"/>
      <c r="E13" s="52" t="str">
        <f>IFERROR(VLOOKUP(F13,Tabela_Dinâmica!$A$4:$B$9,2,0),"-")</f>
        <v>-</v>
      </c>
      <c r="F13" s="53" t="s">
        <v>8</v>
      </c>
      <c r="G13" s="28"/>
      <c r="H13" s="54"/>
      <c r="I13" s="55"/>
      <c r="J13" s="55"/>
      <c r="K13" s="55"/>
      <c r="L13" s="55"/>
      <c r="M13" s="55"/>
      <c r="N13" s="55"/>
      <c r="O13" s="55"/>
      <c r="P13" s="55"/>
      <c r="Q13" s="55"/>
      <c r="R13" s="55"/>
      <c r="S13" s="55"/>
      <c r="T13" s="55"/>
      <c r="U13" s="55"/>
      <c r="V13" s="55"/>
      <c r="W13" s="56"/>
      <c r="X13" s="28"/>
      <c r="Y13" s="54"/>
      <c r="Z13" s="55"/>
      <c r="AA13" s="55"/>
      <c r="AB13" s="55"/>
      <c r="AC13" s="55"/>
      <c r="AD13" s="56"/>
      <c r="AE13" s="28"/>
    </row>
    <row r="14" spans="1:31" s="32" customFormat="1" ht="8.25" customHeight="1" thickBot="1" x14ac:dyDescent="0.75">
      <c r="A14" s="28"/>
      <c r="B14" s="28"/>
      <c r="C14" s="37"/>
      <c r="D14" s="28"/>
      <c r="E14" s="30"/>
      <c r="F14" s="28"/>
      <c r="G14" s="28"/>
      <c r="H14" s="28"/>
      <c r="I14" s="28"/>
      <c r="J14" s="28"/>
      <c r="K14" s="28"/>
      <c r="L14" s="28"/>
      <c r="M14" s="28"/>
      <c r="N14" s="28"/>
      <c r="O14" s="28"/>
      <c r="P14" s="28"/>
      <c r="Q14" s="28"/>
      <c r="R14" s="28"/>
      <c r="S14" s="28"/>
      <c r="T14" s="28"/>
      <c r="U14" s="28"/>
      <c r="V14" s="28"/>
      <c r="W14" s="28"/>
      <c r="X14" s="28"/>
      <c r="Y14" s="28"/>
      <c r="Z14" s="28"/>
      <c r="AA14" s="28"/>
      <c r="AB14" s="28"/>
      <c r="AC14" s="28"/>
      <c r="AD14" s="28"/>
      <c r="AE14" s="57"/>
    </row>
    <row r="15" spans="1:31" s="32" customFormat="1" ht="36.6" customHeight="1" x14ac:dyDescent="0.25">
      <c r="A15" s="28"/>
      <c r="B15" s="38"/>
      <c r="C15" s="41"/>
      <c r="D15" s="41"/>
      <c r="E15" s="41"/>
      <c r="F15" s="41"/>
      <c r="G15" s="41"/>
      <c r="H15" s="41"/>
      <c r="I15" s="41"/>
      <c r="J15" s="41"/>
      <c r="K15" s="41"/>
      <c r="L15" s="41"/>
      <c r="M15" s="41"/>
      <c r="N15" s="41"/>
      <c r="O15" s="41"/>
      <c r="P15" s="41"/>
      <c r="Q15" s="41"/>
      <c r="R15" s="41"/>
      <c r="S15" s="41"/>
      <c r="T15" s="41"/>
      <c r="U15" s="41"/>
      <c r="V15" s="41"/>
      <c r="W15" s="41"/>
      <c r="X15" s="41"/>
      <c r="Y15" s="41"/>
      <c r="Z15" s="41"/>
      <c r="AA15" s="41"/>
      <c r="AB15" s="41"/>
      <c r="AC15" s="41"/>
      <c r="AD15" s="42"/>
      <c r="AE15" s="28"/>
    </row>
    <row r="16" spans="1:31" s="32" customFormat="1" ht="36.6" customHeight="1" x14ac:dyDescent="0.25">
      <c r="A16" s="28"/>
      <c r="B16" s="46"/>
      <c r="C16" s="47"/>
      <c r="D16" s="47"/>
      <c r="E16" s="47"/>
      <c r="F16" s="47"/>
      <c r="G16" s="47"/>
      <c r="H16" s="47"/>
      <c r="I16" s="47"/>
      <c r="J16" s="47"/>
      <c r="K16" s="47"/>
      <c r="L16" s="47"/>
      <c r="M16" s="47"/>
      <c r="N16" s="47"/>
      <c r="O16" s="47"/>
      <c r="P16" s="47"/>
      <c r="Q16" s="47"/>
      <c r="R16" s="47"/>
      <c r="S16" s="47"/>
      <c r="T16" s="47"/>
      <c r="U16" s="47"/>
      <c r="V16" s="47"/>
      <c r="W16" s="47"/>
      <c r="X16" s="47"/>
      <c r="Y16" s="47"/>
      <c r="Z16" s="47"/>
      <c r="AA16" s="47"/>
      <c r="AB16" s="47"/>
      <c r="AC16" s="49"/>
      <c r="AD16" s="50"/>
      <c r="AE16" s="28"/>
    </row>
    <row r="17" spans="1:31" s="32" customFormat="1" ht="15.75" customHeight="1" x14ac:dyDescent="0.25">
      <c r="A17" s="28"/>
      <c r="B17" s="58"/>
      <c r="C17" s="59"/>
      <c r="D17" s="60"/>
      <c r="E17" s="60"/>
      <c r="F17" s="47"/>
      <c r="G17" s="47"/>
      <c r="H17" s="47"/>
      <c r="I17" s="47"/>
      <c r="J17" s="47"/>
      <c r="K17" s="47"/>
      <c r="L17" s="47"/>
      <c r="M17" s="47"/>
      <c r="N17" s="47"/>
      <c r="O17" s="47"/>
      <c r="P17" s="47"/>
      <c r="Q17" s="47"/>
      <c r="R17" s="47"/>
      <c r="S17" s="47"/>
      <c r="T17" s="47"/>
      <c r="U17" s="47"/>
      <c r="V17" s="47"/>
      <c r="W17" s="47"/>
      <c r="X17" s="47"/>
      <c r="Y17" s="47"/>
      <c r="Z17" s="47"/>
      <c r="AA17" s="47"/>
      <c r="AB17" s="47"/>
      <c r="AC17" s="49"/>
      <c r="AD17" s="50"/>
      <c r="AE17" s="28"/>
    </row>
    <row r="18" spans="1:31" s="32" customFormat="1" ht="15.75" customHeight="1" x14ac:dyDescent="0.25">
      <c r="A18" s="28"/>
      <c r="B18" s="58"/>
      <c r="C18" s="59"/>
      <c r="D18" s="60"/>
      <c r="E18" s="60"/>
      <c r="F18" s="47"/>
      <c r="G18" s="47"/>
      <c r="H18" s="47"/>
      <c r="I18" s="47"/>
      <c r="J18" s="47"/>
      <c r="K18" s="47"/>
      <c r="L18" s="47"/>
      <c r="M18" s="47"/>
      <c r="N18" s="47"/>
      <c r="O18" s="47"/>
      <c r="P18" s="47"/>
      <c r="Q18" s="47"/>
      <c r="R18" s="47"/>
      <c r="S18" s="47"/>
      <c r="T18" s="47"/>
      <c r="U18" s="47"/>
      <c r="V18" s="47"/>
      <c r="W18" s="47"/>
      <c r="X18" s="47"/>
      <c r="Y18" s="47"/>
      <c r="Z18" s="47"/>
      <c r="AA18" s="47"/>
      <c r="AB18" s="47"/>
      <c r="AC18" s="49"/>
      <c r="AD18" s="50"/>
      <c r="AE18" s="28"/>
    </row>
    <row r="19" spans="1:31" s="32" customFormat="1" ht="26.45" customHeight="1" x14ac:dyDescent="0.25">
      <c r="A19" s="28"/>
      <c r="B19" s="58"/>
      <c r="C19" s="59"/>
      <c r="D19" s="60"/>
      <c r="E19" s="60"/>
      <c r="F19" s="47"/>
      <c r="G19" s="47"/>
      <c r="H19" s="47"/>
      <c r="I19" s="47"/>
      <c r="J19" s="47"/>
      <c r="K19" s="47"/>
      <c r="L19" s="47"/>
      <c r="M19" s="47"/>
      <c r="N19" s="47"/>
      <c r="O19" s="47"/>
      <c r="P19" s="47"/>
      <c r="Q19" s="47"/>
      <c r="R19" s="47"/>
      <c r="S19" s="47"/>
      <c r="T19" s="47"/>
      <c r="U19" s="47"/>
      <c r="V19" s="47"/>
      <c r="W19" s="47"/>
      <c r="X19" s="47"/>
      <c r="Y19" s="47"/>
      <c r="Z19" s="47"/>
      <c r="AA19" s="47"/>
      <c r="AB19" s="47"/>
      <c r="AC19" s="49"/>
      <c r="AD19" s="50"/>
      <c r="AE19" s="28"/>
    </row>
    <row r="20" spans="1:31" s="32" customFormat="1" ht="26.45" customHeight="1" thickBot="1" x14ac:dyDescent="0.3">
      <c r="A20" s="28"/>
      <c r="B20" s="54"/>
      <c r="C20" s="55"/>
      <c r="D20" s="55"/>
      <c r="E20" s="55"/>
      <c r="F20" s="55"/>
      <c r="G20" s="55"/>
      <c r="H20" s="55"/>
      <c r="I20" s="55"/>
      <c r="J20" s="55"/>
      <c r="K20" s="55"/>
      <c r="L20" s="55"/>
      <c r="M20" s="55"/>
      <c r="N20" s="55"/>
      <c r="O20" s="55"/>
      <c r="P20" s="55"/>
      <c r="Q20" s="55"/>
      <c r="R20" s="55"/>
      <c r="S20" s="55"/>
      <c r="T20" s="55"/>
      <c r="U20" s="55"/>
      <c r="V20" s="55"/>
      <c r="W20" s="55"/>
      <c r="X20" s="55"/>
      <c r="Y20" s="55"/>
      <c r="Z20" s="55"/>
      <c r="AA20" s="55"/>
      <c r="AB20" s="55"/>
      <c r="AC20" s="55"/>
      <c r="AD20" s="56"/>
      <c r="AE20" s="28"/>
    </row>
    <row r="21" spans="1:31" s="28" customFormat="1" ht="8.25" customHeight="1" thickBot="1" x14ac:dyDescent="0.3">
      <c r="E21" s="30"/>
    </row>
    <row r="22" spans="1:31" s="32" customFormat="1" ht="29.1" customHeight="1" x14ac:dyDescent="0.25">
      <c r="A22" s="28"/>
      <c r="B22" s="61"/>
      <c r="C22" s="62"/>
      <c r="D22" s="62"/>
      <c r="E22" s="63"/>
      <c r="F22" s="62"/>
      <c r="G22" s="62"/>
      <c r="H22" s="62"/>
      <c r="I22" s="62"/>
      <c r="J22" s="62"/>
      <c r="K22" s="62"/>
      <c r="L22" s="62"/>
      <c r="M22" s="62"/>
      <c r="N22" s="62"/>
      <c r="O22" s="62"/>
      <c r="P22" s="62"/>
      <c r="Q22" s="62"/>
      <c r="R22" s="62"/>
      <c r="S22" s="62"/>
      <c r="T22" s="62"/>
      <c r="U22" s="62"/>
      <c r="V22" s="62"/>
      <c r="W22" s="62"/>
      <c r="X22" s="62"/>
      <c r="Y22" s="64"/>
      <c r="Z22" s="65"/>
      <c r="AA22" s="65"/>
      <c r="AB22" s="65"/>
      <c r="AC22" s="65"/>
      <c r="AD22" s="66"/>
      <c r="AE22" s="28"/>
    </row>
    <row r="23" spans="1:31" s="32" customFormat="1" ht="29.1" customHeight="1" x14ac:dyDescent="0.25">
      <c r="A23" s="28"/>
      <c r="B23" s="67"/>
      <c r="C23" s="68"/>
      <c r="D23" s="68"/>
      <c r="E23" s="69"/>
      <c r="F23" s="68"/>
      <c r="G23" s="68"/>
      <c r="H23" s="68"/>
      <c r="I23" s="68"/>
      <c r="J23" s="68"/>
      <c r="K23" s="68"/>
      <c r="L23" s="68"/>
      <c r="M23" s="68"/>
      <c r="N23" s="68"/>
      <c r="O23" s="68"/>
      <c r="P23" s="68"/>
      <c r="Q23" s="68"/>
      <c r="R23" s="68"/>
      <c r="S23" s="68"/>
      <c r="T23" s="68"/>
      <c r="U23" s="68"/>
      <c r="V23" s="68"/>
      <c r="W23" s="68"/>
      <c r="X23" s="68"/>
      <c r="Y23" s="70"/>
      <c r="Z23" s="71"/>
      <c r="AA23" s="71"/>
      <c r="AB23" s="71"/>
      <c r="AC23" s="71"/>
      <c r="AD23" s="72"/>
      <c r="AE23" s="28"/>
    </row>
    <row r="24" spans="1:31" s="32" customFormat="1" ht="29.1" customHeight="1" x14ac:dyDescent="0.25">
      <c r="A24" s="28"/>
      <c r="B24" s="67"/>
      <c r="C24" s="68"/>
      <c r="D24" s="68"/>
      <c r="E24" s="69"/>
      <c r="F24" s="68"/>
      <c r="G24" s="68"/>
      <c r="H24" s="68"/>
      <c r="I24" s="68"/>
      <c r="J24" s="68"/>
      <c r="K24" s="68"/>
      <c r="L24" s="68"/>
      <c r="M24" s="68"/>
      <c r="N24" s="68"/>
      <c r="O24" s="68"/>
      <c r="P24" s="68"/>
      <c r="Q24" s="68"/>
      <c r="R24" s="68"/>
      <c r="S24" s="68"/>
      <c r="T24" s="68"/>
      <c r="U24" s="68"/>
      <c r="V24" s="68"/>
      <c r="W24" s="68"/>
      <c r="X24" s="68"/>
      <c r="Y24" s="70"/>
      <c r="Z24" s="71"/>
      <c r="AA24" s="71"/>
      <c r="AB24" s="71"/>
      <c r="AC24" s="71"/>
      <c r="AD24" s="72"/>
      <c r="AE24" s="28"/>
    </row>
    <row r="25" spans="1:31" s="32" customFormat="1" ht="29.1" customHeight="1" x14ac:dyDescent="0.25">
      <c r="A25" s="28"/>
      <c r="B25" s="67"/>
      <c r="C25" s="68"/>
      <c r="D25" s="68"/>
      <c r="E25" s="69"/>
      <c r="F25" s="68"/>
      <c r="G25" s="68"/>
      <c r="H25" s="68"/>
      <c r="I25" s="68"/>
      <c r="J25" s="68"/>
      <c r="K25" s="68"/>
      <c r="L25" s="68"/>
      <c r="M25" s="68"/>
      <c r="N25" s="68"/>
      <c r="O25" s="68"/>
      <c r="P25" s="68"/>
      <c r="Q25" s="68"/>
      <c r="R25" s="68"/>
      <c r="S25" s="68"/>
      <c r="T25" s="68"/>
      <c r="U25" s="68"/>
      <c r="V25" s="68"/>
      <c r="W25" s="68"/>
      <c r="X25" s="68"/>
      <c r="Y25" s="70"/>
      <c r="Z25" s="71"/>
      <c r="AA25" s="71"/>
      <c r="AB25" s="71"/>
      <c r="AC25" s="71"/>
      <c r="AD25" s="72"/>
      <c r="AE25" s="28"/>
    </row>
    <row r="26" spans="1:31" s="32" customFormat="1" ht="29.1" customHeight="1" thickBot="1" x14ac:dyDescent="0.3">
      <c r="A26" s="28"/>
      <c r="B26" s="73"/>
      <c r="C26" s="74"/>
      <c r="D26" s="74"/>
      <c r="E26" s="75"/>
      <c r="F26" s="74"/>
      <c r="G26" s="74"/>
      <c r="H26" s="74"/>
      <c r="I26" s="74"/>
      <c r="J26" s="74"/>
      <c r="K26" s="74"/>
      <c r="L26" s="74"/>
      <c r="M26" s="74"/>
      <c r="N26" s="74"/>
      <c r="O26" s="74"/>
      <c r="P26" s="74"/>
      <c r="Q26" s="74"/>
      <c r="R26" s="74"/>
      <c r="S26" s="74"/>
      <c r="T26" s="74"/>
      <c r="U26" s="74"/>
      <c r="V26" s="74"/>
      <c r="W26" s="74"/>
      <c r="X26" s="74"/>
      <c r="Y26" s="76"/>
      <c r="Z26" s="77"/>
      <c r="AA26" s="77"/>
      <c r="AB26" s="77"/>
      <c r="AC26" s="77"/>
      <c r="AD26" s="78"/>
      <c r="AE26" s="28"/>
    </row>
    <row r="27" spans="1:31" s="28" customFormat="1" ht="8.25" customHeight="1" thickBot="1" x14ac:dyDescent="0.3">
      <c r="E27" s="30"/>
    </row>
    <row r="28" spans="1:31" s="32" customFormat="1" x14ac:dyDescent="0.25">
      <c r="A28" s="28"/>
      <c r="B28" s="79"/>
      <c r="C28" s="80"/>
      <c r="D28" s="80"/>
      <c r="E28" s="81"/>
      <c r="F28" s="80"/>
      <c r="G28" s="80"/>
      <c r="H28" s="80"/>
      <c r="I28" s="80"/>
      <c r="J28" s="80"/>
      <c r="K28" s="80"/>
      <c r="L28" s="80"/>
      <c r="M28" s="80"/>
      <c r="N28" s="80"/>
      <c r="O28" s="80"/>
      <c r="P28" s="82"/>
      <c r="Q28" s="28"/>
      <c r="R28" s="83"/>
      <c r="S28" s="84"/>
      <c r="T28" s="85"/>
      <c r="U28" s="85"/>
      <c r="V28" s="80"/>
      <c r="W28" s="80"/>
      <c r="X28" s="80"/>
      <c r="Y28" s="80"/>
      <c r="Z28" s="80"/>
      <c r="AA28" s="80"/>
      <c r="AB28" s="80"/>
      <c r="AC28" s="80"/>
      <c r="AD28" s="82"/>
      <c r="AE28" s="28"/>
    </row>
    <row r="29" spans="1:31" s="32" customFormat="1" ht="15" customHeight="1" x14ac:dyDescent="0.25">
      <c r="A29" s="28"/>
      <c r="B29" s="86" t="str">
        <f>IFERROR(VLOOKUP(C29,Tabela_Dinâmica!$A$14:$B$19,2,0),"-")</f>
        <v>-</v>
      </c>
      <c r="C29" s="121" t="s">
        <v>9</v>
      </c>
      <c r="D29" s="121"/>
      <c r="E29" s="121"/>
      <c r="F29" s="121"/>
      <c r="G29" s="121"/>
      <c r="H29" s="121"/>
      <c r="I29" s="68"/>
      <c r="J29" s="68"/>
      <c r="K29" s="68"/>
      <c r="L29" s="68"/>
      <c r="M29" s="68"/>
      <c r="N29" s="68"/>
      <c r="O29" s="68"/>
      <c r="P29" s="87"/>
      <c r="Q29" s="28"/>
      <c r="R29" s="88"/>
      <c r="S29" s="89"/>
      <c r="T29" s="90"/>
      <c r="U29" s="90"/>
      <c r="V29" s="68"/>
      <c r="W29" s="68"/>
      <c r="X29" s="91"/>
      <c r="Y29" s="91"/>
      <c r="Z29" s="91"/>
      <c r="AA29" s="91"/>
      <c r="AB29" s="68"/>
      <c r="AC29" s="68"/>
      <c r="AD29" s="87"/>
      <c r="AE29" s="28"/>
    </row>
    <row r="30" spans="1:31" s="32" customFormat="1" ht="15" customHeight="1" x14ac:dyDescent="0.25">
      <c r="A30" s="28"/>
      <c r="B30" s="86" t="str">
        <f>IFERROR(VLOOKUP(C30,Tabela_Dinâmica!$A$14:$B$19,2,0),"-")</f>
        <v>-</v>
      </c>
      <c r="C30" s="121" t="s">
        <v>10</v>
      </c>
      <c r="D30" s="121"/>
      <c r="E30" s="121"/>
      <c r="F30" s="121"/>
      <c r="G30" s="121"/>
      <c r="H30" s="121"/>
      <c r="I30" s="68"/>
      <c r="J30" s="68"/>
      <c r="K30" s="68"/>
      <c r="L30" s="68"/>
      <c r="M30" s="68"/>
      <c r="N30" s="68"/>
      <c r="O30" s="68"/>
      <c r="P30" s="87"/>
      <c r="Q30" s="28"/>
      <c r="R30" s="86">
        <f>IFERROR(VLOOKUP(T30,Tabela_Dinâmica!$F$14:$G$17,2,0),"-")</f>
        <v>62</v>
      </c>
      <c r="S30" s="92"/>
      <c r="T30" s="121" t="s">
        <v>11</v>
      </c>
      <c r="U30" s="121"/>
      <c r="V30" s="68"/>
      <c r="W30" s="91"/>
      <c r="X30" s="93"/>
      <c r="Y30" s="91"/>
      <c r="Z30" s="91"/>
      <c r="AA30" s="68"/>
      <c r="AB30" s="68"/>
      <c r="AC30" s="68"/>
      <c r="AD30" s="87"/>
      <c r="AE30" s="28"/>
    </row>
    <row r="31" spans="1:31" s="32" customFormat="1" ht="15" customHeight="1" x14ac:dyDescent="0.25">
      <c r="A31" s="28"/>
      <c r="B31" s="86">
        <f>IFERROR(VLOOKUP(C31,Tabela_Dinâmica!$A$14:$B$19,2,0),"-")</f>
        <v>8</v>
      </c>
      <c r="C31" s="121" t="s">
        <v>12</v>
      </c>
      <c r="D31" s="121"/>
      <c r="E31" s="121"/>
      <c r="F31" s="121"/>
      <c r="G31" s="121"/>
      <c r="H31" s="121"/>
      <c r="I31" s="68"/>
      <c r="J31" s="68"/>
      <c r="K31" s="68"/>
      <c r="L31" s="68"/>
      <c r="M31" s="68"/>
      <c r="N31" s="68"/>
      <c r="O31" s="68"/>
      <c r="P31" s="87"/>
      <c r="Q31" s="28"/>
      <c r="R31" s="86" t="str">
        <f>IFERROR(VLOOKUP(T31,Tabela_Dinâmica!$F$14:$G$17,2,0),"-")</f>
        <v>-</v>
      </c>
      <c r="S31" s="92"/>
      <c r="T31" s="119" t="s">
        <v>13</v>
      </c>
      <c r="U31" s="119"/>
      <c r="V31" s="68"/>
      <c r="W31" s="120"/>
      <c r="X31" s="93"/>
      <c r="Y31" s="91"/>
      <c r="Z31" s="91"/>
      <c r="AA31" s="68"/>
      <c r="AB31" s="68"/>
      <c r="AC31" s="68"/>
      <c r="AD31" s="87"/>
      <c r="AE31" s="28"/>
    </row>
    <row r="32" spans="1:31" s="32" customFormat="1" ht="15" customHeight="1" x14ac:dyDescent="0.25">
      <c r="A32" s="28"/>
      <c r="B32" s="86" t="str">
        <f>IFERROR(VLOOKUP(C32,Tabela_Dinâmica!$A$14:$B$19,2,0),"-")</f>
        <v>-</v>
      </c>
      <c r="C32" s="121" t="s">
        <v>14</v>
      </c>
      <c r="D32" s="121"/>
      <c r="E32" s="121"/>
      <c r="F32" s="121"/>
      <c r="G32" s="121"/>
      <c r="H32" s="121"/>
      <c r="I32" s="68"/>
      <c r="J32" s="68"/>
      <c r="K32" s="68"/>
      <c r="L32" s="68"/>
      <c r="M32" s="68"/>
      <c r="N32" s="68"/>
      <c r="O32" s="68"/>
      <c r="P32" s="87"/>
      <c r="Q32" s="28"/>
      <c r="R32" s="86" t="str">
        <f>IFERROR(VLOOKUP(T32,Tabela_Dinâmica!$F$14:$G$17,2,0),"-")</f>
        <v>-</v>
      </c>
      <c r="S32" s="92"/>
      <c r="T32" s="121" t="s">
        <v>15</v>
      </c>
      <c r="U32" s="121"/>
      <c r="V32" s="68"/>
      <c r="W32" s="120"/>
      <c r="X32" s="93"/>
      <c r="Y32" s="91"/>
      <c r="Z32" s="91"/>
      <c r="AA32" s="68"/>
      <c r="AB32" s="68"/>
      <c r="AC32" s="68"/>
      <c r="AD32" s="87"/>
      <c r="AE32" s="28"/>
    </row>
    <row r="33" spans="1:31" s="32" customFormat="1" ht="15" customHeight="1" x14ac:dyDescent="0.25">
      <c r="A33" s="28"/>
      <c r="B33" s="86" t="str">
        <f>IFERROR(VLOOKUP(C33,Tabela_Dinâmica!$A$14:$B$19,2,0),"-")</f>
        <v>-</v>
      </c>
      <c r="C33" s="121" t="s">
        <v>16</v>
      </c>
      <c r="D33" s="121"/>
      <c r="E33" s="121"/>
      <c r="F33" s="121"/>
      <c r="G33" s="121"/>
      <c r="H33" s="121"/>
      <c r="I33" s="68"/>
      <c r="J33" s="68"/>
      <c r="K33" s="68"/>
      <c r="L33" s="68"/>
      <c r="M33" s="68"/>
      <c r="N33" s="68"/>
      <c r="O33" s="68"/>
      <c r="P33" s="87"/>
      <c r="Q33" s="28"/>
      <c r="R33" s="86"/>
      <c r="S33" s="92"/>
      <c r="T33" s="121"/>
      <c r="U33" s="121"/>
      <c r="V33" s="68"/>
      <c r="W33" s="120"/>
      <c r="X33" s="68"/>
      <c r="Y33" s="68"/>
      <c r="Z33" s="68"/>
      <c r="AA33" s="68"/>
      <c r="AB33" s="68"/>
      <c r="AC33" s="68"/>
      <c r="AD33" s="87"/>
      <c r="AE33" s="28"/>
    </row>
    <row r="34" spans="1:31" s="32" customFormat="1" ht="15" customHeight="1" x14ac:dyDescent="0.3">
      <c r="A34" s="28"/>
      <c r="B34" s="94"/>
      <c r="C34" s="111"/>
      <c r="D34" s="111"/>
      <c r="E34" s="111"/>
      <c r="F34" s="111"/>
      <c r="G34" s="111"/>
      <c r="H34" s="111"/>
      <c r="I34" s="68"/>
      <c r="J34" s="68"/>
      <c r="K34" s="68"/>
      <c r="L34" s="68"/>
      <c r="M34" s="68"/>
      <c r="N34" s="68"/>
      <c r="O34" s="68"/>
      <c r="P34" s="87"/>
      <c r="Q34" s="28"/>
      <c r="R34" s="95"/>
      <c r="S34" s="68"/>
      <c r="T34" s="68"/>
      <c r="U34" s="68"/>
      <c r="V34" s="68"/>
      <c r="W34" s="68"/>
      <c r="X34" s="68"/>
      <c r="Y34" s="68"/>
      <c r="Z34" s="68"/>
      <c r="AA34" s="68"/>
      <c r="AB34" s="68"/>
      <c r="AC34" s="68"/>
      <c r="AD34" s="87"/>
      <c r="AE34" s="28"/>
    </row>
    <row r="35" spans="1:31" s="32" customFormat="1" ht="9" customHeight="1" x14ac:dyDescent="0.3">
      <c r="A35" s="28"/>
      <c r="B35" s="94"/>
      <c r="C35" s="111"/>
      <c r="D35" s="111"/>
      <c r="E35" s="111"/>
      <c r="F35" s="111"/>
      <c r="G35" s="68"/>
      <c r="H35" s="68"/>
      <c r="I35" s="68"/>
      <c r="J35" s="68"/>
      <c r="K35" s="68"/>
      <c r="L35" s="68"/>
      <c r="M35" s="68"/>
      <c r="N35" s="68"/>
      <c r="O35" s="68"/>
      <c r="P35" s="87"/>
      <c r="Q35" s="28"/>
      <c r="R35" s="95"/>
      <c r="S35" s="68"/>
      <c r="T35" s="68"/>
      <c r="U35" s="68"/>
      <c r="V35" s="68"/>
      <c r="W35" s="68"/>
      <c r="X35" s="68"/>
      <c r="Y35" s="68"/>
      <c r="Z35" s="68"/>
      <c r="AA35" s="68"/>
      <c r="AB35" s="68"/>
      <c r="AC35" s="68"/>
      <c r="AD35" s="87"/>
      <c r="AE35" s="28"/>
    </row>
    <row r="36" spans="1:31" s="32" customFormat="1" ht="15.75" customHeight="1" thickBot="1" x14ac:dyDescent="0.35">
      <c r="A36" s="28"/>
      <c r="B36" s="130"/>
      <c r="C36" s="131"/>
      <c r="D36" s="131"/>
      <c r="E36" s="131"/>
      <c r="F36" s="131"/>
      <c r="G36" s="96"/>
      <c r="H36" s="96"/>
      <c r="I36" s="96"/>
      <c r="J36" s="96"/>
      <c r="K36" s="96"/>
      <c r="L36" s="96"/>
      <c r="M36" s="96"/>
      <c r="N36" s="96"/>
      <c r="O36" s="96"/>
      <c r="P36" s="97"/>
      <c r="Q36" s="28"/>
      <c r="R36" s="98"/>
      <c r="S36" s="96"/>
      <c r="T36" s="96"/>
      <c r="U36" s="96"/>
      <c r="V36" s="96"/>
      <c r="W36" s="96"/>
      <c r="X36" s="96"/>
      <c r="Y36" s="96"/>
      <c r="Z36" s="96"/>
      <c r="AA36" s="96"/>
      <c r="AB36" s="96"/>
      <c r="AC36" s="96"/>
      <c r="AD36" s="97"/>
      <c r="AE36" s="28"/>
    </row>
    <row r="37" spans="1:31" s="28" customFormat="1" ht="8.25" customHeight="1" thickBot="1" x14ac:dyDescent="0.3">
      <c r="E37" s="30"/>
    </row>
    <row r="38" spans="1:31" s="102" customFormat="1" ht="35.25" customHeight="1" x14ac:dyDescent="0.55000000000000004">
      <c r="A38" s="30"/>
      <c r="B38" s="94"/>
      <c r="C38" s="115"/>
      <c r="D38" s="122">
        <f>IFERROR(VLOOKUP("TD Curitiba",Tabela_Dinâmica!F13:G17,2,0),"-")</f>
        <v>62</v>
      </c>
      <c r="E38" s="99"/>
      <c r="F38" s="114" t="s">
        <v>17</v>
      </c>
      <c r="G38" s="114"/>
      <c r="H38" s="114"/>
      <c r="I38" s="114"/>
      <c r="J38" s="114"/>
      <c r="K38" s="114"/>
      <c r="L38" s="114"/>
      <c r="M38" s="99"/>
      <c r="N38" s="99"/>
      <c r="O38" s="99"/>
      <c r="P38" s="100"/>
      <c r="Q38" s="28"/>
      <c r="R38" s="101"/>
      <c r="S38" s="99"/>
      <c r="T38" s="99"/>
      <c r="U38" s="99"/>
      <c r="V38" s="99"/>
      <c r="W38" s="99"/>
      <c r="X38" s="99"/>
      <c r="Y38" s="114" t="s">
        <v>18</v>
      </c>
      <c r="Z38" s="99"/>
      <c r="AA38" s="99"/>
      <c r="AB38" s="99"/>
      <c r="AC38" s="99"/>
      <c r="AD38" s="100"/>
      <c r="AE38" s="28"/>
    </row>
    <row r="39" spans="1:31" s="110" customFormat="1" ht="18.75" customHeight="1" x14ac:dyDescent="0.55000000000000004">
      <c r="A39" s="103"/>
      <c r="B39" s="104"/>
      <c r="C39" s="123"/>
      <c r="D39" s="123"/>
      <c r="E39" s="105"/>
      <c r="F39" s="106"/>
      <c r="G39" s="106"/>
      <c r="H39" s="107"/>
      <c r="I39" s="107"/>
      <c r="J39" s="107"/>
      <c r="K39" s="107"/>
      <c r="L39" s="107"/>
      <c r="M39" s="107"/>
      <c r="N39" s="107"/>
      <c r="O39" s="107"/>
      <c r="P39" s="108"/>
      <c r="Q39" s="28"/>
      <c r="R39" s="109"/>
      <c r="S39" s="107"/>
      <c r="T39" s="107"/>
      <c r="U39" s="107"/>
      <c r="V39" s="107"/>
      <c r="W39" s="107"/>
      <c r="X39" s="107"/>
      <c r="Y39" s="107"/>
      <c r="Z39" s="107"/>
      <c r="AA39" s="107"/>
      <c r="AB39" s="107"/>
      <c r="AC39" s="107"/>
      <c r="AD39" s="108"/>
      <c r="AE39" s="28"/>
    </row>
    <row r="40" spans="1:31" s="32" customFormat="1" ht="26.25" customHeight="1" x14ac:dyDescent="0.3">
      <c r="A40" s="28"/>
      <c r="B40" s="94"/>
      <c r="C40" s="155" t="s">
        <v>19</v>
      </c>
      <c r="D40" s="155"/>
      <c r="E40" s="68"/>
      <c r="F40" s="68"/>
      <c r="G40" s="111"/>
      <c r="H40" s="68"/>
      <c r="I40" s="68"/>
      <c r="J40" s="68"/>
      <c r="K40" s="68"/>
      <c r="L40" s="68"/>
      <c r="M40" s="68"/>
      <c r="N40" s="68"/>
      <c r="O40" s="68"/>
      <c r="P40" s="87"/>
      <c r="Q40" s="28"/>
      <c r="R40" s="95"/>
      <c r="S40" s="68"/>
      <c r="T40" s="107"/>
      <c r="U40" s="68"/>
      <c r="V40" s="107"/>
      <c r="W40" s="107"/>
      <c r="X40" s="107"/>
      <c r="Y40" s="107"/>
      <c r="Z40" s="107"/>
      <c r="AA40" s="107"/>
      <c r="AB40" s="107"/>
      <c r="AC40" s="107"/>
      <c r="AD40" s="108"/>
      <c r="AE40" s="28"/>
    </row>
    <row r="41" spans="1:31" s="32" customFormat="1" ht="15.75" customHeight="1" x14ac:dyDescent="0.3">
      <c r="A41" s="28"/>
      <c r="B41" s="94"/>
      <c r="C41" s="115"/>
      <c r="D41" s="115"/>
      <c r="E41" s="68"/>
      <c r="F41" s="68"/>
      <c r="G41" s="111"/>
      <c r="H41" s="68"/>
      <c r="I41" s="68"/>
      <c r="J41" s="68"/>
      <c r="K41" s="68"/>
      <c r="L41" s="68"/>
      <c r="M41" s="68"/>
      <c r="N41" s="68"/>
      <c r="O41" s="68"/>
      <c r="P41" s="87"/>
      <c r="Q41" s="28"/>
      <c r="R41" s="95"/>
      <c r="S41" s="68"/>
      <c r="T41" s="68"/>
      <c r="U41" s="68"/>
      <c r="V41" s="68"/>
      <c r="W41" s="68"/>
      <c r="X41" s="68"/>
      <c r="Y41" s="68"/>
      <c r="Z41" s="68"/>
      <c r="AA41" s="68"/>
      <c r="AB41" s="68"/>
      <c r="AC41" s="68"/>
      <c r="AD41" s="87"/>
      <c r="AE41" s="28"/>
    </row>
    <row r="42" spans="1:31" s="32" customFormat="1" ht="15.75" x14ac:dyDescent="0.25">
      <c r="A42" s="28"/>
      <c r="B42" s="112"/>
      <c r="C42" s="115"/>
      <c r="D42" s="115"/>
      <c r="E42" s="68"/>
      <c r="F42" s="68"/>
      <c r="G42" s="68"/>
      <c r="H42" s="68"/>
      <c r="I42" s="68"/>
      <c r="J42" s="68"/>
      <c r="K42" s="68"/>
      <c r="L42" s="68"/>
      <c r="M42" s="68"/>
      <c r="N42" s="68"/>
      <c r="O42" s="68"/>
      <c r="P42" s="87"/>
      <c r="Q42" s="28"/>
      <c r="R42" s="95"/>
      <c r="S42" s="68"/>
      <c r="T42" s="68"/>
      <c r="U42" s="68"/>
      <c r="V42" s="68"/>
      <c r="W42" s="68"/>
      <c r="X42" s="68"/>
      <c r="Y42" s="68"/>
      <c r="Z42" s="68"/>
      <c r="AA42" s="68"/>
      <c r="AB42" s="68"/>
      <c r="AC42" s="68"/>
      <c r="AD42" s="87"/>
      <c r="AE42" s="28"/>
    </row>
    <row r="43" spans="1:31" s="32" customFormat="1" ht="13.5" customHeight="1" x14ac:dyDescent="0.25">
      <c r="A43" s="28"/>
      <c r="B43" s="95"/>
      <c r="C43" s="115"/>
      <c r="D43" s="115"/>
      <c r="E43" s="68"/>
      <c r="F43" s="68"/>
      <c r="G43" s="68"/>
      <c r="H43" s="68"/>
      <c r="I43" s="68"/>
      <c r="J43" s="68"/>
      <c r="K43" s="68"/>
      <c r="L43" s="68"/>
      <c r="M43" s="68"/>
      <c r="N43" s="68"/>
      <c r="O43" s="68"/>
      <c r="P43" s="87"/>
      <c r="Q43" s="28"/>
      <c r="R43" s="95"/>
      <c r="S43" s="68"/>
      <c r="T43" s="68"/>
      <c r="U43" s="68"/>
      <c r="V43" s="68"/>
      <c r="W43" s="68"/>
      <c r="X43" s="68"/>
      <c r="Y43" s="68"/>
      <c r="Z43" s="68"/>
      <c r="AA43" s="68"/>
      <c r="AB43" s="68"/>
      <c r="AC43" s="68"/>
      <c r="AD43" s="87"/>
      <c r="AE43" s="28"/>
    </row>
    <row r="44" spans="1:31" s="32" customFormat="1" ht="13.5" customHeight="1" x14ac:dyDescent="0.25">
      <c r="A44" s="28"/>
      <c r="B44" s="95"/>
      <c r="C44" s="69"/>
      <c r="D44" s="69"/>
      <c r="E44" s="69"/>
      <c r="F44" s="68"/>
      <c r="G44" s="68"/>
      <c r="H44" s="68"/>
      <c r="I44" s="68"/>
      <c r="J44" s="68"/>
      <c r="K44" s="68"/>
      <c r="L44" s="68"/>
      <c r="M44" s="68"/>
      <c r="N44" s="68"/>
      <c r="O44" s="68"/>
      <c r="P44" s="87"/>
      <c r="Q44" s="28"/>
      <c r="R44" s="95"/>
      <c r="S44" s="68"/>
      <c r="T44" s="68"/>
      <c r="U44" s="68"/>
      <c r="V44" s="68"/>
      <c r="W44" s="68"/>
      <c r="X44" s="68"/>
      <c r="Y44" s="68"/>
      <c r="Z44" s="68"/>
      <c r="AA44" s="68"/>
      <c r="AB44" s="68"/>
      <c r="AC44" s="68"/>
      <c r="AD44" s="87"/>
      <c r="AE44" s="28"/>
    </row>
    <row r="45" spans="1:31" s="32" customFormat="1" x14ac:dyDescent="0.25">
      <c r="A45" s="28"/>
      <c r="B45" s="95"/>
      <c r="C45" s="68"/>
      <c r="D45" s="68"/>
      <c r="E45" s="69"/>
      <c r="F45" s="68"/>
      <c r="G45" s="68"/>
      <c r="H45" s="68"/>
      <c r="I45" s="68"/>
      <c r="J45" s="68"/>
      <c r="K45" s="68"/>
      <c r="L45" s="68"/>
      <c r="M45" s="68"/>
      <c r="N45" s="68"/>
      <c r="O45" s="68"/>
      <c r="P45" s="87"/>
      <c r="Q45" s="28"/>
      <c r="R45" s="95"/>
      <c r="S45" s="68"/>
      <c r="T45" s="68"/>
      <c r="U45" s="68"/>
      <c r="V45" s="68"/>
      <c r="W45" s="68"/>
      <c r="X45" s="68"/>
      <c r="Y45" s="68"/>
      <c r="Z45" s="68"/>
      <c r="AA45" s="68"/>
      <c r="AB45" s="68"/>
      <c r="AC45" s="68"/>
      <c r="AD45" s="87"/>
      <c r="AE45" s="28"/>
    </row>
    <row r="46" spans="1:31" s="32" customFormat="1" x14ac:dyDescent="0.25">
      <c r="A46" s="28"/>
      <c r="B46" s="95"/>
      <c r="C46" s="68"/>
      <c r="D46" s="68"/>
      <c r="E46" s="69"/>
      <c r="F46" s="68"/>
      <c r="G46" s="68"/>
      <c r="H46" s="68"/>
      <c r="I46" s="68"/>
      <c r="J46" s="68"/>
      <c r="K46" s="68"/>
      <c r="L46" s="68"/>
      <c r="M46" s="68"/>
      <c r="N46" s="68"/>
      <c r="O46" s="68"/>
      <c r="P46" s="87"/>
      <c r="Q46" s="28"/>
      <c r="R46" s="95"/>
      <c r="S46" s="68"/>
      <c r="T46" s="68"/>
      <c r="U46" s="68"/>
      <c r="V46" s="68"/>
      <c r="W46" s="68"/>
      <c r="X46" s="68"/>
      <c r="Y46" s="68"/>
      <c r="Z46" s="68"/>
      <c r="AA46" s="68"/>
      <c r="AB46" s="68"/>
      <c r="AC46" s="68"/>
      <c r="AD46" s="87"/>
      <c r="AE46" s="28"/>
    </row>
    <row r="47" spans="1:31" s="32" customFormat="1" ht="15.75" x14ac:dyDescent="0.25">
      <c r="A47" s="28"/>
      <c r="B47" s="112"/>
      <c r="C47" s="91"/>
      <c r="D47" s="91"/>
      <c r="E47" s="91"/>
      <c r="F47" s="91"/>
      <c r="G47" s="91"/>
      <c r="H47" s="91"/>
      <c r="I47" s="68"/>
      <c r="J47" s="68"/>
      <c r="K47" s="68"/>
      <c r="L47" s="68"/>
      <c r="M47" s="68"/>
      <c r="N47" s="68"/>
      <c r="O47" s="68"/>
      <c r="P47" s="87"/>
      <c r="Q47" s="28"/>
      <c r="R47" s="95"/>
      <c r="S47" s="68"/>
      <c r="T47" s="68"/>
      <c r="U47" s="68"/>
      <c r="V47" s="68"/>
      <c r="W47" s="68"/>
      <c r="X47" s="68"/>
      <c r="Y47" s="68"/>
      <c r="Z47" s="68"/>
      <c r="AA47" s="68"/>
      <c r="AB47" s="68"/>
      <c r="AC47" s="68"/>
      <c r="AD47" s="87"/>
      <c r="AE47" s="28"/>
    </row>
    <row r="48" spans="1:31" s="32" customFormat="1" x14ac:dyDescent="0.25">
      <c r="A48" s="28"/>
      <c r="B48" s="95"/>
      <c r="C48" s="68"/>
      <c r="D48" s="68"/>
      <c r="E48" s="69"/>
      <c r="F48" s="68"/>
      <c r="G48" s="68"/>
      <c r="H48" s="68"/>
      <c r="I48" s="68"/>
      <c r="J48" s="68"/>
      <c r="K48" s="68"/>
      <c r="L48" s="68"/>
      <c r="M48" s="68"/>
      <c r="N48" s="68"/>
      <c r="O48" s="68"/>
      <c r="P48" s="87"/>
      <c r="Q48" s="28"/>
      <c r="R48" s="95"/>
      <c r="S48" s="68"/>
      <c r="T48" s="68"/>
      <c r="U48" s="68"/>
      <c r="V48" s="68"/>
      <c r="W48" s="68"/>
      <c r="X48" s="68"/>
      <c r="Y48" s="68"/>
      <c r="Z48" s="68"/>
      <c r="AA48" s="68"/>
      <c r="AB48" s="68"/>
      <c r="AC48" s="68"/>
      <c r="AD48" s="87"/>
      <c r="AE48" s="28"/>
    </row>
    <row r="49" spans="1:31" s="32" customFormat="1" x14ac:dyDescent="0.25">
      <c r="A49" s="28"/>
      <c r="B49" s="95"/>
      <c r="C49" s="68"/>
      <c r="D49" s="68"/>
      <c r="E49" s="69"/>
      <c r="F49" s="68"/>
      <c r="G49" s="68"/>
      <c r="H49" s="68"/>
      <c r="I49" s="68"/>
      <c r="J49" s="68"/>
      <c r="K49" s="68"/>
      <c r="L49" s="68"/>
      <c r="M49" s="68"/>
      <c r="N49" s="68"/>
      <c r="O49" s="68"/>
      <c r="P49" s="87"/>
      <c r="Q49" s="28"/>
      <c r="R49" s="95"/>
      <c r="S49" s="68"/>
      <c r="T49" s="68"/>
      <c r="U49" s="68"/>
      <c r="V49" s="68"/>
      <c r="W49" s="68"/>
      <c r="X49" s="68"/>
      <c r="Y49" s="68"/>
      <c r="Z49" s="68"/>
      <c r="AA49" s="68"/>
      <c r="AB49" s="68"/>
      <c r="AC49" s="68"/>
      <c r="AD49" s="87"/>
      <c r="AE49" s="28"/>
    </row>
    <row r="50" spans="1:31" s="32" customFormat="1" x14ac:dyDescent="0.25">
      <c r="A50" s="28"/>
      <c r="B50" s="95"/>
      <c r="C50" s="68"/>
      <c r="D50" s="68"/>
      <c r="E50" s="69"/>
      <c r="F50" s="68"/>
      <c r="G50" s="68"/>
      <c r="H50" s="68"/>
      <c r="I50" s="68"/>
      <c r="J50" s="68"/>
      <c r="K50" s="68"/>
      <c r="L50" s="68"/>
      <c r="M50" s="68"/>
      <c r="N50" s="68"/>
      <c r="O50" s="68"/>
      <c r="P50" s="87"/>
      <c r="Q50" s="28"/>
      <c r="R50" s="95"/>
      <c r="S50" s="68"/>
      <c r="T50" s="68"/>
      <c r="U50" s="68"/>
      <c r="V50" s="68"/>
      <c r="W50" s="68"/>
      <c r="X50" s="68"/>
      <c r="Y50" s="68"/>
      <c r="Z50" s="68"/>
      <c r="AA50" s="68"/>
      <c r="AB50" s="68"/>
      <c r="AC50" s="68"/>
      <c r="AD50" s="87"/>
      <c r="AE50" s="28"/>
    </row>
    <row r="51" spans="1:31" s="32" customFormat="1" x14ac:dyDescent="0.25">
      <c r="A51" s="28"/>
      <c r="B51" s="95"/>
      <c r="C51" s="68"/>
      <c r="D51" s="68"/>
      <c r="E51" s="69"/>
      <c r="F51" s="68"/>
      <c r="G51" s="68"/>
      <c r="H51" s="68"/>
      <c r="I51" s="68"/>
      <c r="J51" s="68"/>
      <c r="K51" s="68"/>
      <c r="L51" s="68"/>
      <c r="M51" s="68"/>
      <c r="N51" s="68"/>
      <c r="O51" s="68"/>
      <c r="P51" s="87"/>
      <c r="Q51" s="28"/>
      <c r="R51" s="95"/>
      <c r="S51" s="68"/>
      <c r="T51" s="68"/>
      <c r="U51" s="68"/>
      <c r="V51" s="68"/>
      <c r="W51" s="68"/>
      <c r="X51" s="68"/>
      <c r="Y51" s="68"/>
      <c r="Z51" s="68"/>
      <c r="AA51" s="68"/>
      <c r="AB51" s="68"/>
      <c r="AC51" s="68"/>
      <c r="AD51" s="87"/>
      <c r="AE51" s="28"/>
    </row>
    <row r="52" spans="1:31" s="32" customFormat="1" ht="8.25" customHeight="1" x14ac:dyDescent="0.25">
      <c r="A52" s="28"/>
      <c r="B52" s="95"/>
      <c r="C52" s="68"/>
      <c r="D52" s="68"/>
      <c r="E52" s="69"/>
      <c r="F52" s="68"/>
      <c r="G52" s="68"/>
      <c r="H52" s="68"/>
      <c r="I52" s="68"/>
      <c r="J52" s="68"/>
      <c r="K52" s="68"/>
      <c r="L52" s="68"/>
      <c r="M52" s="68"/>
      <c r="N52" s="68"/>
      <c r="O52" s="68"/>
      <c r="P52" s="87"/>
      <c r="Q52" s="28"/>
      <c r="R52" s="95"/>
      <c r="S52" s="68"/>
      <c r="T52" s="68"/>
      <c r="U52" s="68"/>
      <c r="V52" s="68"/>
      <c r="W52" s="68"/>
      <c r="X52" s="68"/>
      <c r="Y52" s="68"/>
      <c r="Z52" s="68"/>
      <c r="AA52" s="68"/>
      <c r="AB52" s="68"/>
      <c r="AC52" s="68"/>
      <c r="AD52" s="87"/>
      <c r="AE52" s="28"/>
    </row>
    <row r="53" spans="1:31" s="32" customFormat="1" x14ac:dyDescent="0.25">
      <c r="A53" s="28"/>
      <c r="B53" s="95"/>
      <c r="C53" s="68"/>
      <c r="D53" s="68"/>
      <c r="E53" s="69"/>
      <c r="F53" s="68"/>
      <c r="G53" s="68"/>
      <c r="H53" s="68"/>
      <c r="I53" s="68"/>
      <c r="J53" s="68"/>
      <c r="K53" s="68"/>
      <c r="L53" s="68"/>
      <c r="M53" s="68"/>
      <c r="N53" s="68"/>
      <c r="O53" s="68"/>
      <c r="P53" s="87"/>
      <c r="Q53" s="28"/>
      <c r="R53" s="95"/>
      <c r="S53" s="68"/>
      <c r="T53" s="68"/>
      <c r="U53" s="68"/>
      <c r="V53" s="68"/>
      <c r="W53" s="68"/>
      <c r="X53" s="68"/>
      <c r="Y53" s="68"/>
      <c r="Z53" s="68"/>
      <c r="AA53" s="68"/>
      <c r="AB53" s="68"/>
      <c r="AC53" s="68"/>
      <c r="AD53" s="87"/>
      <c r="AE53" s="28"/>
    </row>
    <row r="54" spans="1:31" s="32" customFormat="1" ht="13.5" customHeight="1" x14ac:dyDescent="0.25">
      <c r="A54" s="28"/>
      <c r="B54" s="95"/>
      <c r="C54" s="68"/>
      <c r="D54" s="68"/>
      <c r="E54" s="69"/>
      <c r="F54" s="68"/>
      <c r="G54" s="68"/>
      <c r="H54" s="68"/>
      <c r="I54" s="68"/>
      <c r="J54" s="68"/>
      <c r="K54" s="68"/>
      <c r="L54" s="68"/>
      <c r="M54" s="68"/>
      <c r="N54" s="68"/>
      <c r="O54" s="68"/>
      <c r="P54" s="87"/>
      <c r="Q54" s="28"/>
      <c r="R54" s="95"/>
      <c r="S54" s="68"/>
      <c r="T54" s="68"/>
      <c r="U54" s="68"/>
      <c r="V54" s="68"/>
      <c r="W54" s="68"/>
      <c r="X54" s="68"/>
      <c r="Y54" s="68"/>
      <c r="Z54" s="68"/>
      <c r="AA54" s="68"/>
      <c r="AB54" s="68"/>
      <c r="AC54" s="68"/>
      <c r="AD54" s="87"/>
      <c r="AE54" s="28"/>
    </row>
    <row r="55" spans="1:31" s="32" customFormat="1" x14ac:dyDescent="0.25">
      <c r="A55" s="28"/>
      <c r="B55" s="95"/>
      <c r="C55" s="68"/>
      <c r="D55" s="68"/>
      <c r="E55" s="69"/>
      <c r="F55" s="68"/>
      <c r="G55" s="68"/>
      <c r="H55" s="68"/>
      <c r="I55" s="68"/>
      <c r="J55" s="68"/>
      <c r="K55" s="68"/>
      <c r="L55" s="68"/>
      <c r="M55" s="68"/>
      <c r="N55" s="68"/>
      <c r="O55" s="68"/>
      <c r="P55" s="87"/>
      <c r="Q55" s="28"/>
      <c r="R55" s="95"/>
      <c r="S55" s="68"/>
      <c r="T55" s="68"/>
      <c r="U55" s="68"/>
      <c r="V55" s="68"/>
      <c r="W55" s="68"/>
      <c r="X55" s="68"/>
      <c r="Y55" s="68"/>
      <c r="Z55" s="68"/>
      <c r="AA55" s="68"/>
      <c r="AB55" s="68"/>
      <c r="AC55" s="68"/>
      <c r="AD55" s="87"/>
      <c r="AE55" s="28"/>
    </row>
    <row r="56" spans="1:31" s="32" customFormat="1" x14ac:dyDescent="0.25">
      <c r="A56" s="28"/>
      <c r="B56" s="95"/>
      <c r="C56" s="68"/>
      <c r="D56" s="68"/>
      <c r="E56" s="69"/>
      <c r="F56" s="68"/>
      <c r="G56" s="68"/>
      <c r="H56" s="68"/>
      <c r="I56" s="68"/>
      <c r="J56" s="68"/>
      <c r="K56" s="68"/>
      <c r="L56" s="68"/>
      <c r="M56" s="68"/>
      <c r="N56" s="68"/>
      <c r="O56" s="68"/>
      <c r="P56" s="87"/>
      <c r="Q56" s="28"/>
      <c r="R56" s="95"/>
      <c r="S56" s="68"/>
      <c r="T56" s="68"/>
      <c r="U56" s="68"/>
      <c r="V56" s="68"/>
      <c r="W56" s="68"/>
      <c r="X56" s="68"/>
      <c r="Y56" s="68"/>
      <c r="Z56" s="68"/>
      <c r="AA56" s="68"/>
      <c r="AB56" s="68"/>
      <c r="AC56" s="68"/>
      <c r="AD56" s="87"/>
      <c r="AE56" s="28"/>
    </row>
    <row r="57" spans="1:31" s="32" customFormat="1" x14ac:dyDescent="0.25">
      <c r="A57" s="28"/>
      <c r="B57" s="95"/>
      <c r="C57" s="68"/>
      <c r="D57" s="68"/>
      <c r="E57" s="69"/>
      <c r="F57" s="68"/>
      <c r="G57" s="68"/>
      <c r="H57" s="68"/>
      <c r="I57" s="68"/>
      <c r="J57" s="68"/>
      <c r="K57" s="68"/>
      <c r="L57" s="68"/>
      <c r="M57" s="68"/>
      <c r="N57" s="68"/>
      <c r="O57" s="68"/>
      <c r="P57" s="87"/>
      <c r="Q57" s="28"/>
      <c r="R57" s="95"/>
      <c r="S57" s="68"/>
      <c r="T57" s="68"/>
      <c r="U57" s="68"/>
      <c r="V57" s="68"/>
      <c r="W57" s="68"/>
      <c r="X57" s="68"/>
      <c r="Y57" s="68"/>
      <c r="Z57" s="68"/>
      <c r="AA57" s="68"/>
      <c r="AB57" s="68"/>
      <c r="AC57" s="68"/>
      <c r="AD57" s="87"/>
      <c r="AE57" s="28"/>
    </row>
    <row r="58" spans="1:31" s="32" customFormat="1" x14ac:dyDescent="0.25">
      <c r="A58" s="28"/>
      <c r="B58" s="95"/>
      <c r="C58" s="68"/>
      <c r="D58" s="68"/>
      <c r="E58" s="69"/>
      <c r="F58" s="68"/>
      <c r="G58" s="68"/>
      <c r="H58" s="68"/>
      <c r="I58" s="68"/>
      <c r="J58" s="68"/>
      <c r="K58" s="68"/>
      <c r="L58" s="68"/>
      <c r="M58" s="68"/>
      <c r="N58" s="68"/>
      <c r="O58" s="68"/>
      <c r="P58" s="87"/>
      <c r="Q58" s="28"/>
      <c r="R58" s="95"/>
      <c r="S58" s="68"/>
      <c r="T58" s="68"/>
      <c r="U58" s="68"/>
      <c r="V58" s="68"/>
      <c r="W58" s="68"/>
      <c r="X58" s="68"/>
      <c r="Y58" s="68"/>
      <c r="Z58" s="68"/>
      <c r="AA58" s="68"/>
      <c r="AB58" s="68"/>
      <c r="AC58" s="68"/>
      <c r="AD58" s="87"/>
      <c r="AE58" s="28"/>
    </row>
    <row r="59" spans="1:31" s="32" customFormat="1" x14ac:dyDescent="0.25">
      <c r="A59" s="28"/>
      <c r="B59" s="95"/>
      <c r="C59" s="68"/>
      <c r="D59" s="68"/>
      <c r="E59" s="69"/>
      <c r="F59" s="68"/>
      <c r="G59" s="68"/>
      <c r="H59" s="68"/>
      <c r="I59" s="68"/>
      <c r="J59" s="68"/>
      <c r="K59" s="68"/>
      <c r="L59" s="68"/>
      <c r="M59" s="68"/>
      <c r="N59" s="68"/>
      <c r="O59" s="68"/>
      <c r="P59" s="87"/>
      <c r="Q59" s="28"/>
      <c r="R59" s="95"/>
      <c r="S59" s="68"/>
      <c r="T59" s="68"/>
      <c r="U59" s="68"/>
      <c r="V59" s="68"/>
      <c r="W59" s="68"/>
      <c r="X59" s="68"/>
      <c r="Y59" s="68"/>
      <c r="Z59" s="68"/>
      <c r="AA59" s="68"/>
      <c r="AB59" s="68"/>
      <c r="AC59" s="68"/>
      <c r="AD59" s="87"/>
      <c r="AE59" s="28"/>
    </row>
    <row r="60" spans="1:31" s="32" customFormat="1" ht="11.25" hidden="1" customHeight="1" x14ac:dyDescent="0.25">
      <c r="A60" s="28"/>
      <c r="B60" s="95"/>
      <c r="C60" s="68"/>
      <c r="D60" s="68"/>
      <c r="E60" s="69"/>
      <c r="F60" s="68"/>
      <c r="G60" s="68"/>
      <c r="H60" s="68"/>
      <c r="I60" s="68"/>
      <c r="J60" s="68"/>
      <c r="K60" s="68"/>
      <c r="L60" s="68"/>
      <c r="M60" s="68"/>
      <c r="N60" s="68"/>
      <c r="O60" s="68"/>
      <c r="P60" s="87"/>
      <c r="Q60" s="28"/>
      <c r="R60" s="95"/>
      <c r="S60" s="68"/>
      <c r="T60" s="68"/>
      <c r="U60" s="68"/>
      <c r="V60" s="68"/>
      <c r="W60" s="68"/>
      <c r="X60" s="68"/>
      <c r="Y60" s="68"/>
      <c r="Z60" s="68"/>
      <c r="AA60" s="68"/>
      <c r="AB60" s="68"/>
      <c r="AC60" s="68"/>
      <c r="AD60" s="87"/>
      <c r="AE60" s="28"/>
    </row>
    <row r="61" spans="1:31" s="32" customFormat="1" ht="21.75" hidden="1" customHeight="1" x14ac:dyDescent="0.25">
      <c r="A61" s="28"/>
      <c r="B61" s="95"/>
      <c r="C61" s="68"/>
      <c r="D61" s="68"/>
      <c r="E61" s="69"/>
      <c r="F61" s="68"/>
      <c r="G61" s="68"/>
      <c r="H61" s="68"/>
      <c r="I61" s="68"/>
      <c r="J61" s="68"/>
      <c r="K61" s="68"/>
      <c r="L61" s="68"/>
      <c r="M61" s="68"/>
      <c r="N61" s="68"/>
      <c r="O61" s="68"/>
      <c r="P61" s="87"/>
      <c r="Q61" s="28"/>
      <c r="R61" s="95"/>
      <c r="S61" s="68"/>
      <c r="T61" s="68"/>
      <c r="U61" s="68"/>
      <c r="V61" s="68"/>
      <c r="W61" s="68"/>
      <c r="X61" s="68"/>
      <c r="Y61" s="68"/>
      <c r="Z61" s="68"/>
      <c r="AA61" s="68"/>
      <c r="AB61" s="68"/>
      <c r="AC61" s="68"/>
      <c r="AD61" s="87"/>
      <c r="AE61" s="28"/>
    </row>
    <row r="62" spans="1:31" s="32" customFormat="1" ht="21.75" hidden="1" customHeight="1" x14ac:dyDescent="0.25">
      <c r="A62" s="28"/>
      <c r="B62" s="95"/>
      <c r="C62" s="68"/>
      <c r="D62" s="68"/>
      <c r="E62" s="69"/>
      <c r="F62" s="68"/>
      <c r="G62" s="68"/>
      <c r="H62" s="68"/>
      <c r="I62" s="68"/>
      <c r="J62" s="68"/>
      <c r="K62" s="68"/>
      <c r="L62" s="68"/>
      <c r="M62" s="68"/>
      <c r="N62" s="68"/>
      <c r="O62" s="68"/>
      <c r="P62" s="87"/>
      <c r="Q62" s="28"/>
      <c r="R62" s="95"/>
      <c r="S62" s="68"/>
      <c r="T62" s="68"/>
      <c r="U62" s="68"/>
      <c r="V62" s="68"/>
      <c r="W62" s="68"/>
      <c r="X62" s="68"/>
      <c r="Y62" s="68"/>
      <c r="Z62" s="68"/>
      <c r="AA62" s="68"/>
      <c r="AB62" s="68"/>
      <c r="AC62" s="68"/>
      <c r="AD62" s="87"/>
      <c r="AE62" s="28"/>
    </row>
    <row r="63" spans="1:31" s="32" customFormat="1" ht="21.75" hidden="1" customHeight="1" x14ac:dyDescent="0.25">
      <c r="A63" s="28"/>
      <c r="B63" s="95"/>
      <c r="C63" s="68"/>
      <c r="D63" s="68"/>
      <c r="E63" s="69"/>
      <c r="F63" s="68"/>
      <c r="G63" s="68"/>
      <c r="H63" s="68"/>
      <c r="I63" s="68"/>
      <c r="J63" s="68"/>
      <c r="K63" s="68"/>
      <c r="L63" s="68"/>
      <c r="M63" s="68"/>
      <c r="N63" s="68"/>
      <c r="O63" s="68"/>
      <c r="P63" s="87"/>
      <c r="Q63" s="28"/>
      <c r="R63" s="95"/>
      <c r="S63" s="68"/>
      <c r="T63" s="68"/>
      <c r="U63" s="68"/>
      <c r="V63" s="68"/>
      <c r="W63" s="68"/>
      <c r="X63" s="68"/>
      <c r="Y63" s="68"/>
      <c r="Z63" s="68"/>
      <c r="AA63" s="68"/>
      <c r="AB63" s="68"/>
      <c r="AC63" s="68"/>
      <c r="AD63" s="87"/>
      <c r="AE63" s="28"/>
    </row>
    <row r="64" spans="1:31" s="32" customFormat="1" ht="6.75" hidden="1" customHeight="1" x14ac:dyDescent="0.25">
      <c r="A64" s="28"/>
      <c r="B64" s="95"/>
      <c r="C64" s="68"/>
      <c r="D64" s="68"/>
      <c r="E64" s="69"/>
      <c r="F64" s="68"/>
      <c r="G64" s="68"/>
      <c r="H64" s="68"/>
      <c r="I64" s="68"/>
      <c r="J64" s="68"/>
      <c r="K64" s="68"/>
      <c r="L64" s="68"/>
      <c r="M64" s="68"/>
      <c r="N64" s="68"/>
      <c r="O64" s="68"/>
      <c r="P64" s="87"/>
      <c r="Q64" s="28"/>
      <c r="R64" s="95"/>
      <c r="S64" s="68"/>
      <c r="T64" s="68"/>
      <c r="U64" s="68"/>
      <c r="V64" s="68"/>
      <c r="W64" s="68"/>
      <c r="X64" s="68"/>
      <c r="Y64" s="68"/>
      <c r="Z64" s="68"/>
      <c r="AA64" s="68"/>
      <c r="AB64" s="68"/>
      <c r="AC64" s="68"/>
      <c r="AD64" s="87"/>
      <c r="AE64" s="28"/>
    </row>
    <row r="65" spans="1:31" s="32" customFormat="1" ht="15.75" thickBot="1" x14ac:dyDescent="0.3">
      <c r="A65" s="28"/>
      <c r="B65" s="98"/>
      <c r="C65" s="96"/>
      <c r="D65" s="96"/>
      <c r="E65" s="113"/>
      <c r="F65" s="96"/>
      <c r="G65" s="96"/>
      <c r="H65" s="96"/>
      <c r="I65" s="96"/>
      <c r="J65" s="96"/>
      <c r="K65" s="96"/>
      <c r="L65" s="96"/>
      <c r="M65" s="96"/>
      <c r="N65" s="96"/>
      <c r="O65" s="96"/>
      <c r="P65" s="97"/>
      <c r="Q65" s="28"/>
      <c r="R65" s="98"/>
      <c r="S65" s="96"/>
      <c r="T65" s="96"/>
      <c r="U65" s="96"/>
      <c r="V65" s="96"/>
      <c r="W65" s="96"/>
      <c r="X65" s="96"/>
      <c r="Y65" s="96"/>
      <c r="Z65" s="96"/>
      <c r="AA65" s="96"/>
      <c r="AB65" s="96"/>
      <c r="AC65" s="96"/>
      <c r="AD65" s="97"/>
      <c r="AE65" s="28"/>
    </row>
    <row r="66" spans="1:31" s="32" customFormat="1" ht="6.75" customHeight="1" x14ac:dyDescent="0.25">
      <c r="A66" s="28"/>
      <c r="B66" s="28"/>
      <c r="C66" s="28"/>
      <c r="D66" s="28"/>
      <c r="E66" s="30"/>
      <c r="F66" s="28"/>
      <c r="G66" s="28"/>
      <c r="H66" s="28"/>
      <c r="I66" s="28"/>
      <c r="J66" s="28"/>
      <c r="K66" s="28"/>
      <c r="L66" s="28"/>
      <c r="M66" s="28"/>
      <c r="N66" s="28"/>
      <c r="O66" s="28"/>
      <c r="P66" s="28"/>
      <c r="Q66" s="28"/>
      <c r="R66" s="28"/>
      <c r="S66" s="28"/>
      <c r="T66" s="28"/>
      <c r="U66" s="28"/>
      <c r="V66" s="28"/>
      <c r="W66" s="28"/>
      <c r="X66" s="28"/>
      <c r="Y66" s="28"/>
      <c r="Z66" s="28"/>
      <c r="AA66" s="28"/>
      <c r="AB66" s="28"/>
      <c r="AC66" s="28"/>
      <c r="AD66" s="28"/>
      <c r="AE66" s="28"/>
    </row>
    <row r="67" spans="1:31" x14ac:dyDescent="0.25"/>
    <row r="68" spans="1:31" x14ac:dyDescent="0.25"/>
    <row r="69" spans="1:31" x14ac:dyDescent="0.25"/>
    <row r="70" spans="1:31" x14ac:dyDescent="0.25"/>
    <row r="71" spans="1:31" x14ac:dyDescent="0.25"/>
    <row r="72" spans="1:31" x14ac:dyDescent="0.25"/>
    <row r="73" spans="1:31" x14ac:dyDescent="0.25"/>
  </sheetData>
  <pageMargins left="0.511811024" right="0.511811024" top="0.78740157499999996" bottom="0.78740157499999996" header="0.31496062000000002" footer="0.31496062000000002"/>
  <pageSetup scale="48"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13634-CA3A-4F12-BEB8-D8C72BCFB640}">
  <dimension ref="A2:AC110"/>
  <sheetViews>
    <sheetView zoomScaleNormal="100" workbookViewId="0">
      <selection activeCell="B47" sqref="B47"/>
    </sheetView>
  </sheetViews>
  <sheetFormatPr defaultColWidth="8.7109375" defaultRowHeight="12" x14ac:dyDescent="0.2"/>
  <cols>
    <col min="1" max="1" width="32.85546875" style="2" bestFit="1" customWidth="1"/>
    <col min="2" max="2" width="17.140625" style="2" customWidth="1"/>
    <col min="3" max="4" width="8.7109375" style="2" customWidth="1"/>
    <col min="5" max="5" width="10.140625" style="2" customWidth="1"/>
    <col min="6" max="6" width="21.85546875" style="2" customWidth="1"/>
    <col min="7" max="7" width="20.140625" style="2" bestFit="1" customWidth="1"/>
    <col min="8" max="8" width="19.5703125" style="2" bestFit="1" customWidth="1"/>
    <col min="9" max="9" width="15.42578125" style="2" bestFit="1" customWidth="1"/>
    <col min="10" max="10" width="14.85546875" style="2" bestFit="1" customWidth="1"/>
    <col min="11" max="11" width="8.5703125" style="2" bestFit="1" customWidth="1"/>
    <col min="12" max="12" width="9.42578125" style="2" customWidth="1"/>
    <col min="13" max="13" width="22.28515625" style="2" customWidth="1"/>
    <col min="14" max="14" width="15.5703125" style="2" customWidth="1"/>
    <col min="15" max="16" width="19.5703125" style="2" customWidth="1"/>
    <col min="17" max="17" width="10.7109375" style="2" customWidth="1"/>
    <col min="18" max="18" width="12.5703125" style="2" customWidth="1"/>
    <col min="19" max="20" width="6.140625" style="2" customWidth="1"/>
    <col min="21" max="21" width="32.85546875" style="2" bestFit="1" customWidth="1"/>
    <col min="22" max="24" width="8.7109375" style="2"/>
    <col min="25" max="25" width="32.85546875" style="2" bestFit="1" customWidth="1"/>
    <col min="26" max="26" width="8.7109375" style="2"/>
    <col min="27" max="27" width="3.7109375" style="2" customWidth="1"/>
    <col min="28" max="28" width="32.85546875" style="2" bestFit="1" customWidth="1"/>
    <col min="29" max="29" width="8.140625" style="2" bestFit="1" customWidth="1"/>
    <col min="30" max="16384" width="8.7109375" style="2"/>
  </cols>
  <sheetData>
    <row r="2" spans="1:29" x14ac:dyDescent="0.2">
      <c r="U2" s="166" t="s">
        <v>20</v>
      </c>
      <c r="V2" s="167" t="s">
        <v>813</v>
      </c>
      <c r="Y2" s="166" t="s">
        <v>20</v>
      </c>
      <c r="Z2" s="167" t="s">
        <v>813</v>
      </c>
      <c r="AB2" s="166" t="s">
        <v>20</v>
      </c>
      <c r="AC2" s="167" t="s">
        <v>813</v>
      </c>
    </row>
    <row r="3" spans="1:29" x14ac:dyDescent="0.2">
      <c r="A3" s="168" t="s">
        <v>21</v>
      </c>
      <c r="B3" s="116" t="s">
        <v>22</v>
      </c>
      <c r="F3" s="168" t="s">
        <v>21</v>
      </c>
      <c r="G3" s="116" t="s">
        <v>22</v>
      </c>
      <c r="N3" s="160" t="s">
        <v>23</v>
      </c>
      <c r="O3" s="161" t="s">
        <v>24</v>
      </c>
      <c r="P3" s="162"/>
      <c r="Q3" s="163"/>
      <c r="U3" s="118"/>
      <c r="V3" s="117"/>
      <c r="Y3" s="118"/>
      <c r="Z3" s="117"/>
      <c r="AB3" s="118"/>
      <c r="AC3" s="117"/>
    </row>
    <row r="4" spans="1:29" x14ac:dyDescent="0.2">
      <c r="A4" s="118" t="s">
        <v>25</v>
      </c>
      <c r="B4" s="158">
        <v>6</v>
      </c>
      <c r="F4" s="158" t="s">
        <v>26</v>
      </c>
      <c r="G4" s="158">
        <v>22</v>
      </c>
      <c r="N4" s="164" t="s">
        <v>27</v>
      </c>
      <c r="O4" s="2" t="s">
        <v>26</v>
      </c>
      <c r="P4" s="2" t="s">
        <v>28</v>
      </c>
      <c r="Q4" s="117" t="s">
        <v>29</v>
      </c>
      <c r="U4" s="168" t="s">
        <v>21</v>
      </c>
      <c r="V4" s="116" t="s">
        <v>22</v>
      </c>
      <c r="Y4" s="168" t="s">
        <v>21</v>
      </c>
      <c r="Z4" s="116" t="s">
        <v>22</v>
      </c>
      <c r="AB4" s="168" t="s">
        <v>21</v>
      </c>
      <c r="AC4" s="116" t="s">
        <v>22</v>
      </c>
    </row>
    <row r="5" spans="1:29" x14ac:dyDescent="0.2">
      <c r="A5" s="158" t="s">
        <v>30</v>
      </c>
      <c r="B5" s="174">
        <v>21</v>
      </c>
      <c r="F5" s="159" t="s">
        <v>28</v>
      </c>
      <c r="G5" s="174">
        <v>40</v>
      </c>
      <c r="N5" s="172">
        <v>46204</v>
      </c>
      <c r="O5" s="2">
        <v>1</v>
      </c>
      <c r="Q5" s="117">
        <v>1</v>
      </c>
      <c r="U5" s="118" t="s">
        <v>25</v>
      </c>
      <c r="V5" s="158">
        <v>6</v>
      </c>
      <c r="Y5" s="118" t="s">
        <v>11</v>
      </c>
      <c r="Z5" s="158">
        <v>62</v>
      </c>
      <c r="AB5" s="118" t="s">
        <v>11</v>
      </c>
      <c r="AC5" s="158">
        <v>62</v>
      </c>
    </row>
    <row r="6" spans="1:29" x14ac:dyDescent="0.2">
      <c r="A6" s="174" t="s">
        <v>31</v>
      </c>
      <c r="B6" s="174">
        <v>3</v>
      </c>
      <c r="F6" s="116" t="s">
        <v>29</v>
      </c>
      <c r="G6" s="159">
        <v>62</v>
      </c>
      <c r="N6" s="172">
        <v>46205</v>
      </c>
      <c r="O6" s="2">
        <v>2</v>
      </c>
      <c r="P6" s="2">
        <v>3</v>
      </c>
      <c r="Q6" s="117">
        <v>5</v>
      </c>
      <c r="U6" s="158" t="s">
        <v>30</v>
      </c>
      <c r="V6" s="174">
        <v>21</v>
      </c>
      <c r="Y6" s="171" t="s">
        <v>25</v>
      </c>
      <c r="Z6" s="174">
        <v>6</v>
      </c>
      <c r="AB6" s="171" t="s">
        <v>32</v>
      </c>
      <c r="AC6" s="174">
        <v>8</v>
      </c>
    </row>
    <row r="7" spans="1:29" x14ac:dyDescent="0.2">
      <c r="A7" s="159" t="s">
        <v>33</v>
      </c>
      <c r="B7" s="174">
        <v>32</v>
      </c>
      <c r="N7" s="172">
        <v>46209</v>
      </c>
      <c r="O7" s="2">
        <v>3</v>
      </c>
      <c r="Q7" s="117">
        <v>3</v>
      </c>
      <c r="U7" s="174" t="s">
        <v>31</v>
      </c>
      <c r="V7" s="174">
        <v>3</v>
      </c>
      <c r="Y7" s="171" t="s">
        <v>30</v>
      </c>
      <c r="Z7" s="174">
        <v>21</v>
      </c>
      <c r="AB7" s="171" t="s">
        <v>34</v>
      </c>
      <c r="AC7" s="174">
        <v>9</v>
      </c>
    </row>
    <row r="8" spans="1:29" x14ac:dyDescent="0.2">
      <c r="A8" s="116" t="s">
        <v>29</v>
      </c>
      <c r="B8" s="159">
        <v>62</v>
      </c>
      <c r="N8" s="172">
        <v>46210</v>
      </c>
      <c r="P8" s="2">
        <v>4</v>
      </c>
      <c r="Q8" s="117">
        <v>4</v>
      </c>
      <c r="U8" s="159" t="s">
        <v>33</v>
      </c>
      <c r="V8" s="174">
        <v>32</v>
      </c>
      <c r="Y8" s="171" t="s">
        <v>31</v>
      </c>
      <c r="Z8" s="174">
        <v>3</v>
      </c>
      <c r="AB8" s="171" t="s">
        <v>35</v>
      </c>
      <c r="AC8" s="174">
        <v>44</v>
      </c>
    </row>
    <row r="9" spans="1:29" ht="15" x14ac:dyDescent="0.25">
      <c r="A9"/>
      <c r="B9"/>
      <c r="N9" s="172">
        <v>46211</v>
      </c>
      <c r="O9" s="2">
        <v>1</v>
      </c>
      <c r="P9" s="2">
        <v>8</v>
      </c>
      <c r="Q9" s="117">
        <v>9</v>
      </c>
      <c r="U9" s="116" t="s">
        <v>29</v>
      </c>
      <c r="V9" s="159">
        <v>62</v>
      </c>
      <c r="Y9" s="171" t="s">
        <v>33</v>
      </c>
      <c r="Z9" s="174">
        <v>32</v>
      </c>
      <c r="AB9" s="171" t="s">
        <v>36</v>
      </c>
      <c r="AC9" s="174">
        <v>1</v>
      </c>
    </row>
    <row r="10" spans="1:29" ht="15" x14ac:dyDescent="0.25">
      <c r="A10"/>
      <c r="B10"/>
      <c r="N10" s="172">
        <v>46213</v>
      </c>
      <c r="P10" s="2">
        <v>1</v>
      </c>
      <c r="Q10" s="117">
        <v>1</v>
      </c>
      <c r="U10"/>
      <c r="V10"/>
      <c r="Y10" s="116" t="s">
        <v>29</v>
      </c>
      <c r="Z10" s="159">
        <v>62</v>
      </c>
      <c r="AB10" s="116" t="s">
        <v>29</v>
      </c>
      <c r="AC10" s="159">
        <v>62</v>
      </c>
    </row>
    <row r="11" spans="1:29" ht="15" x14ac:dyDescent="0.25">
      <c r="N11" s="172">
        <v>46216</v>
      </c>
      <c r="O11" s="2">
        <v>1</v>
      </c>
      <c r="Q11" s="117">
        <v>1</v>
      </c>
      <c r="U11"/>
      <c r="V11"/>
      <c r="Y11"/>
      <c r="Z11"/>
      <c r="AB11"/>
      <c r="AC11"/>
    </row>
    <row r="12" spans="1:29" ht="15" x14ac:dyDescent="0.25">
      <c r="N12" s="172">
        <v>46217</v>
      </c>
      <c r="P12" s="2">
        <v>4</v>
      </c>
      <c r="Q12" s="117">
        <v>4</v>
      </c>
      <c r="Y12"/>
      <c r="Z12"/>
      <c r="AB12"/>
      <c r="AC12"/>
    </row>
    <row r="13" spans="1:29" ht="15" x14ac:dyDescent="0.25">
      <c r="A13" s="168" t="s">
        <v>21</v>
      </c>
      <c r="B13" s="116" t="s">
        <v>22</v>
      </c>
      <c r="F13" s="168" t="s">
        <v>21</v>
      </c>
      <c r="G13" s="116" t="s">
        <v>22</v>
      </c>
      <c r="N13" s="172">
        <v>46219</v>
      </c>
      <c r="O13" s="2">
        <v>4</v>
      </c>
      <c r="P13" s="2">
        <v>1</v>
      </c>
      <c r="Q13" s="117">
        <v>5</v>
      </c>
      <c r="Y13"/>
      <c r="Z13"/>
      <c r="AB13"/>
      <c r="AC13"/>
    </row>
    <row r="14" spans="1:29" ht="15" x14ac:dyDescent="0.25">
      <c r="A14" s="118" t="s">
        <v>32</v>
      </c>
      <c r="B14" s="158">
        <v>8</v>
      </c>
      <c r="F14" s="116" t="s">
        <v>11</v>
      </c>
      <c r="G14" s="158">
        <v>62</v>
      </c>
      <c r="N14" s="172">
        <v>46220</v>
      </c>
      <c r="O14" s="2">
        <v>1</v>
      </c>
      <c r="P14" s="2">
        <v>1</v>
      </c>
      <c r="Q14" s="117">
        <v>2</v>
      </c>
      <c r="U14" s="166" t="s">
        <v>20</v>
      </c>
      <c r="V14" s="167" t="s">
        <v>813</v>
      </c>
      <c r="Y14"/>
      <c r="Z14"/>
      <c r="AB14"/>
      <c r="AC14"/>
    </row>
    <row r="15" spans="1:29" ht="15" x14ac:dyDescent="0.25">
      <c r="A15" s="118" t="s">
        <v>34</v>
      </c>
      <c r="B15" s="174">
        <v>9</v>
      </c>
      <c r="F15" s="116" t="s">
        <v>29</v>
      </c>
      <c r="G15" s="159">
        <v>62</v>
      </c>
      <c r="N15" s="172">
        <v>46223</v>
      </c>
      <c r="O15" s="2">
        <v>1</v>
      </c>
      <c r="P15" s="2">
        <v>5</v>
      </c>
      <c r="Q15" s="117">
        <v>6</v>
      </c>
      <c r="U15" s="118"/>
      <c r="V15" s="117"/>
      <c r="Y15"/>
      <c r="Z15"/>
      <c r="AB15"/>
      <c r="AC15"/>
    </row>
    <row r="16" spans="1:29" ht="15" x14ac:dyDescent="0.25">
      <c r="A16" s="118" t="s">
        <v>35</v>
      </c>
      <c r="B16" s="174">
        <v>44</v>
      </c>
      <c r="F16"/>
      <c r="G16"/>
      <c r="N16" s="172">
        <v>46212</v>
      </c>
      <c r="P16" s="2">
        <v>1</v>
      </c>
      <c r="Q16" s="117">
        <v>1</v>
      </c>
      <c r="U16" s="168" t="s">
        <v>21</v>
      </c>
      <c r="V16" s="116" t="s">
        <v>22</v>
      </c>
      <c r="Y16"/>
      <c r="Z16"/>
      <c r="AB16"/>
      <c r="AC16"/>
    </row>
    <row r="17" spans="1:29" ht="15" x14ac:dyDescent="0.25">
      <c r="A17" s="118" t="s">
        <v>36</v>
      </c>
      <c r="B17" s="174">
        <v>1</v>
      </c>
      <c r="F17"/>
      <c r="G17"/>
      <c r="N17" s="172">
        <v>46224</v>
      </c>
      <c r="P17" s="2">
        <v>3</v>
      </c>
      <c r="Q17" s="117">
        <v>3</v>
      </c>
      <c r="U17" s="118" t="s">
        <v>32</v>
      </c>
      <c r="V17" s="158">
        <v>8</v>
      </c>
      <c r="Y17"/>
      <c r="Z17"/>
      <c r="AB17"/>
      <c r="AC17"/>
    </row>
    <row r="18" spans="1:29" ht="15" x14ac:dyDescent="0.25">
      <c r="A18" s="116" t="s">
        <v>29</v>
      </c>
      <c r="B18" s="159">
        <v>62</v>
      </c>
      <c r="F18"/>
      <c r="G18"/>
      <c r="N18" s="172">
        <v>46225</v>
      </c>
      <c r="O18" s="2">
        <v>5</v>
      </c>
      <c r="P18" s="2">
        <v>1</v>
      </c>
      <c r="Q18" s="117">
        <v>6</v>
      </c>
      <c r="U18" s="118" t="s">
        <v>34</v>
      </c>
      <c r="V18" s="174">
        <v>9</v>
      </c>
      <c r="Y18"/>
      <c r="Z18"/>
      <c r="AB18"/>
      <c r="AC18"/>
    </row>
    <row r="19" spans="1:29" ht="15" x14ac:dyDescent="0.25">
      <c r="A19"/>
      <c r="B19"/>
      <c r="F19"/>
      <c r="G19"/>
      <c r="N19" s="172">
        <v>46226</v>
      </c>
      <c r="P19" s="2">
        <v>3</v>
      </c>
      <c r="Q19" s="117">
        <v>3</v>
      </c>
      <c r="U19" s="118" t="s">
        <v>35</v>
      </c>
      <c r="V19" s="174">
        <v>44</v>
      </c>
      <c r="Y19"/>
      <c r="Z19"/>
      <c r="AB19"/>
      <c r="AC19"/>
    </row>
    <row r="20" spans="1:29" ht="15" x14ac:dyDescent="0.25">
      <c r="A20"/>
      <c r="B20"/>
      <c r="F20"/>
      <c r="G20"/>
      <c r="N20" s="172">
        <v>46230</v>
      </c>
      <c r="O20" s="2">
        <v>1</v>
      </c>
      <c r="P20" s="2">
        <v>2</v>
      </c>
      <c r="Q20" s="117">
        <v>3</v>
      </c>
      <c r="U20" s="118" t="s">
        <v>36</v>
      </c>
      <c r="V20" s="174">
        <v>1</v>
      </c>
      <c r="Y20"/>
      <c r="Z20"/>
      <c r="AB20"/>
      <c r="AC20"/>
    </row>
    <row r="21" spans="1:29" ht="15" x14ac:dyDescent="0.25">
      <c r="A21"/>
      <c r="B21"/>
      <c r="F21" s="160" t="s">
        <v>23</v>
      </c>
      <c r="G21" s="161" t="s">
        <v>24</v>
      </c>
      <c r="H21" s="162"/>
      <c r="I21" s="162"/>
      <c r="J21" s="162"/>
      <c r="K21" s="163"/>
      <c r="L21"/>
      <c r="M21"/>
      <c r="N21" s="172">
        <v>46231</v>
      </c>
      <c r="O21" s="2">
        <v>1</v>
      </c>
      <c r="P21" s="2">
        <v>2</v>
      </c>
      <c r="Q21" s="117">
        <v>3</v>
      </c>
      <c r="U21" s="116" t="s">
        <v>29</v>
      </c>
      <c r="V21" s="159">
        <v>62</v>
      </c>
      <c r="Y21"/>
      <c r="Z21"/>
      <c r="AB21"/>
      <c r="AC21"/>
    </row>
    <row r="22" spans="1:29" ht="15" x14ac:dyDescent="0.25">
      <c r="F22" s="164" t="s">
        <v>27</v>
      </c>
      <c r="G22" s="2" t="s">
        <v>35</v>
      </c>
      <c r="H22" s="2" t="s">
        <v>32</v>
      </c>
      <c r="I22" s="2" t="s">
        <v>34</v>
      </c>
      <c r="J22" s="2" t="s">
        <v>36</v>
      </c>
      <c r="K22" s="117" t="s">
        <v>29</v>
      </c>
      <c r="L22"/>
      <c r="M22"/>
      <c r="N22" s="172">
        <v>46232</v>
      </c>
      <c r="O22" s="2">
        <v>1</v>
      </c>
      <c r="P22" s="2">
        <v>1</v>
      </c>
      <c r="Q22" s="117">
        <v>2</v>
      </c>
      <c r="U22"/>
      <c r="V22"/>
      <c r="Y22"/>
      <c r="Z22"/>
      <c r="AB22"/>
      <c r="AC22"/>
    </row>
    <row r="23" spans="1:29" ht="15" x14ac:dyDescent="0.25">
      <c r="F23" s="169">
        <v>27</v>
      </c>
      <c r="G23" s="2">
        <v>4</v>
      </c>
      <c r="H23" s="2">
        <v>1</v>
      </c>
      <c r="I23" s="2">
        <v>1</v>
      </c>
      <c r="K23" s="117">
        <v>6</v>
      </c>
      <c r="L23"/>
      <c r="M23"/>
      <c r="N23" s="165" t="s">
        <v>29</v>
      </c>
      <c r="O23" s="185">
        <v>22</v>
      </c>
      <c r="P23" s="185">
        <v>40</v>
      </c>
      <c r="Q23" s="184">
        <v>62</v>
      </c>
      <c r="Y23"/>
      <c r="Z23"/>
      <c r="AB23"/>
      <c r="AC23"/>
    </row>
    <row r="24" spans="1:29" ht="15" x14ac:dyDescent="0.25">
      <c r="F24" s="169">
        <v>28</v>
      </c>
      <c r="G24" s="2">
        <v>12</v>
      </c>
      <c r="H24" s="2">
        <v>5</v>
      </c>
      <c r="I24" s="2">
        <v>1</v>
      </c>
      <c r="K24" s="117">
        <v>18</v>
      </c>
      <c r="L24"/>
      <c r="M24"/>
      <c r="N24"/>
      <c r="O24"/>
      <c r="P24"/>
      <c r="Q24"/>
      <c r="Y24"/>
      <c r="Z24"/>
      <c r="AB24"/>
      <c r="AC24"/>
    </row>
    <row r="25" spans="1:29" ht="15" x14ac:dyDescent="0.25">
      <c r="F25" s="169">
        <v>29</v>
      </c>
      <c r="G25" s="2">
        <v>8</v>
      </c>
      <c r="I25" s="2">
        <v>3</v>
      </c>
      <c r="J25" s="2">
        <v>1</v>
      </c>
      <c r="K25" s="117">
        <v>12</v>
      </c>
      <c r="L25"/>
      <c r="M25"/>
      <c r="N25"/>
      <c r="O25"/>
      <c r="P25"/>
      <c r="Q25"/>
      <c r="Y25"/>
      <c r="Z25"/>
      <c r="AB25"/>
      <c r="AC25"/>
    </row>
    <row r="26" spans="1:29" ht="15" x14ac:dyDescent="0.25">
      <c r="A26" s="168" t="s">
        <v>21</v>
      </c>
      <c r="B26" s="116" t="s">
        <v>22</v>
      </c>
      <c r="F26" s="176">
        <v>46216</v>
      </c>
      <c r="I26" s="2">
        <v>1</v>
      </c>
      <c r="K26" s="117">
        <v>1</v>
      </c>
      <c r="L26"/>
      <c r="M26"/>
      <c r="N26"/>
      <c r="O26"/>
      <c r="P26"/>
      <c r="Q26"/>
      <c r="Y26"/>
      <c r="Z26"/>
      <c r="AB26"/>
      <c r="AC26"/>
    </row>
    <row r="27" spans="1:29" ht="15" x14ac:dyDescent="0.25">
      <c r="A27" s="116" t="s">
        <v>37</v>
      </c>
      <c r="B27" s="158">
        <v>62</v>
      </c>
      <c r="F27" s="176">
        <v>46217</v>
      </c>
      <c r="G27" s="2">
        <v>2</v>
      </c>
      <c r="I27" s="2">
        <v>1</v>
      </c>
      <c r="J27" s="2">
        <v>1</v>
      </c>
      <c r="K27" s="117">
        <v>4</v>
      </c>
      <c r="L27"/>
      <c r="N27"/>
      <c r="O27"/>
      <c r="P27"/>
      <c r="Q27"/>
      <c r="Y27"/>
      <c r="Z27"/>
      <c r="AB27"/>
      <c r="AC27"/>
    </row>
    <row r="28" spans="1:29" ht="15" x14ac:dyDescent="0.25">
      <c r="A28" s="116" t="s">
        <v>29</v>
      </c>
      <c r="B28" s="159">
        <v>62</v>
      </c>
      <c r="F28" s="176">
        <v>46219</v>
      </c>
      <c r="G28" s="2">
        <v>5</v>
      </c>
      <c r="K28" s="117">
        <v>5</v>
      </c>
      <c r="L28"/>
      <c r="N28"/>
      <c r="O28"/>
      <c r="P28"/>
      <c r="Q28"/>
    </row>
    <row r="29" spans="1:29" ht="15" x14ac:dyDescent="0.25">
      <c r="A29"/>
      <c r="B29"/>
      <c r="F29" s="176">
        <v>46220</v>
      </c>
      <c r="G29" s="2">
        <v>1</v>
      </c>
      <c r="I29" s="2">
        <v>1</v>
      </c>
      <c r="K29" s="117">
        <v>2</v>
      </c>
      <c r="L29"/>
      <c r="N29"/>
      <c r="O29"/>
      <c r="P29"/>
      <c r="Q29"/>
    </row>
    <row r="30" spans="1:29" ht="15" x14ac:dyDescent="0.25">
      <c r="A30"/>
      <c r="B30"/>
      <c r="F30" s="169">
        <v>30</v>
      </c>
      <c r="G30" s="2">
        <v>12</v>
      </c>
      <c r="H30" s="2">
        <v>2</v>
      </c>
      <c r="I30" s="2">
        <v>4</v>
      </c>
      <c r="K30" s="117">
        <v>18</v>
      </c>
      <c r="L30"/>
      <c r="N30"/>
      <c r="O30"/>
      <c r="P30"/>
      <c r="Q30"/>
    </row>
    <row r="31" spans="1:29" ht="15" x14ac:dyDescent="0.25">
      <c r="A31"/>
      <c r="B31"/>
      <c r="F31" s="176">
        <v>46223</v>
      </c>
      <c r="G31" s="2">
        <v>5</v>
      </c>
      <c r="H31" s="2">
        <v>1</v>
      </c>
      <c r="K31" s="117">
        <v>6</v>
      </c>
      <c r="L31"/>
      <c r="N31"/>
      <c r="O31"/>
      <c r="P31"/>
      <c r="Q31"/>
    </row>
    <row r="32" spans="1:29" ht="15" x14ac:dyDescent="0.25">
      <c r="A32"/>
      <c r="B32"/>
      <c r="F32" s="176">
        <v>46224</v>
      </c>
      <c r="G32" s="2">
        <v>1</v>
      </c>
      <c r="H32" s="2">
        <v>1</v>
      </c>
      <c r="I32" s="2">
        <v>1</v>
      </c>
      <c r="K32" s="117">
        <v>3</v>
      </c>
      <c r="L32"/>
      <c r="N32"/>
      <c r="O32"/>
      <c r="P32"/>
      <c r="Q32"/>
    </row>
    <row r="33" spans="1:17" ht="15" x14ac:dyDescent="0.25">
      <c r="A33"/>
      <c r="B33"/>
      <c r="F33" s="176">
        <v>46225</v>
      </c>
      <c r="G33" s="2">
        <v>3</v>
      </c>
      <c r="I33" s="2">
        <v>3</v>
      </c>
      <c r="K33" s="117">
        <v>6</v>
      </c>
      <c r="L33"/>
      <c r="N33"/>
      <c r="O33"/>
      <c r="P33"/>
      <c r="Q33"/>
    </row>
    <row r="34" spans="1:17" ht="15" x14ac:dyDescent="0.25">
      <c r="A34"/>
      <c r="B34"/>
      <c r="F34" s="176">
        <v>46226</v>
      </c>
      <c r="G34" s="2">
        <v>3</v>
      </c>
      <c r="K34" s="117">
        <v>3</v>
      </c>
      <c r="L34"/>
      <c r="N34"/>
      <c r="O34"/>
      <c r="P34"/>
      <c r="Q34"/>
    </row>
    <row r="35" spans="1:17" ht="15" x14ac:dyDescent="0.25">
      <c r="F35" s="169">
        <v>31</v>
      </c>
      <c r="G35" s="2">
        <v>8</v>
      </c>
      <c r="K35" s="117">
        <v>8</v>
      </c>
      <c r="L35"/>
      <c r="N35"/>
      <c r="O35"/>
      <c r="P35"/>
      <c r="Q35"/>
    </row>
    <row r="36" spans="1:17" ht="15" x14ac:dyDescent="0.25">
      <c r="F36" s="176">
        <v>46230</v>
      </c>
      <c r="G36" s="2">
        <v>3</v>
      </c>
      <c r="K36" s="117">
        <v>3</v>
      </c>
      <c r="L36"/>
      <c r="N36"/>
      <c r="O36"/>
      <c r="P36"/>
      <c r="Q36"/>
    </row>
    <row r="37" spans="1:17" ht="15" x14ac:dyDescent="0.25">
      <c r="F37" s="176">
        <v>46231</v>
      </c>
      <c r="G37" s="2">
        <v>3</v>
      </c>
      <c r="K37" s="117">
        <v>3</v>
      </c>
      <c r="L37"/>
      <c r="N37"/>
      <c r="O37"/>
      <c r="P37"/>
      <c r="Q37"/>
    </row>
    <row r="38" spans="1:17" ht="15" x14ac:dyDescent="0.25">
      <c r="F38" s="176">
        <v>46232</v>
      </c>
      <c r="G38" s="2">
        <v>2</v>
      </c>
      <c r="K38" s="117">
        <v>2</v>
      </c>
      <c r="L38"/>
      <c r="N38"/>
      <c r="O38"/>
      <c r="P38"/>
      <c r="Q38"/>
    </row>
    <row r="39" spans="1:17" ht="15" x14ac:dyDescent="0.25">
      <c r="F39" s="170" t="s">
        <v>29</v>
      </c>
      <c r="G39" s="185">
        <v>44</v>
      </c>
      <c r="H39" s="185">
        <v>8</v>
      </c>
      <c r="I39" s="185">
        <v>9</v>
      </c>
      <c r="J39" s="185">
        <v>1</v>
      </c>
      <c r="K39" s="184">
        <v>62</v>
      </c>
      <c r="L39"/>
      <c r="N39"/>
      <c r="O39"/>
      <c r="P39"/>
      <c r="Q39"/>
    </row>
    <row r="40" spans="1:17" ht="15" x14ac:dyDescent="0.25">
      <c r="A40" s="116" t="s">
        <v>38</v>
      </c>
      <c r="B40" s="116">
        <v>40</v>
      </c>
      <c r="F40"/>
      <c r="G40"/>
      <c r="H40"/>
      <c r="I40"/>
      <c r="J40"/>
      <c r="K40"/>
      <c r="L40"/>
      <c r="N40"/>
      <c r="O40"/>
      <c r="P40"/>
      <c r="Q40"/>
    </row>
    <row r="41" spans="1:17" ht="15" x14ac:dyDescent="0.25">
      <c r="A41" s="116" t="s">
        <v>39</v>
      </c>
      <c r="B41" s="116">
        <v>29</v>
      </c>
      <c r="F41"/>
      <c r="G41"/>
      <c r="H41"/>
      <c r="I41"/>
      <c r="J41"/>
      <c r="K41"/>
      <c r="L41"/>
      <c r="N41"/>
      <c r="O41"/>
      <c r="P41"/>
      <c r="Q41"/>
    </row>
    <row r="42" spans="1:17" ht="15" x14ac:dyDescent="0.25">
      <c r="A42" s="116" t="s">
        <v>40</v>
      </c>
      <c r="B42" s="116">
        <v>65</v>
      </c>
      <c r="F42"/>
      <c r="G42"/>
      <c r="H42"/>
      <c r="I42"/>
      <c r="J42"/>
      <c r="K42"/>
      <c r="L42"/>
      <c r="N42"/>
      <c r="O42"/>
      <c r="P42"/>
      <c r="Q42"/>
    </row>
    <row r="43" spans="1:17" ht="15" x14ac:dyDescent="0.25">
      <c r="A43" s="116" t="s">
        <v>41</v>
      </c>
      <c r="B43" s="116">
        <v>31</v>
      </c>
      <c r="F43"/>
      <c r="G43"/>
      <c r="H43"/>
      <c r="I43"/>
      <c r="J43"/>
      <c r="K43"/>
      <c r="L43"/>
      <c r="N43"/>
      <c r="O43"/>
      <c r="P43"/>
      <c r="Q43"/>
    </row>
    <row r="44" spans="1:17" ht="15" x14ac:dyDescent="0.25">
      <c r="A44" s="116" t="s">
        <v>42</v>
      </c>
      <c r="B44" s="116">
        <v>36</v>
      </c>
      <c r="F44"/>
      <c r="G44"/>
      <c r="H44"/>
      <c r="I44"/>
      <c r="J44"/>
      <c r="K44"/>
      <c r="L44"/>
      <c r="N44"/>
      <c r="O44"/>
      <c r="P44"/>
      <c r="Q44"/>
    </row>
    <row r="45" spans="1:17" ht="15" x14ac:dyDescent="0.25">
      <c r="A45" s="116" t="s">
        <v>43</v>
      </c>
      <c r="B45" s="116">
        <v>42</v>
      </c>
      <c r="F45"/>
      <c r="G45"/>
      <c r="H45"/>
      <c r="I45"/>
      <c r="J45"/>
      <c r="K45"/>
      <c r="L45"/>
      <c r="N45"/>
      <c r="O45"/>
      <c r="P45"/>
      <c r="Q45"/>
    </row>
    <row r="46" spans="1:17" ht="15" x14ac:dyDescent="0.25">
      <c r="A46" s="116" t="s">
        <v>37</v>
      </c>
      <c r="B46" s="116">
        <v>62</v>
      </c>
      <c r="F46"/>
      <c r="G46"/>
      <c r="H46"/>
      <c r="I46"/>
      <c r="J46"/>
      <c r="K46"/>
      <c r="L46"/>
      <c r="N46"/>
      <c r="O46"/>
      <c r="P46"/>
      <c r="Q46"/>
    </row>
    <row r="47" spans="1:17" ht="15" x14ac:dyDescent="0.25">
      <c r="A47" s="116" t="s">
        <v>44</v>
      </c>
      <c r="B47" s="116"/>
      <c r="F47"/>
      <c r="G47"/>
      <c r="H47"/>
      <c r="I47"/>
      <c r="J47"/>
      <c r="K47"/>
      <c r="L47"/>
      <c r="N47"/>
      <c r="O47"/>
      <c r="P47"/>
      <c r="Q47"/>
    </row>
    <row r="48" spans="1:17" ht="15" x14ac:dyDescent="0.25">
      <c r="A48" s="116" t="s">
        <v>45</v>
      </c>
      <c r="B48" s="116"/>
      <c r="F48"/>
      <c r="G48"/>
      <c r="H48"/>
      <c r="I48"/>
      <c r="J48"/>
      <c r="K48"/>
      <c r="L48"/>
      <c r="N48"/>
      <c r="O48"/>
      <c r="P48"/>
      <c r="Q48"/>
    </row>
    <row r="49" spans="1:17" ht="15" x14ac:dyDescent="0.25">
      <c r="A49" s="116" t="s">
        <v>46</v>
      </c>
      <c r="B49" s="116"/>
      <c r="F49"/>
      <c r="G49"/>
      <c r="H49"/>
      <c r="I49"/>
      <c r="J49"/>
      <c r="K49"/>
      <c r="L49"/>
      <c r="N49"/>
      <c r="O49"/>
      <c r="P49"/>
      <c r="Q49"/>
    </row>
    <row r="50" spans="1:17" ht="15" x14ac:dyDescent="0.25">
      <c r="A50" s="116" t="s">
        <v>47</v>
      </c>
      <c r="B50" s="116"/>
      <c r="F50"/>
      <c r="G50"/>
      <c r="H50"/>
      <c r="I50"/>
      <c r="J50"/>
      <c r="K50"/>
      <c r="L50"/>
      <c r="N50"/>
      <c r="O50"/>
      <c r="P50"/>
      <c r="Q50"/>
    </row>
    <row r="51" spans="1:17" ht="15" x14ac:dyDescent="0.25">
      <c r="A51" s="116" t="s">
        <v>48</v>
      </c>
      <c r="B51" s="116"/>
      <c r="F51"/>
      <c r="G51"/>
      <c r="H51"/>
      <c r="I51"/>
      <c r="J51"/>
      <c r="K51"/>
      <c r="L51"/>
      <c r="N51"/>
      <c r="O51"/>
      <c r="P51"/>
      <c r="Q51"/>
    </row>
    <row r="52" spans="1:17" ht="15" x14ac:dyDescent="0.25">
      <c r="F52"/>
      <c r="G52"/>
      <c r="H52"/>
      <c r="I52"/>
      <c r="J52"/>
      <c r="K52"/>
      <c r="L52"/>
      <c r="N52"/>
      <c r="O52"/>
      <c r="P52"/>
      <c r="Q52"/>
    </row>
    <row r="53" spans="1:17" ht="15" x14ac:dyDescent="0.25">
      <c r="F53"/>
      <c r="G53"/>
      <c r="H53"/>
      <c r="I53"/>
      <c r="J53"/>
      <c r="K53"/>
      <c r="L53"/>
      <c r="N53"/>
      <c r="O53"/>
      <c r="P53"/>
      <c r="Q53"/>
    </row>
    <row r="54" spans="1:17" ht="15" x14ac:dyDescent="0.25">
      <c r="F54"/>
      <c r="G54"/>
      <c r="H54"/>
      <c r="I54"/>
      <c r="J54"/>
      <c r="K54"/>
      <c r="L54"/>
      <c r="N54"/>
      <c r="O54"/>
      <c r="P54"/>
      <c r="Q54"/>
    </row>
    <row r="55" spans="1:17" ht="15" x14ac:dyDescent="0.25">
      <c r="F55"/>
      <c r="G55"/>
      <c r="H55"/>
      <c r="I55"/>
      <c r="J55"/>
      <c r="K55"/>
      <c r="L55"/>
      <c r="N55"/>
      <c r="O55"/>
      <c r="P55"/>
      <c r="Q55"/>
    </row>
    <row r="56" spans="1:17" ht="15" x14ac:dyDescent="0.25">
      <c r="A56" s="160" t="s">
        <v>23</v>
      </c>
      <c r="B56" s="161" t="s">
        <v>24</v>
      </c>
      <c r="C56" s="162"/>
      <c r="D56" s="163"/>
      <c r="F56"/>
      <c r="G56"/>
      <c r="H56"/>
      <c r="I56"/>
      <c r="J56"/>
      <c r="K56"/>
      <c r="L56"/>
      <c r="N56"/>
      <c r="O56"/>
      <c r="P56"/>
      <c r="Q56"/>
    </row>
    <row r="57" spans="1:17" ht="15" x14ac:dyDescent="0.25">
      <c r="A57" s="164" t="s">
        <v>27</v>
      </c>
      <c r="B57" s="2" t="s">
        <v>26</v>
      </c>
      <c r="C57" s="2" t="s">
        <v>28</v>
      </c>
      <c r="D57" s="117" t="s">
        <v>29</v>
      </c>
      <c r="F57"/>
      <c r="G57"/>
      <c r="H57"/>
      <c r="I57"/>
      <c r="J57"/>
      <c r="K57"/>
      <c r="L57"/>
      <c r="N57"/>
      <c r="O57"/>
      <c r="P57"/>
      <c r="Q57"/>
    </row>
    <row r="58" spans="1:17" ht="15" x14ac:dyDescent="0.25">
      <c r="A58" s="169">
        <v>27</v>
      </c>
      <c r="B58" s="2">
        <v>3</v>
      </c>
      <c r="C58" s="2">
        <v>3</v>
      </c>
      <c r="D58" s="117">
        <v>6</v>
      </c>
      <c r="F58"/>
      <c r="G58"/>
      <c r="H58"/>
      <c r="I58"/>
      <c r="J58"/>
      <c r="K58"/>
      <c r="L58"/>
      <c r="N58"/>
      <c r="O58"/>
      <c r="P58"/>
      <c r="Q58"/>
    </row>
    <row r="59" spans="1:17" ht="15" x14ac:dyDescent="0.25">
      <c r="A59" s="169">
        <v>28</v>
      </c>
      <c r="B59" s="2">
        <v>4</v>
      </c>
      <c r="C59" s="2">
        <v>14</v>
      </c>
      <c r="D59" s="117">
        <v>18</v>
      </c>
      <c r="F59"/>
      <c r="G59"/>
      <c r="H59"/>
      <c r="I59"/>
      <c r="J59"/>
      <c r="K59"/>
      <c r="L59"/>
      <c r="N59"/>
      <c r="O59"/>
      <c r="P59"/>
      <c r="Q59"/>
    </row>
    <row r="60" spans="1:17" ht="15" x14ac:dyDescent="0.25">
      <c r="A60" s="169">
        <v>29</v>
      </c>
      <c r="B60" s="2">
        <v>6</v>
      </c>
      <c r="C60" s="2">
        <v>6</v>
      </c>
      <c r="D60" s="117">
        <v>12</v>
      </c>
      <c r="F60"/>
      <c r="G60"/>
      <c r="H60"/>
      <c r="I60"/>
      <c r="J60"/>
      <c r="K60"/>
      <c r="L60"/>
      <c r="N60"/>
      <c r="O60"/>
      <c r="P60"/>
      <c r="Q60"/>
    </row>
    <row r="61" spans="1:17" ht="15" x14ac:dyDescent="0.25">
      <c r="A61" s="169">
        <v>30</v>
      </c>
      <c r="B61" s="2">
        <v>6</v>
      </c>
      <c r="C61" s="2">
        <v>12</v>
      </c>
      <c r="D61" s="117">
        <v>18</v>
      </c>
      <c r="F61"/>
      <c r="G61"/>
      <c r="H61"/>
      <c r="I61"/>
      <c r="J61"/>
      <c r="K61"/>
      <c r="L61"/>
      <c r="N61"/>
      <c r="O61"/>
      <c r="P61"/>
      <c r="Q61"/>
    </row>
    <row r="62" spans="1:17" ht="15" x14ac:dyDescent="0.25">
      <c r="A62" s="169">
        <v>31</v>
      </c>
      <c r="B62" s="2">
        <v>3</v>
      </c>
      <c r="C62" s="2">
        <v>5</v>
      </c>
      <c r="D62" s="117">
        <v>8</v>
      </c>
      <c r="F62"/>
      <c r="G62"/>
      <c r="H62"/>
      <c r="I62"/>
      <c r="J62"/>
      <c r="N62"/>
      <c r="O62"/>
      <c r="P62"/>
      <c r="Q62"/>
    </row>
    <row r="63" spans="1:17" ht="15" x14ac:dyDescent="0.25">
      <c r="A63" s="170" t="s">
        <v>29</v>
      </c>
      <c r="B63" s="185">
        <v>22</v>
      </c>
      <c r="C63" s="185">
        <v>40</v>
      </c>
      <c r="D63" s="184">
        <v>62</v>
      </c>
      <c r="F63"/>
      <c r="G63"/>
      <c r="H63"/>
      <c r="I63"/>
      <c r="J63"/>
      <c r="N63"/>
      <c r="O63"/>
      <c r="P63"/>
      <c r="Q63"/>
    </row>
    <row r="64" spans="1:17" ht="15" x14ac:dyDescent="0.25">
      <c r="A64"/>
      <c r="B64"/>
      <c r="C64"/>
      <c r="D64"/>
      <c r="F64"/>
      <c r="G64"/>
      <c r="H64"/>
      <c r="I64"/>
      <c r="J64"/>
      <c r="N64"/>
      <c r="O64"/>
      <c r="P64"/>
      <c r="Q64"/>
    </row>
    <row r="65" spans="1:17" ht="15" x14ac:dyDescent="0.25">
      <c r="A65"/>
      <c r="B65"/>
      <c r="C65"/>
      <c r="D65"/>
      <c r="N65"/>
      <c r="O65"/>
      <c r="P65"/>
      <c r="Q65"/>
    </row>
    <row r="66" spans="1:17" ht="15" x14ac:dyDescent="0.25">
      <c r="A66"/>
      <c r="B66"/>
      <c r="C66"/>
      <c r="D66"/>
      <c r="N66"/>
      <c r="O66"/>
      <c r="P66"/>
      <c r="Q66"/>
    </row>
    <row r="67" spans="1:17" ht="15" x14ac:dyDescent="0.25">
      <c r="A67"/>
      <c r="B67"/>
      <c r="C67"/>
      <c r="D67"/>
      <c r="N67"/>
      <c r="O67"/>
      <c r="P67"/>
      <c r="Q67"/>
    </row>
    <row r="68" spans="1:17" ht="15" x14ac:dyDescent="0.25">
      <c r="A68"/>
      <c r="B68"/>
      <c r="C68"/>
      <c r="D68"/>
      <c r="N68"/>
      <c r="O68"/>
      <c r="P68"/>
      <c r="Q68"/>
    </row>
    <row r="69" spans="1:17" ht="15" x14ac:dyDescent="0.25">
      <c r="A69"/>
      <c r="B69"/>
      <c r="C69"/>
      <c r="D69"/>
      <c r="N69"/>
      <c r="O69"/>
      <c r="P69"/>
      <c r="Q69"/>
    </row>
    <row r="70" spans="1:17" ht="15" x14ac:dyDescent="0.25">
      <c r="A70"/>
      <c r="B70"/>
      <c r="C70"/>
      <c r="D70"/>
      <c r="N70"/>
      <c r="O70"/>
      <c r="P70"/>
      <c r="Q70"/>
    </row>
    <row r="71" spans="1:17" ht="15" x14ac:dyDescent="0.25">
      <c r="A71"/>
      <c r="B71"/>
      <c r="C71"/>
      <c r="D71"/>
      <c r="N71"/>
      <c r="O71"/>
      <c r="P71"/>
      <c r="Q71"/>
    </row>
    <row r="72" spans="1:17" ht="15" x14ac:dyDescent="0.25">
      <c r="A72"/>
      <c r="B72"/>
      <c r="C72"/>
      <c r="D72"/>
      <c r="N72"/>
      <c r="O72"/>
      <c r="P72"/>
      <c r="Q72"/>
    </row>
    <row r="73" spans="1:17" ht="15" x14ac:dyDescent="0.25">
      <c r="A73"/>
      <c r="B73"/>
      <c r="C73"/>
      <c r="D73"/>
      <c r="N73"/>
      <c r="O73"/>
      <c r="P73"/>
      <c r="Q73"/>
    </row>
    <row r="74" spans="1:17" ht="15" x14ac:dyDescent="0.25">
      <c r="A74"/>
      <c r="B74"/>
      <c r="C74"/>
      <c r="D74"/>
      <c r="N74"/>
      <c r="O74"/>
      <c r="P74"/>
      <c r="Q74"/>
    </row>
    <row r="75" spans="1:17" ht="15" x14ac:dyDescent="0.25">
      <c r="A75"/>
      <c r="B75"/>
      <c r="C75"/>
      <c r="D75"/>
      <c r="N75"/>
      <c r="O75"/>
      <c r="P75"/>
      <c r="Q75"/>
    </row>
    <row r="76" spans="1:17" ht="15" x14ac:dyDescent="0.25">
      <c r="A76"/>
      <c r="B76"/>
      <c r="C76"/>
      <c r="D76"/>
      <c r="N76"/>
      <c r="O76"/>
      <c r="P76"/>
      <c r="Q76"/>
    </row>
    <row r="77" spans="1:17" ht="15" x14ac:dyDescent="0.25">
      <c r="A77"/>
      <c r="B77"/>
      <c r="C77"/>
      <c r="D77"/>
      <c r="N77"/>
      <c r="O77"/>
      <c r="P77"/>
      <c r="Q77"/>
    </row>
    <row r="78" spans="1:17" ht="15" x14ac:dyDescent="0.25">
      <c r="A78"/>
      <c r="B78"/>
      <c r="C78"/>
      <c r="D78"/>
      <c r="N78"/>
      <c r="O78"/>
      <c r="P78"/>
      <c r="Q78"/>
    </row>
    <row r="79" spans="1:17" ht="15" x14ac:dyDescent="0.25">
      <c r="A79"/>
      <c r="B79"/>
      <c r="C79"/>
      <c r="D79"/>
      <c r="N79"/>
      <c r="O79"/>
      <c r="P79"/>
      <c r="Q79"/>
    </row>
    <row r="80" spans="1:17" ht="15" x14ac:dyDescent="0.25">
      <c r="A80"/>
      <c r="B80"/>
      <c r="C80"/>
      <c r="D80"/>
      <c r="N80"/>
      <c r="O80"/>
      <c r="P80"/>
      <c r="Q80"/>
    </row>
    <row r="81" spans="1:17" ht="15" x14ac:dyDescent="0.25">
      <c r="A81"/>
      <c r="B81"/>
      <c r="C81"/>
      <c r="D81"/>
      <c r="N81"/>
      <c r="O81"/>
      <c r="P81"/>
      <c r="Q81"/>
    </row>
    <row r="82" spans="1:17" ht="15" x14ac:dyDescent="0.25">
      <c r="A82"/>
      <c r="B82"/>
      <c r="C82"/>
      <c r="D82"/>
      <c r="N82"/>
      <c r="O82"/>
      <c r="P82"/>
      <c r="Q82"/>
    </row>
    <row r="83" spans="1:17" ht="15" x14ac:dyDescent="0.25">
      <c r="A83"/>
      <c r="B83"/>
      <c r="C83"/>
      <c r="D83"/>
      <c r="N83"/>
      <c r="O83"/>
      <c r="P83"/>
      <c r="Q83"/>
    </row>
    <row r="84" spans="1:17" ht="15" x14ac:dyDescent="0.25">
      <c r="A84"/>
      <c r="B84"/>
      <c r="C84"/>
      <c r="D84"/>
      <c r="N84"/>
      <c r="O84"/>
      <c r="P84"/>
      <c r="Q84"/>
    </row>
    <row r="85" spans="1:17" ht="15" x14ac:dyDescent="0.25">
      <c r="A85"/>
      <c r="B85"/>
      <c r="C85"/>
      <c r="D85"/>
      <c r="N85"/>
      <c r="O85"/>
      <c r="P85"/>
      <c r="Q85"/>
    </row>
    <row r="86" spans="1:17" ht="15" x14ac:dyDescent="0.25">
      <c r="A86"/>
      <c r="B86"/>
      <c r="C86"/>
      <c r="D86"/>
      <c r="N86"/>
      <c r="O86"/>
      <c r="P86"/>
      <c r="Q86"/>
    </row>
    <row r="87" spans="1:17" ht="15" x14ac:dyDescent="0.25">
      <c r="A87"/>
      <c r="B87"/>
      <c r="C87"/>
      <c r="D87"/>
      <c r="N87"/>
      <c r="O87"/>
      <c r="P87"/>
      <c r="Q87"/>
    </row>
    <row r="88" spans="1:17" ht="15" x14ac:dyDescent="0.25">
      <c r="A88"/>
      <c r="B88"/>
      <c r="C88"/>
      <c r="D88"/>
      <c r="N88"/>
      <c r="O88"/>
      <c r="P88"/>
      <c r="Q88"/>
    </row>
    <row r="89" spans="1:17" ht="15" x14ac:dyDescent="0.25">
      <c r="N89"/>
      <c r="O89"/>
      <c r="P89"/>
      <c r="Q89"/>
    </row>
    <row r="90" spans="1:17" ht="15" x14ac:dyDescent="0.25">
      <c r="N90"/>
      <c r="O90"/>
      <c r="P90"/>
      <c r="Q90"/>
    </row>
    <row r="91" spans="1:17" ht="15" x14ac:dyDescent="0.25">
      <c r="N91"/>
      <c r="O91"/>
      <c r="P91"/>
      <c r="Q91"/>
    </row>
    <row r="92" spans="1:17" ht="15" x14ac:dyDescent="0.25">
      <c r="N92"/>
      <c r="O92"/>
      <c r="P92"/>
      <c r="Q92"/>
    </row>
    <row r="93" spans="1:17" ht="15" x14ac:dyDescent="0.25">
      <c r="N93"/>
      <c r="O93"/>
      <c r="P93"/>
      <c r="Q93"/>
    </row>
    <row r="94" spans="1:17" ht="15" x14ac:dyDescent="0.25">
      <c r="N94"/>
      <c r="O94"/>
      <c r="P94"/>
      <c r="Q94"/>
    </row>
    <row r="95" spans="1:17" ht="15" x14ac:dyDescent="0.25">
      <c r="N95"/>
      <c r="O95"/>
      <c r="P95"/>
      <c r="Q95"/>
    </row>
    <row r="96" spans="1:17" ht="15" x14ac:dyDescent="0.25">
      <c r="N96"/>
      <c r="O96"/>
      <c r="P96"/>
      <c r="Q96"/>
    </row>
    <row r="97" spans="14:17" ht="15" x14ac:dyDescent="0.25">
      <c r="N97"/>
      <c r="O97"/>
      <c r="P97"/>
      <c r="Q97"/>
    </row>
    <row r="98" spans="14:17" ht="15" x14ac:dyDescent="0.25">
      <c r="N98"/>
      <c r="O98"/>
      <c r="P98"/>
      <c r="Q98"/>
    </row>
    <row r="99" spans="14:17" ht="15" x14ac:dyDescent="0.25">
      <c r="N99"/>
      <c r="O99"/>
      <c r="P99"/>
      <c r="Q99"/>
    </row>
    <row r="100" spans="14:17" ht="15" x14ac:dyDescent="0.25">
      <c r="N100"/>
      <c r="O100"/>
      <c r="P100"/>
      <c r="Q100"/>
    </row>
    <row r="101" spans="14:17" ht="15" x14ac:dyDescent="0.25">
      <c r="N101"/>
      <c r="O101"/>
      <c r="P101"/>
      <c r="Q101"/>
    </row>
    <row r="102" spans="14:17" ht="15" x14ac:dyDescent="0.25">
      <c r="N102"/>
      <c r="O102"/>
      <c r="P102"/>
      <c r="Q102"/>
    </row>
    <row r="103" spans="14:17" ht="15" x14ac:dyDescent="0.25">
      <c r="N103"/>
      <c r="O103"/>
      <c r="P103"/>
      <c r="Q103"/>
    </row>
    <row r="104" spans="14:17" ht="15" x14ac:dyDescent="0.25">
      <c r="N104"/>
      <c r="O104"/>
      <c r="P104"/>
      <c r="Q104"/>
    </row>
    <row r="105" spans="14:17" ht="15" x14ac:dyDescent="0.25">
      <c r="N105"/>
      <c r="O105"/>
      <c r="P105"/>
      <c r="Q105"/>
    </row>
    <row r="106" spans="14:17" ht="15" x14ac:dyDescent="0.25">
      <c r="N106"/>
      <c r="O106"/>
      <c r="P106"/>
      <c r="Q106"/>
    </row>
    <row r="107" spans="14:17" ht="15" x14ac:dyDescent="0.25">
      <c r="N107"/>
      <c r="O107"/>
      <c r="P107"/>
      <c r="Q107"/>
    </row>
    <row r="108" spans="14:17" ht="15" x14ac:dyDescent="0.25">
      <c r="N108"/>
      <c r="O108"/>
      <c r="P108"/>
      <c r="Q108"/>
    </row>
    <row r="109" spans="14:17" ht="15" x14ac:dyDescent="0.25">
      <c r="N109"/>
      <c r="O109"/>
      <c r="P109"/>
      <c r="Q109"/>
    </row>
    <row r="110" spans="14:17" ht="15" x14ac:dyDescent="0.25">
      <c r="N110"/>
      <c r="O110"/>
      <c r="P110"/>
      <c r="Q110"/>
    </row>
  </sheetData>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5">
    <pageSetUpPr fitToPage="1"/>
  </sheetPr>
  <dimension ref="A1:F36"/>
  <sheetViews>
    <sheetView showGridLines="0" zoomScale="140" zoomScaleNormal="140" workbookViewId="0">
      <selection activeCell="B6" sqref="B6:C6"/>
    </sheetView>
  </sheetViews>
  <sheetFormatPr defaultColWidth="0" defaultRowHeight="12" customHeight="1" x14ac:dyDescent="0.25"/>
  <cols>
    <col min="1" max="1" width="1.7109375" customWidth="1"/>
    <col min="2" max="2" width="42.5703125" customWidth="1"/>
    <col min="3" max="3" width="70.140625" customWidth="1"/>
    <col min="4" max="4" width="4.42578125" customWidth="1"/>
    <col min="5" max="16384" width="9.140625" hidden="1"/>
  </cols>
  <sheetData>
    <row r="1" spans="1:6" s="8" customFormat="1" ht="51" customHeight="1" x14ac:dyDescent="0.2"/>
    <row r="2" spans="1:6" s="8" customFormat="1" ht="22.5" customHeight="1" x14ac:dyDescent="0.2">
      <c r="B2" s="18" t="s">
        <v>49</v>
      </c>
      <c r="C2" s="21" t="str">
        <f>CONCATENATE("OCORRÊNCIA ",C8," / NF: ",C27," / ",C10," (",C9,")")</f>
        <v>OCORRÊNCIA 681 / NF: 1590171-9 / BR0442185 (PROCEDENTE)</v>
      </c>
    </row>
    <row r="3" spans="1:6" s="8" customFormat="1" ht="12.75" x14ac:dyDescent="0.2">
      <c r="B3" s="18" t="s">
        <v>50</v>
      </c>
      <c r="C3" s="19" t="str">
        <f>VLOOKUP(C10,Hierarquia!A:R,17,0)</f>
        <v>PAULO.LUCIANO@bat.com; henrique_tonete_michelao@bat.com</v>
      </c>
    </row>
    <row r="4" spans="1:6" s="8" customFormat="1" ht="12.75" x14ac:dyDescent="0.2">
      <c r="B4" s="18" t="s">
        <v>51</v>
      </c>
      <c r="C4" s="20" t="str">
        <f>VLOOKUP(C10,Hierarquia!A:R,18,0)</f>
        <v>EstoqueCDCuritiba@bat.onmicrosoft.com; diogo.deus@emergentcold.com; felipe.aguiar@emergentcold.com ; james.balbino@emergentcold.com ; celso.oliveira@emergentcold.com; juan.pereira@emergentcold.com</v>
      </c>
    </row>
    <row r="5" spans="1:6" s="8" customFormat="1" ht="22.5" customHeight="1" x14ac:dyDescent="0.2"/>
    <row r="6" spans="1:6" s="8" customFormat="1" ht="30.75" customHeight="1" x14ac:dyDescent="0.2">
      <c r="B6" s="191" t="s">
        <v>52</v>
      </c>
      <c r="C6" s="191"/>
    </row>
    <row r="7" spans="1:6" s="8" customFormat="1" ht="36" customHeight="1" x14ac:dyDescent="0.2">
      <c r="A7" s="6"/>
      <c r="B7" s="197" t="s">
        <v>53</v>
      </c>
      <c r="C7" s="198"/>
    </row>
    <row r="8" spans="1:6" s="8" customFormat="1" ht="15" x14ac:dyDescent="0.2">
      <c r="A8" s="6"/>
      <c r="B8" s="9" t="s">
        <v>54</v>
      </c>
      <c r="C8" s="24">
        <v>681</v>
      </c>
      <c r="F8" s="8" t="s">
        <v>33</v>
      </c>
    </row>
    <row r="9" spans="1:6" s="8" customFormat="1" ht="15.75" x14ac:dyDescent="0.2">
      <c r="A9" s="6"/>
      <c r="B9" s="10" t="s">
        <v>55</v>
      </c>
      <c r="C9" s="7" t="str">
        <f>IFERROR(VLOOKUP(C27,Base!A:B,2,0),)</f>
        <v>PROCEDENTE</v>
      </c>
      <c r="F9" s="8" t="s">
        <v>30</v>
      </c>
    </row>
    <row r="10" spans="1:6" s="8" customFormat="1" ht="12.75" x14ac:dyDescent="0.2">
      <c r="A10" s="6"/>
      <c r="B10" s="10" t="s">
        <v>56</v>
      </c>
      <c r="C10" s="11" t="str">
        <f>IFERROR(VLOOKUP(C8,Base!P:U,6,0),"-")</f>
        <v>BR0442185</v>
      </c>
    </row>
    <row r="11" spans="1:6" s="8" customFormat="1" ht="12.75" x14ac:dyDescent="0.2">
      <c r="A11" s="6"/>
      <c r="B11" s="10" t="s">
        <v>57</v>
      </c>
      <c r="C11" s="11" t="str">
        <f>IFERROR(VLOOKUP(C10,Hierarquia!A:F,6,0),"-")</f>
        <v>BAT</v>
      </c>
    </row>
    <row r="12" spans="1:6" s="8" customFormat="1" ht="12.75" x14ac:dyDescent="0.2">
      <c r="A12" s="6"/>
      <c r="B12" s="10" t="s">
        <v>58</v>
      </c>
      <c r="C12" s="12" t="str">
        <f>IFERROR(VLOOKUP(C8,Base!P:Z,10,0),"-")</f>
        <v>Falta</v>
      </c>
    </row>
    <row r="13" spans="1:6" s="8" customFormat="1" ht="12.75" x14ac:dyDescent="0.2">
      <c r="A13" s="6"/>
      <c r="B13" s="10" t="s">
        <v>59</v>
      </c>
      <c r="C13" s="12">
        <f>IFERROR(VLOOKUP(C8,Base!P:Y,2,0),"-")</f>
        <v>46231</v>
      </c>
    </row>
    <row r="14" spans="1:6" s="8" customFormat="1" ht="12" customHeight="1" x14ac:dyDescent="0.2">
      <c r="A14" s="6"/>
      <c r="B14" s="192" t="s">
        <v>60</v>
      </c>
      <c r="C14" s="13" t="s">
        <v>61</v>
      </c>
    </row>
    <row r="15" spans="1:6" s="8" customFormat="1" ht="12" customHeight="1" x14ac:dyDescent="0.2">
      <c r="A15" s="6"/>
      <c r="B15" s="193"/>
      <c r="C15" s="199">
        <f>IFERROR(VLOOKUP(C8,Base!P:AB,12,0),"-")</f>
        <v>0</v>
      </c>
    </row>
    <row r="16" spans="1:6" s="8" customFormat="1" ht="12" customHeight="1" x14ac:dyDescent="0.2">
      <c r="A16" s="6"/>
      <c r="B16" s="193"/>
      <c r="C16" s="199"/>
    </row>
    <row r="17" spans="1:3" s="8" customFormat="1" ht="12" customHeight="1" x14ac:dyDescent="0.2">
      <c r="A17" s="6"/>
      <c r="B17" s="193"/>
      <c r="C17" s="199"/>
    </row>
    <row r="18" spans="1:3" s="8" customFormat="1" ht="12" customHeight="1" x14ac:dyDescent="0.2">
      <c r="A18" s="6"/>
      <c r="B18" s="193"/>
      <c r="C18" s="14" t="s">
        <v>62</v>
      </c>
    </row>
    <row r="19" spans="1:3" s="8" customFormat="1" ht="12" customHeight="1" x14ac:dyDescent="0.2">
      <c r="A19" s="6"/>
      <c r="B19" s="193"/>
      <c r="C19" s="200" t="str">
        <f>IFERROR(VLOOKUP(C8,Base!P:AA,11,0),"-")</f>
        <v>10 pacotes de dunhil voragem duble refresh</v>
      </c>
    </row>
    <row r="20" spans="1:3" s="8" customFormat="1" ht="12" customHeight="1" x14ac:dyDescent="0.2">
      <c r="A20" s="6"/>
      <c r="B20" s="193"/>
      <c r="C20" s="201"/>
    </row>
    <row r="21" spans="1:3" s="8" customFormat="1" ht="12" customHeight="1" x14ac:dyDescent="0.2">
      <c r="A21" s="6"/>
      <c r="B21" s="193"/>
      <c r="C21" s="202"/>
    </row>
    <row r="22" spans="1:3" s="8" customFormat="1" ht="12" customHeight="1" x14ac:dyDescent="0.2">
      <c r="A22" s="6"/>
      <c r="B22" s="193"/>
      <c r="C22" s="15" t="s">
        <v>63</v>
      </c>
    </row>
    <row r="23" spans="1:3" s="8" customFormat="1" ht="12" customHeight="1" x14ac:dyDescent="0.2">
      <c r="A23" s="6"/>
      <c r="B23" s="193"/>
      <c r="C23" s="203">
        <f>IFERROR(VLOOKUP(C8,Base!P:AC,12,0),"-")</f>
        <v>0</v>
      </c>
    </row>
    <row r="24" spans="1:3" s="8" customFormat="1" ht="12" customHeight="1" x14ac:dyDescent="0.2">
      <c r="A24" s="6"/>
      <c r="B24" s="193"/>
      <c r="C24" s="204"/>
    </row>
    <row r="25" spans="1:3" s="8" customFormat="1" ht="12" customHeight="1" x14ac:dyDescent="0.2">
      <c r="A25" s="6"/>
      <c r="B25" s="194"/>
      <c r="C25" s="205"/>
    </row>
    <row r="26" spans="1:3" s="8" customFormat="1" ht="14.1" customHeight="1" x14ac:dyDescent="0.2">
      <c r="A26" s="6"/>
      <c r="B26" s="10" t="s">
        <v>64</v>
      </c>
      <c r="C26" s="16">
        <f>IFERROR(VLOOKUP(C8,Base!P:AH,15,0),"")</f>
        <v>0</v>
      </c>
    </row>
    <row r="27" spans="1:3" s="8" customFormat="1" ht="14.1" customHeight="1" x14ac:dyDescent="0.2">
      <c r="A27" s="6"/>
      <c r="B27" s="10" t="s">
        <v>65</v>
      </c>
      <c r="C27" s="17" t="str">
        <f>IFERROR(VLOOKUP(C8,Base!P:X,8,0),"-")</f>
        <v>1590171-9</v>
      </c>
    </row>
    <row r="28" spans="1:3" s="8" customFormat="1" ht="14.1" customHeight="1" x14ac:dyDescent="0.2">
      <c r="A28" s="6"/>
      <c r="B28" s="10" t="s">
        <v>66</v>
      </c>
      <c r="C28" s="17">
        <f>IFERROR(VLOOKUP(C8,Base!P:Y,9,0),"-")</f>
        <v>6878288670</v>
      </c>
    </row>
    <row r="29" spans="1:3" s="8" customFormat="1" ht="12.75" x14ac:dyDescent="0.2">
      <c r="A29" s="6"/>
      <c r="B29" s="10" t="s">
        <v>67</v>
      </c>
      <c r="C29" s="22">
        <f>IFERROR(VLOOKUP(C8,Base!P:AK,19,0),"-")</f>
        <v>0</v>
      </c>
    </row>
    <row r="30" spans="1:3" s="8" customFormat="1" ht="12.95" customHeight="1" x14ac:dyDescent="0.2">
      <c r="A30" s="6"/>
      <c r="B30" s="195"/>
      <c r="C30" s="196"/>
    </row>
    <row r="31" spans="1:3" s="8" customFormat="1" ht="12" customHeight="1" x14ac:dyDescent="0.2">
      <c r="B31" s="187"/>
      <c r="C31" s="188"/>
    </row>
    <row r="32" spans="1:3" s="8" customFormat="1" ht="12" customHeight="1" x14ac:dyDescent="0.2">
      <c r="B32" s="189"/>
      <c r="C32" s="190"/>
    </row>
    <row r="33" spans="2:3" ht="12" customHeight="1" thickBot="1" x14ac:dyDescent="0.3">
      <c r="B33" s="186" t="s">
        <v>68</v>
      </c>
      <c r="C33" s="186"/>
    </row>
    <row r="34" spans="2:3" ht="18" customHeight="1" thickBot="1" x14ac:dyDescent="0.3">
      <c r="B34" s="26" t="str">
        <f>_xlfn.CONCAT("RESPONSÁVEL PELA RETIRADA ",C11)</f>
        <v>RESPONSÁVEL PELA RETIRADA BAT</v>
      </c>
      <c r="C34" s="27" t="s">
        <v>69</v>
      </c>
    </row>
    <row r="35" spans="2:3" ht="21" customHeight="1" thickBot="1" x14ac:dyDescent="0.3">
      <c r="B35" s="25" t="s">
        <v>70</v>
      </c>
      <c r="C35" s="25" t="s">
        <v>70</v>
      </c>
    </row>
    <row r="36" spans="2:3" ht="55.5" customHeight="1" thickBot="1" x14ac:dyDescent="0.3">
      <c r="B36" s="26" t="s">
        <v>71</v>
      </c>
      <c r="C36" s="26" t="s">
        <v>72</v>
      </c>
    </row>
  </sheetData>
  <mergeCells count="9">
    <mergeCell ref="B33:C33"/>
    <mergeCell ref="B31:C32"/>
    <mergeCell ref="B6:C6"/>
    <mergeCell ref="B14:B25"/>
    <mergeCell ref="B30:C30"/>
    <mergeCell ref="B7:C7"/>
    <mergeCell ref="C15:C17"/>
    <mergeCell ref="C19:C21"/>
    <mergeCell ref="C23:C25"/>
  </mergeCells>
  <phoneticPr fontId="4" type="noConversion"/>
  <conditionalFormatting sqref="C9">
    <cfRule type="cellIs" dxfId="1" priority="1" operator="equal">
      <formula>"IMPROCEDENTE"</formula>
    </cfRule>
    <cfRule type="cellIs" dxfId="0" priority="2" operator="equal">
      <formula>"PROCEDENTE"</formula>
    </cfRule>
  </conditionalFormatting>
  <pageMargins left="0" right="0" top="0" bottom="0" header="0" footer="0"/>
  <pageSetup scale="93" orientation="landscape"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12"/>
  <dimension ref="A2:AO308"/>
  <sheetViews>
    <sheetView showGridLines="0" tabSelected="1" zoomScale="80" zoomScaleNormal="80" workbookViewId="0">
      <pane ySplit="2" topLeftCell="A177" activePane="bottomLeft" state="frozen"/>
      <selection pane="bottomLeft" activeCell="K2" sqref="K2"/>
    </sheetView>
  </sheetViews>
  <sheetFormatPr defaultColWidth="13.42578125" defaultRowHeight="15" x14ac:dyDescent="0.2"/>
  <cols>
    <col min="1" max="1" width="12.5703125" style="133" bestFit="1" customWidth="1"/>
    <col min="2" max="2" width="25.42578125" style="133" customWidth="1"/>
    <col min="3" max="3" width="13" style="133" customWidth="1"/>
    <col min="4" max="4" width="13.140625" style="133" customWidth="1"/>
    <col min="5" max="5" width="10" style="134" customWidth="1"/>
    <col min="6" max="6" width="16" style="133" customWidth="1"/>
    <col min="7" max="7" width="19.140625" style="133" customWidth="1"/>
    <col min="8" max="8" width="17.28515625" style="133" customWidth="1"/>
    <col min="9" max="9" width="17" style="133" customWidth="1"/>
    <col min="10" max="10" width="15.140625" style="133" customWidth="1"/>
    <col min="11" max="11" width="19" style="133" customWidth="1"/>
    <col min="12" max="12" width="18" style="133" customWidth="1"/>
    <col min="13" max="13" width="16.7109375" style="133" customWidth="1"/>
    <col min="14" max="14" width="13.7109375" style="133" customWidth="1"/>
    <col min="15" max="15" width="20.42578125" style="133" customWidth="1"/>
    <col min="16" max="16" width="9.42578125" style="133" customWidth="1"/>
    <col min="17" max="17" width="24.28515625" style="135" customWidth="1"/>
    <col min="18" max="18" width="16" style="133" customWidth="1"/>
    <col min="19" max="19" width="40.7109375" style="133" customWidth="1"/>
    <col min="20" max="20" width="34.140625" style="133" customWidth="1"/>
    <col min="21" max="21" width="23.140625" style="133" customWidth="1"/>
    <col min="22" max="22" width="17.140625" style="133" customWidth="1"/>
    <col min="23" max="23" width="16.7109375" style="133" customWidth="1"/>
    <col min="24" max="24" width="29.5703125" style="133" customWidth="1"/>
    <col min="25" max="25" width="43.85546875" style="133" bestFit="1" customWidth="1"/>
    <col min="26" max="26" width="171.140625" style="133" customWidth="1"/>
    <col min="27" max="27" width="56.5703125" style="133" customWidth="1"/>
    <col min="28" max="28" width="41" style="133" customWidth="1"/>
    <col min="29" max="29" width="49.28515625" style="133" customWidth="1"/>
    <col min="30" max="30" width="12" style="133" customWidth="1"/>
    <col min="31" max="31" width="11.28515625" style="133" customWidth="1"/>
    <col min="32" max="32" width="37.85546875" style="133" customWidth="1"/>
    <col min="33" max="33" width="58.140625" style="133" customWidth="1"/>
    <col min="34" max="34" width="16.42578125" style="133" customWidth="1"/>
    <col min="35" max="35" width="128.5703125" style="133" customWidth="1"/>
    <col min="36" max="36" width="11.7109375" style="133" customWidth="1"/>
    <col min="37" max="37" width="11.140625" style="133" customWidth="1"/>
    <col min="38" max="38" width="14.28515625" style="133" customWidth="1"/>
    <col min="39" max="39" width="14.5703125" style="133" bestFit="1" customWidth="1"/>
    <col min="40" max="40" width="13.42578125" style="133"/>
    <col min="41" max="41" width="7.85546875" style="133" bestFit="1" customWidth="1"/>
    <col min="42" max="42" width="22.140625" style="133" bestFit="1" customWidth="1"/>
    <col min="43" max="44" width="13.42578125" style="133"/>
    <col min="45" max="45" width="6.5703125" style="133" bestFit="1" customWidth="1"/>
    <col min="46" max="16384" width="13.42578125" style="133"/>
  </cols>
  <sheetData>
    <row r="2" spans="1:41" s="137" customFormat="1" ht="112.5" customHeight="1" x14ac:dyDescent="0.2">
      <c r="A2" s="136" t="s">
        <v>73</v>
      </c>
      <c r="AO2" s="138"/>
    </row>
    <row r="3" spans="1:41" ht="75" x14ac:dyDescent="0.2">
      <c r="A3" s="139" t="s">
        <v>74</v>
      </c>
      <c r="B3" s="140" t="s">
        <v>75</v>
      </c>
      <c r="C3" s="141" t="s">
        <v>76</v>
      </c>
      <c r="D3" s="142" t="s">
        <v>77</v>
      </c>
      <c r="E3" s="143" t="s">
        <v>78</v>
      </c>
      <c r="F3" s="142" t="s">
        <v>79</v>
      </c>
      <c r="G3" s="141" t="s">
        <v>80</v>
      </c>
      <c r="H3" s="141" t="s">
        <v>81</v>
      </c>
      <c r="I3" s="141" t="s">
        <v>82</v>
      </c>
      <c r="J3" s="141" t="s">
        <v>83</v>
      </c>
      <c r="K3" s="140" t="s">
        <v>84</v>
      </c>
      <c r="L3" s="140" t="s">
        <v>85</v>
      </c>
      <c r="M3" s="140" t="s">
        <v>20</v>
      </c>
      <c r="N3" s="140" t="s">
        <v>86</v>
      </c>
      <c r="O3" s="140" t="s">
        <v>87</v>
      </c>
      <c r="P3" s="144" t="s">
        <v>88</v>
      </c>
      <c r="Q3" s="145" t="s">
        <v>89</v>
      </c>
      <c r="R3" s="144" t="s">
        <v>90</v>
      </c>
      <c r="S3" s="144" t="s">
        <v>91</v>
      </c>
      <c r="T3" s="144" t="s">
        <v>92</v>
      </c>
      <c r="U3" s="144" t="s">
        <v>93</v>
      </c>
      <c r="V3" s="144" t="s">
        <v>94</v>
      </c>
      <c r="W3" s="144" t="s">
        <v>95</v>
      </c>
      <c r="X3" s="144" t="s">
        <v>96</v>
      </c>
      <c r="Y3" s="144" t="s">
        <v>97</v>
      </c>
      <c r="Z3" s="144" t="s">
        <v>98</v>
      </c>
      <c r="AA3" s="144" t="s">
        <v>99</v>
      </c>
      <c r="AB3" s="144" t="s">
        <v>100</v>
      </c>
      <c r="AC3" s="144" t="s">
        <v>101</v>
      </c>
      <c r="AD3" s="144" t="s">
        <v>102</v>
      </c>
      <c r="AE3" s="144" t="s">
        <v>103</v>
      </c>
      <c r="AF3" s="144" t="s">
        <v>104</v>
      </c>
      <c r="AG3" s="144" t="s">
        <v>105</v>
      </c>
      <c r="AH3" s="144" t="s">
        <v>106</v>
      </c>
      <c r="AI3" s="144" t="s">
        <v>107</v>
      </c>
      <c r="AJ3" s="144" t="s">
        <v>108</v>
      </c>
      <c r="AK3" s="144" t="s">
        <v>109</v>
      </c>
      <c r="AL3" s="144" t="s">
        <v>110</v>
      </c>
      <c r="AO3" s="133" t="e">
        <f>TEXT(#REF!,"mmm-YYYY")</f>
        <v>#REF!</v>
      </c>
    </row>
    <row r="4" spans="1:41" ht="14.25" customHeight="1" x14ac:dyDescent="0.2">
      <c r="A4" s="139" t="str">
        <f>Table1[[#This Row],[Qual a Numeração da Nota Fiscal com divergência ?]]</f>
        <v>1514564-9</v>
      </c>
      <c r="B4" s="146" t="s">
        <v>25</v>
      </c>
      <c r="C4" s="147" t="s">
        <v>111</v>
      </c>
      <c r="D4" s="147" t="s">
        <v>112</v>
      </c>
      <c r="E4" s="148">
        <f>WEEKNUM(Table1[[#This Row],[Dt da abertura]],1)</f>
        <v>1</v>
      </c>
      <c r="F4" s="147">
        <v>46025</v>
      </c>
      <c r="G4" s="147">
        <v>46025</v>
      </c>
      <c r="H4" s="147">
        <v>46031</v>
      </c>
      <c r="I4" s="147">
        <v>46031</v>
      </c>
      <c r="J4" s="147" t="s">
        <v>113</v>
      </c>
      <c r="K4" s="149" t="s">
        <v>114</v>
      </c>
      <c r="L4" s="149" t="str">
        <f>VLOOKUP(Table1[[#This Row],[Qual seu Carro de Entrega]],Hierarquia!A:K,11,0)</f>
        <v>TD Curitiba</v>
      </c>
      <c r="M4" s="149" t="str">
        <f>VLOOKUP(U4,Hierarquia!A:K,6,0)</f>
        <v>FADEL</v>
      </c>
      <c r="N4" s="149" t="s">
        <v>113</v>
      </c>
      <c r="O4" s="149" t="s">
        <v>115</v>
      </c>
      <c r="P4" s="133">
        <v>368</v>
      </c>
      <c r="Q4" s="135">
        <v>46025</v>
      </c>
      <c r="R4" s="133" t="s">
        <v>116</v>
      </c>
      <c r="S4" s="135" t="s">
        <v>117</v>
      </c>
      <c r="T4" s="133" t="s">
        <v>26</v>
      </c>
      <c r="U4" s="133" t="s">
        <v>118</v>
      </c>
      <c r="V4" s="135">
        <v>46021</v>
      </c>
      <c r="W4" s="133" t="s">
        <v>119</v>
      </c>
      <c r="X4" s="133">
        <v>6875057916</v>
      </c>
      <c r="Y4" s="133" t="s">
        <v>35</v>
      </c>
      <c r="Z4" s="133" t="s">
        <v>120</v>
      </c>
      <c r="AF4" s="133">
        <v>9375057916</v>
      </c>
      <c r="AG4" s="133" t="s">
        <v>121</v>
      </c>
      <c r="AI4" s="133" t="s">
        <v>122</v>
      </c>
    </row>
    <row r="5" spans="1:41" ht="15.6" hidden="1" customHeight="1" x14ac:dyDescent="0.25">
      <c r="A5" s="139">
        <f>Table1[[#This Row],[Qual a Numeração da Nota Fiscal com divergência ?]]</f>
        <v>1511610</v>
      </c>
      <c r="B5" s="146" t="s">
        <v>30</v>
      </c>
      <c r="C5" s="147" t="s">
        <v>111</v>
      </c>
      <c r="D5" s="147" t="s">
        <v>112</v>
      </c>
      <c r="E5" s="148">
        <f>WEEKNUM(Table1[[#This Row],[Dt da abertura]],1)</f>
        <v>1</v>
      </c>
      <c r="F5" s="147">
        <v>46025</v>
      </c>
      <c r="G5" s="147">
        <v>46025</v>
      </c>
      <c r="H5" s="147">
        <v>46031</v>
      </c>
      <c r="I5" s="147">
        <v>46034</v>
      </c>
      <c r="J5" s="147" t="s">
        <v>113</v>
      </c>
      <c r="K5" s="149" t="s">
        <v>114</v>
      </c>
      <c r="L5" s="149" t="str">
        <f>VLOOKUP(Table1[[#This Row],[Qual seu Carro de Entrega]],Hierarquia!A:K,11,0)</f>
        <v>TV Curitiba 2</v>
      </c>
      <c r="M5" s="149" t="str">
        <f>VLOOKUP(U5,Hierarquia!A:K,6,0)</f>
        <v>BAT</v>
      </c>
      <c r="N5" s="149" t="s">
        <v>113</v>
      </c>
      <c r="O5" s="149" t="s">
        <v>115</v>
      </c>
      <c r="P5" s="133">
        <v>371</v>
      </c>
      <c r="Q5" s="135">
        <v>46028</v>
      </c>
      <c r="R5" s="133" t="s">
        <v>116</v>
      </c>
      <c r="S5" s="151" t="s">
        <v>123</v>
      </c>
      <c r="T5" s="133" t="s">
        <v>28</v>
      </c>
      <c r="U5" s="133" t="s">
        <v>124</v>
      </c>
      <c r="V5" s="135">
        <v>46014</v>
      </c>
      <c r="W5" s="133">
        <v>1511610</v>
      </c>
      <c r="X5" s="133">
        <v>6874774184</v>
      </c>
      <c r="Y5" s="133" t="s">
        <v>35</v>
      </c>
      <c r="Z5" s="133" t="s">
        <v>125</v>
      </c>
      <c r="AF5" s="133">
        <v>0</v>
      </c>
      <c r="AG5" s="133" t="s">
        <v>126</v>
      </c>
      <c r="AI5" s="133" t="s">
        <v>127</v>
      </c>
    </row>
    <row r="6" spans="1:41" ht="15" hidden="1" customHeight="1" x14ac:dyDescent="0.25">
      <c r="A6" s="139">
        <f>Table1[[#This Row],[Qual a Numeração da Nota Fiscal com divergência ?]]</f>
        <v>1515712</v>
      </c>
      <c r="B6" s="146" t="s">
        <v>33</v>
      </c>
      <c r="C6" s="147" t="s">
        <v>111</v>
      </c>
      <c r="D6" s="147" t="s">
        <v>112</v>
      </c>
      <c r="E6" s="148">
        <f>WEEKNUM(Table1[[#This Row],[Dt da abertura]],1)</f>
        <v>1</v>
      </c>
      <c r="F6" s="147">
        <v>46025</v>
      </c>
      <c r="G6" s="147">
        <v>46025</v>
      </c>
      <c r="H6" s="147">
        <v>46031</v>
      </c>
      <c r="I6" s="147">
        <v>46031</v>
      </c>
      <c r="J6" s="147" t="s">
        <v>113</v>
      </c>
      <c r="K6" s="149" t="s">
        <v>114</v>
      </c>
      <c r="L6" s="149" t="str">
        <f>VLOOKUP(Table1[[#This Row],[Qual seu Carro de Entrega]],Hierarquia!A:K,11,0)</f>
        <v>TV Curitiba 2</v>
      </c>
      <c r="M6" s="149" t="str">
        <f>VLOOKUP(U6,Hierarquia!A:K,6,0)</f>
        <v>BAT</v>
      </c>
      <c r="N6" s="149" t="s">
        <v>113</v>
      </c>
      <c r="O6" s="149" t="s">
        <v>115</v>
      </c>
      <c r="P6" s="133">
        <v>369</v>
      </c>
      <c r="Q6" s="135">
        <v>46028</v>
      </c>
      <c r="R6" s="133" t="s">
        <v>116</v>
      </c>
      <c r="S6" s="151" t="s">
        <v>128</v>
      </c>
      <c r="T6" s="133" t="s">
        <v>28</v>
      </c>
      <c r="U6" s="133" t="s">
        <v>129</v>
      </c>
      <c r="V6" s="135">
        <v>46028</v>
      </c>
      <c r="W6" s="133">
        <v>1515712</v>
      </c>
      <c r="X6" s="133">
        <v>687511668</v>
      </c>
      <c r="Y6" s="133" t="s">
        <v>35</v>
      </c>
      <c r="Z6" s="133" t="s">
        <v>130</v>
      </c>
      <c r="AF6" s="133">
        <v>0</v>
      </c>
      <c r="AG6" s="133" t="s">
        <v>131</v>
      </c>
      <c r="AI6" s="133" t="s">
        <v>132</v>
      </c>
    </row>
    <row r="7" spans="1:41" ht="15.75" customHeight="1" x14ac:dyDescent="0.2">
      <c r="A7" s="139">
        <f>Table1[[#This Row],[Qual a Numeração da Nota Fiscal com divergência ?]]</f>
        <v>1516521</v>
      </c>
      <c r="B7" s="146" t="s">
        <v>33</v>
      </c>
      <c r="C7" s="147" t="s">
        <v>111</v>
      </c>
      <c r="D7" s="147" t="s">
        <v>112</v>
      </c>
      <c r="E7" s="148">
        <f>WEEKNUM(Table1[[#This Row],[Dt da abertura]],1)</f>
        <v>1</v>
      </c>
      <c r="F7" s="147">
        <v>46025</v>
      </c>
      <c r="G7" s="147">
        <v>46025</v>
      </c>
      <c r="H7" s="147">
        <v>46031</v>
      </c>
      <c r="I7" s="147">
        <v>46031</v>
      </c>
      <c r="J7" s="147" t="s">
        <v>113</v>
      </c>
      <c r="K7" s="149" t="s">
        <v>114</v>
      </c>
      <c r="L7" s="149" t="str">
        <f>VLOOKUP(Table1[[#This Row],[Qual seu Carro de Entrega]],Hierarquia!A:K,11,0)</f>
        <v>TD Curitiba</v>
      </c>
      <c r="M7" s="149" t="str">
        <f>VLOOKUP(U7,Hierarquia!A:K,6,0)</f>
        <v>FADEL</v>
      </c>
      <c r="N7" s="149" t="s">
        <v>113</v>
      </c>
      <c r="O7" s="149" t="s">
        <v>115</v>
      </c>
      <c r="P7" s="133">
        <v>370</v>
      </c>
      <c r="Q7" s="135">
        <v>46028</v>
      </c>
      <c r="R7" s="133" t="s">
        <v>116</v>
      </c>
      <c r="S7" s="135" t="s">
        <v>133</v>
      </c>
      <c r="T7" s="133" t="s">
        <v>26</v>
      </c>
      <c r="U7" s="133" t="s">
        <v>134</v>
      </c>
      <c r="V7" s="135">
        <v>46028</v>
      </c>
      <c r="W7" s="133">
        <v>1516521</v>
      </c>
      <c r="X7" s="133">
        <v>6875011608</v>
      </c>
      <c r="Y7" s="133" t="s">
        <v>34</v>
      </c>
      <c r="Z7" s="133" t="s">
        <v>135</v>
      </c>
      <c r="AF7" s="133">
        <v>9413945</v>
      </c>
      <c r="AG7" s="133" t="s">
        <v>121</v>
      </c>
      <c r="AI7" s="133" t="s">
        <v>136</v>
      </c>
    </row>
    <row r="8" spans="1:41" ht="15.75" hidden="1" x14ac:dyDescent="0.25">
      <c r="A8" s="139">
        <f>Table1[[#This Row],[Qual a Numeração da Nota Fiscal com divergência ?]]</f>
        <v>1515183</v>
      </c>
      <c r="B8" s="146" t="s">
        <v>30</v>
      </c>
      <c r="C8" s="147" t="s">
        <v>111</v>
      </c>
      <c r="D8" s="147" t="s">
        <v>112</v>
      </c>
      <c r="E8" s="148">
        <f>WEEKNUM(Table1[[#This Row],[Dt da abertura]],1)</f>
        <v>2</v>
      </c>
      <c r="F8" s="147">
        <v>46029</v>
      </c>
      <c r="G8" s="147">
        <v>46029</v>
      </c>
      <c r="H8" s="147">
        <v>46031</v>
      </c>
      <c r="I8" s="147">
        <v>46030</v>
      </c>
      <c r="J8" s="147" t="s">
        <v>113</v>
      </c>
      <c r="K8" s="149" t="s">
        <v>114</v>
      </c>
      <c r="L8" s="149" t="str">
        <f>VLOOKUP(Table1[[#This Row],[Qual seu Carro de Entrega]],Hierarquia!A:K,11,0)</f>
        <v>TV Cascavel</v>
      </c>
      <c r="M8" s="149" t="str">
        <f>VLOOKUP(U8,Hierarquia!A:K,6,0)</f>
        <v>BAT</v>
      </c>
      <c r="N8" s="149" t="s">
        <v>113</v>
      </c>
      <c r="O8" s="149" t="s">
        <v>115</v>
      </c>
      <c r="P8" s="133">
        <v>372</v>
      </c>
      <c r="Q8" s="135">
        <v>46029</v>
      </c>
      <c r="R8" s="133" t="s">
        <v>116</v>
      </c>
      <c r="S8" s="150" t="s">
        <v>137</v>
      </c>
      <c r="T8" s="133" t="s">
        <v>28</v>
      </c>
      <c r="U8" s="133" t="s">
        <v>138</v>
      </c>
      <c r="V8" s="135">
        <v>46028</v>
      </c>
      <c r="W8" s="133">
        <v>1515183</v>
      </c>
      <c r="X8" s="133">
        <v>6875021246</v>
      </c>
      <c r="Y8" s="133" t="s">
        <v>35</v>
      </c>
      <c r="Z8" s="133" t="s">
        <v>139</v>
      </c>
      <c r="AF8" s="133" t="s">
        <v>140</v>
      </c>
      <c r="AG8" s="133" t="s">
        <v>131</v>
      </c>
      <c r="AI8" s="133" t="s">
        <v>141</v>
      </c>
    </row>
    <row r="9" spans="1:41" ht="15.75" x14ac:dyDescent="0.25">
      <c r="A9" s="139">
        <f>Table1[[#This Row],[Qual a Numeração da Nota Fiscal com divergência ?]]</f>
        <v>1516137</v>
      </c>
      <c r="B9" s="146" t="s">
        <v>33</v>
      </c>
      <c r="C9" s="147" t="s">
        <v>111</v>
      </c>
      <c r="D9" s="147" t="s">
        <v>112</v>
      </c>
      <c r="E9" s="148">
        <f>WEEKNUM(Table1[[#This Row],[Dt da abertura]],1)</f>
        <v>2</v>
      </c>
      <c r="F9" s="147">
        <v>46029</v>
      </c>
      <c r="G9" s="147">
        <v>46029</v>
      </c>
      <c r="H9" s="147">
        <v>46031</v>
      </c>
      <c r="I9" s="147">
        <v>46031</v>
      </c>
      <c r="J9" s="147" t="s">
        <v>113</v>
      </c>
      <c r="K9" s="149" t="s">
        <v>114</v>
      </c>
      <c r="L9" s="149" t="str">
        <f>VLOOKUP(Table1[[#This Row],[Qual seu Carro de Entrega]],Hierarquia!A:K,11,0)</f>
        <v>TD Curitiba</v>
      </c>
      <c r="M9" s="149" t="str">
        <f>VLOOKUP(U9,Hierarquia!A:K,6,0)</f>
        <v>FADEL</v>
      </c>
      <c r="N9" s="149" t="s">
        <v>113</v>
      </c>
      <c r="O9" s="149" t="s">
        <v>115</v>
      </c>
      <c r="P9" s="133">
        <v>373</v>
      </c>
      <c r="Q9" s="135">
        <v>46029</v>
      </c>
      <c r="R9" s="133" t="s">
        <v>116</v>
      </c>
      <c r="S9" s="151" t="s">
        <v>133</v>
      </c>
      <c r="T9" s="133" t="s">
        <v>26</v>
      </c>
      <c r="U9" s="133" t="s">
        <v>142</v>
      </c>
      <c r="V9" s="135">
        <v>46028</v>
      </c>
      <c r="W9" s="133">
        <v>1516137</v>
      </c>
      <c r="X9" s="133">
        <v>6875148512</v>
      </c>
      <c r="Y9" s="133" t="s">
        <v>35</v>
      </c>
      <c r="Z9" s="133" t="s">
        <v>143</v>
      </c>
      <c r="AF9" s="133">
        <v>9414408</v>
      </c>
      <c r="AG9" s="133" t="s">
        <v>121</v>
      </c>
      <c r="AI9" s="133" t="s">
        <v>144</v>
      </c>
    </row>
    <row r="10" spans="1:41" ht="15" customHeight="1" x14ac:dyDescent="0.25">
      <c r="A10" s="139">
        <f>Table1[[#This Row],[Qual a Numeração da Nota Fiscal com divergência ?]]</f>
        <v>1518214</v>
      </c>
      <c r="B10" s="146" t="s">
        <v>145</v>
      </c>
      <c r="C10" s="147" t="s">
        <v>111</v>
      </c>
      <c r="D10" s="147" t="s">
        <v>112</v>
      </c>
      <c r="E10" s="148">
        <f>WEEKNUM(Table1[[#This Row],[Dt da abertura]],1)</f>
        <v>2</v>
      </c>
      <c r="F10" s="147">
        <v>46031</v>
      </c>
      <c r="G10" s="147">
        <v>46031</v>
      </c>
      <c r="H10" s="147">
        <v>46035</v>
      </c>
      <c r="I10" s="147">
        <v>46036</v>
      </c>
      <c r="J10" s="147" t="s">
        <v>113</v>
      </c>
      <c r="K10" s="149" t="s">
        <v>114</v>
      </c>
      <c r="L10" s="149" t="str">
        <f>VLOOKUP(Table1[[#This Row],[Qual seu Carro de Entrega]],Hierarquia!A:K,11,0)</f>
        <v>TD Curitiba</v>
      </c>
      <c r="M10" s="149" t="str">
        <f>VLOOKUP(U10,Hierarquia!A:K,6,0)</f>
        <v>FADEL</v>
      </c>
      <c r="N10" s="149" t="s">
        <v>113</v>
      </c>
      <c r="O10" s="149" t="s">
        <v>115</v>
      </c>
      <c r="P10" s="133">
        <v>375</v>
      </c>
      <c r="Q10" s="135">
        <v>46031</v>
      </c>
      <c r="R10" s="133" t="s">
        <v>116</v>
      </c>
      <c r="S10" s="151" t="s">
        <v>133</v>
      </c>
      <c r="T10" s="133" t="s">
        <v>26</v>
      </c>
      <c r="U10" s="133" t="s">
        <v>146</v>
      </c>
      <c r="V10" s="135">
        <v>46031</v>
      </c>
      <c r="W10" s="133">
        <v>1518214</v>
      </c>
      <c r="X10" s="133">
        <v>6875213368</v>
      </c>
      <c r="Y10" s="133" t="s">
        <v>35</v>
      </c>
      <c r="Z10" s="133" t="s">
        <v>147</v>
      </c>
      <c r="AF10" s="133">
        <v>9440490</v>
      </c>
      <c r="AG10" s="133" t="s">
        <v>121</v>
      </c>
      <c r="AI10" s="133" t="s">
        <v>148</v>
      </c>
    </row>
    <row r="11" spans="1:41" ht="15.6" customHeight="1" x14ac:dyDescent="0.2">
      <c r="A11" s="139">
        <f>Table1[[#This Row],[Qual a Numeração da Nota Fiscal com divergência ?]]</f>
        <v>1518214</v>
      </c>
      <c r="B11" s="146" t="s">
        <v>30</v>
      </c>
      <c r="C11" s="147" t="s">
        <v>111</v>
      </c>
      <c r="D11" s="147" t="s">
        <v>112</v>
      </c>
      <c r="E11" s="148">
        <f>WEEKNUM(Table1[[#This Row],[Dt da abertura]],1)</f>
        <v>2</v>
      </c>
      <c r="F11" s="147">
        <v>46031</v>
      </c>
      <c r="G11" s="147">
        <v>46031</v>
      </c>
      <c r="H11" s="147">
        <v>46035</v>
      </c>
      <c r="I11" s="147">
        <v>46034</v>
      </c>
      <c r="J11" s="147" t="s">
        <v>113</v>
      </c>
      <c r="K11" s="149" t="s">
        <v>114</v>
      </c>
      <c r="L11" s="149" t="str">
        <f>VLOOKUP(Table1[[#This Row],[Qual seu Carro de Entrega]],Hierarquia!A:K,11,0)</f>
        <v>TD Curitiba</v>
      </c>
      <c r="M11" s="149" t="str">
        <f>VLOOKUP(U11,Hierarquia!A:K,6,0)</f>
        <v>FADEL</v>
      </c>
      <c r="N11" s="149" t="s">
        <v>113</v>
      </c>
      <c r="O11" s="149" t="s">
        <v>115</v>
      </c>
      <c r="P11" s="133">
        <v>374</v>
      </c>
      <c r="Q11" s="135">
        <v>46031</v>
      </c>
      <c r="R11" s="133" t="s">
        <v>116</v>
      </c>
      <c r="S11" s="135" t="s">
        <v>149</v>
      </c>
      <c r="T11" s="133" t="s">
        <v>26</v>
      </c>
      <c r="U11" s="133" t="s">
        <v>146</v>
      </c>
      <c r="V11" s="135">
        <v>46031</v>
      </c>
      <c r="W11" s="133">
        <v>1518214</v>
      </c>
      <c r="X11" s="133">
        <v>6875213368</v>
      </c>
      <c r="Y11" s="133" t="s">
        <v>35</v>
      </c>
      <c r="Z11" s="133" t="s">
        <v>150</v>
      </c>
      <c r="AF11" s="133">
        <v>9440490</v>
      </c>
      <c r="AG11" s="133" t="s">
        <v>121</v>
      </c>
      <c r="AI11" s="133" t="s">
        <v>151</v>
      </c>
    </row>
    <row r="12" spans="1:41" ht="15.6" customHeight="1" x14ac:dyDescent="0.2">
      <c r="A12" s="139">
        <f>Table1[[#This Row],[Qual a Numeração da Nota Fiscal com divergência ?]]</f>
        <v>1518164</v>
      </c>
      <c r="B12" s="146" t="s">
        <v>30</v>
      </c>
      <c r="C12" s="147" t="s">
        <v>111</v>
      </c>
      <c r="D12" s="147" t="s">
        <v>112</v>
      </c>
      <c r="E12" s="148">
        <f>WEEKNUM(Table1[[#This Row],[Dt da abertura]],1)</f>
        <v>3</v>
      </c>
      <c r="F12" s="147">
        <v>46034</v>
      </c>
      <c r="G12" s="147">
        <v>46034</v>
      </c>
      <c r="H12" s="147">
        <v>46036</v>
      </c>
      <c r="I12" s="147">
        <v>46037</v>
      </c>
      <c r="J12" s="147" t="s">
        <v>113</v>
      </c>
      <c r="K12" s="149" t="s">
        <v>114</v>
      </c>
      <c r="L12" s="149" t="str">
        <f>VLOOKUP(Table1[[#This Row],[Qual seu Carro de Entrega]],Hierarquia!A:K,11,0)</f>
        <v>TD Curitiba</v>
      </c>
      <c r="M12" s="149" t="str">
        <f>VLOOKUP(U12,Hierarquia!A:K,6,0)</f>
        <v>FADEL</v>
      </c>
      <c r="N12" s="149" t="s">
        <v>113</v>
      </c>
      <c r="O12" s="149" t="s">
        <v>115</v>
      </c>
      <c r="P12" s="133">
        <v>376</v>
      </c>
      <c r="Q12" s="135">
        <v>46034</v>
      </c>
      <c r="R12" s="133" t="s">
        <v>116</v>
      </c>
      <c r="S12" s="135" t="s">
        <v>133</v>
      </c>
      <c r="T12" s="133" t="s">
        <v>26</v>
      </c>
      <c r="U12" s="133" t="s">
        <v>152</v>
      </c>
      <c r="V12" s="135">
        <v>46031</v>
      </c>
      <c r="W12" s="133">
        <v>1518164</v>
      </c>
      <c r="X12" s="133">
        <v>6875217639</v>
      </c>
      <c r="Y12" s="133" t="s">
        <v>34</v>
      </c>
      <c r="Z12" s="133" t="s">
        <v>153</v>
      </c>
      <c r="AF12" s="133" t="s">
        <v>154</v>
      </c>
      <c r="AG12" s="133" t="s">
        <v>131</v>
      </c>
      <c r="AI12" s="133" t="s">
        <v>155</v>
      </c>
    </row>
    <row r="13" spans="1:41" ht="14.25" hidden="1" customHeight="1" x14ac:dyDescent="0.25">
      <c r="A13" s="139">
        <f>Table1[[#This Row],[Qual a Numeração da Nota Fiscal com divergência ?]]</f>
        <v>1508548</v>
      </c>
      <c r="B13" s="146" t="s">
        <v>30</v>
      </c>
      <c r="C13" s="147" t="s">
        <v>111</v>
      </c>
      <c r="D13" s="147" t="s">
        <v>112</v>
      </c>
      <c r="E13" s="148">
        <f>WEEKNUM(Table1[[#This Row],[Dt da abertura]],1)</f>
        <v>3</v>
      </c>
      <c r="F13" s="147">
        <v>46035</v>
      </c>
      <c r="G13" s="147">
        <v>46035</v>
      </c>
      <c r="H13" s="147">
        <v>46037</v>
      </c>
      <c r="I13" s="147">
        <v>46041</v>
      </c>
      <c r="J13" s="147" t="s">
        <v>113</v>
      </c>
      <c r="K13" s="149" t="s">
        <v>114</v>
      </c>
      <c r="L13" s="149" t="str">
        <f>VLOOKUP(Table1[[#This Row],[Qual seu Carro de Entrega]],Hierarquia!A:K,11,0)</f>
        <v>TV Curitiba 2</v>
      </c>
      <c r="M13" s="149" t="str">
        <f>VLOOKUP(U13,Hierarquia!A:K,6,0)</f>
        <v>BAT</v>
      </c>
      <c r="N13" s="149" t="s">
        <v>113</v>
      </c>
      <c r="O13" s="149" t="s">
        <v>115</v>
      </c>
      <c r="P13" s="138">
        <v>377</v>
      </c>
      <c r="Q13" s="152">
        <v>46035</v>
      </c>
      <c r="R13" s="138" t="s">
        <v>116</v>
      </c>
      <c r="S13" s="151" t="s">
        <v>156</v>
      </c>
      <c r="T13" s="138" t="s">
        <v>28</v>
      </c>
      <c r="U13" s="138" t="s">
        <v>157</v>
      </c>
      <c r="V13" s="152">
        <v>46007</v>
      </c>
      <c r="W13" s="138">
        <v>1508548</v>
      </c>
      <c r="X13" s="138">
        <v>6874793120</v>
      </c>
      <c r="Y13" s="138" t="s">
        <v>32</v>
      </c>
      <c r="Z13" s="153" t="s">
        <v>158</v>
      </c>
      <c r="AA13" s="138"/>
      <c r="AB13" s="138"/>
      <c r="AC13" s="138"/>
      <c r="AD13" s="138"/>
      <c r="AF13" s="138">
        <v>6874733120</v>
      </c>
      <c r="AG13" s="138" t="s">
        <v>121</v>
      </c>
      <c r="AH13" s="138"/>
      <c r="AI13" s="153" t="s">
        <v>159</v>
      </c>
    </row>
    <row r="14" spans="1:41" ht="15.6" customHeight="1" x14ac:dyDescent="0.2">
      <c r="A14" s="139">
        <f>Table1[[#This Row],[Qual a Numeração da Nota Fiscal com divergência ?]]</f>
        <v>1519447</v>
      </c>
      <c r="B14" s="146" t="s">
        <v>33</v>
      </c>
      <c r="C14" s="147" t="s">
        <v>111</v>
      </c>
      <c r="D14" s="147" t="s">
        <v>112</v>
      </c>
      <c r="E14" s="148">
        <f>WEEKNUM(Table1[[#This Row],[Dt da abertura]],1)</f>
        <v>3</v>
      </c>
      <c r="F14" s="147">
        <v>46036</v>
      </c>
      <c r="G14" s="147">
        <v>46036</v>
      </c>
      <c r="H14" s="147">
        <v>46038</v>
      </c>
      <c r="I14" s="147">
        <v>46041</v>
      </c>
      <c r="J14" s="147" t="s">
        <v>113</v>
      </c>
      <c r="K14" s="149" t="s">
        <v>114</v>
      </c>
      <c r="L14" s="149" t="str">
        <f>VLOOKUP(Table1[[#This Row],[Qual seu Carro de Entrega]],Hierarquia!A:K,11,0)</f>
        <v>TD Curitiba</v>
      </c>
      <c r="M14" s="149" t="str">
        <f>VLOOKUP(U14,Hierarquia!A:K,6,0)</f>
        <v>FADEL</v>
      </c>
      <c r="N14" s="149" t="s">
        <v>113</v>
      </c>
      <c r="O14" s="149" t="s">
        <v>115</v>
      </c>
      <c r="P14" s="133">
        <v>378</v>
      </c>
      <c r="Q14" s="135">
        <v>46036</v>
      </c>
      <c r="R14" s="133" t="s">
        <v>116</v>
      </c>
      <c r="S14" s="135" t="s">
        <v>133</v>
      </c>
      <c r="T14" s="133" t="s">
        <v>26</v>
      </c>
      <c r="U14" s="133" t="s">
        <v>160</v>
      </c>
      <c r="V14" s="135">
        <v>46036</v>
      </c>
      <c r="W14" s="133">
        <v>1519447</v>
      </c>
      <c r="X14" s="133">
        <v>6875233418</v>
      </c>
      <c r="Y14" s="133" t="s">
        <v>34</v>
      </c>
      <c r="Z14" s="133" t="s">
        <v>161</v>
      </c>
      <c r="AF14" s="133">
        <v>9471798</v>
      </c>
      <c r="AG14" s="133" t="s">
        <v>131</v>
      </c>
      <c r="AI14" s="133" t="s">
        <v>162</v>
      </c>
    </row>
    <row r="15" spans="1:41" ht="15.6" hidden="1" customHeight="1" x14ac:dyDescent="0.25">
      <c r="A15" s="139">
        <f>Table1[[#This Row],[Qual a Numeração da Nota Fiscal com divergência ?]]</f>
        <v>1516135</v>
      </c>
      <c r="B15" s="146" t="s">
        <v>33</v>
      </c>
      <c r="C15" s="147" t="s">
        <v>111</v>
      </c>
      <c r="D15" s="147" t="s">
        <v>112</v>
      </c>
      <c r="E15" s="148">
        <f>WEEKNUM(Table1[[#This Row],[Dt da abertura]],1)</f>
        <v>3</v>
      </c>
      <c r="F15" s="147">
        <v>46037</v>
      </c>
      <c r="G15" s="147">
        <v>46037</v>
      </c>
      <c r="H15" s="147">
        <v>46039</v>
      </c>
      <c r="I15" s="147">
        <v>46041</v>
      </c>
      <c r="J15" s="147" t="s">
        <v>113</v>
      </c>
      <c r="K15" s="149" t="s">
        <v>114</v>
      </c>
      <c r="L15" s="149" t="str">
        <f>VLOOKUP(Table1[[#This Row],[Qual seu Carro de Entrega]],Hierarquia!A:K,11,0)</f>
        <v>TV Curitiba 2</v>
      </c>
      <c r="M15" s="149" t="str">
        <f>VLOOKUP(U15,Hierarquia!A:K,6,0)</f>
        <v>BAT</v>
      </c>
      <c r="N15" s="149" t="s">
        <v>113</v>
      </c>
      <c r="O15" s="149" t="s">
        <v>115</v>
      </c>
      <c r="P15" s="133">
        <v>379</v>
      </c>
      <c r="Q15" s="135">
        <v>46037</v>
      </c>
      <c r="R15" s="133" t="s">
        <v>116</v>
      </c>
      <c r="S15" s="151" t="s">
        <v>163</v>
      </c>
      <c r="T15" s="133" t="s">
        <v>28</v>
      </c>
      <c r="U15" s="133" t="s">
        <v>164</v>
      </c>
      <c r="V15" s="135">
        <v>46028</v>
      </c>
      <c r="W15" s="133">
        <v>1516135</v>
      </c>
      <c r="X15" s="133">
        <v>6875053169</v>
      </c>
      <c r="Y15" s="133" t="s">
        <v>35</v>
      </c>
      <c r="Z15" s="133" t="s">
        <v>165</v>
      </c>
      <c r="AF15" s="133" t="s">
        <v>166</v>
      </c>
      <c r="AG15" s="133" t="s">
        <v>121</v>
      </c>
      <c r="AI15" s="133" t="s">
        <v>167</v>
      </c>
    </row>
    <row r="16" spans="1:41" ht="15.75" customHeight="1" x14ac:dyDescent="0.2">
      <c r="A16" s="139">
        <f>Table1[[#This Row],[Qual a Numeração da Nota Fiscal com divergência ?]]</f>
        <v>1520108</v>
      </c>
      <c r="B16" s="146" t="s">
        <v>30</v>
      </c>
      <c r="C16" s="147" t="s">
        <v>111</v>
      </c>
      <c r="D16" s="147" t="s">
        <v>112</v>
      </c>
      <c r="E16" s="148">
        <f>WEEKNUM(Table1[[#This Row],[Dt da abertura]],1)</f>
        <v>3</v>
      </c>
      <c r="F16" s="147">
        <v>46041</v>
      </c>
      <c r="G16" s="147">
        <v>46038</v>
      </c>
      <c r="H16" s="147">
        <v>46043</v>
      </c>
      <c r="I16" s="147">
        <v>46044</v>
      </c>
      <c r="J16" s="147" t="s">
        <v>113</v>
      </c>
      <c r="K16" s="149" t="s">
        <v>114</v>
      </c>
      <c r="L16" s="149" t="str">
        <f>VLOOKUP(Table1[[#This Row],[Qual seu Carro de Entrega]],Hierarquia!A:K,11,0)</f>
        <v>TD Curitiba</v>
      </c>
      <c r="M16" s="149" t="str">
        <f>VLOOKUP(U16,Hierarquia!A:K,6,0)</f>
        <v>FADEL</v>
      </c>
      <c r="N16" s="149" t="s">
        <v>113</v>
      </c>
      <c r="O16" s="149" t="s">
        <v>115</v>
      </c>
      <c r="P16" s="133">
        <v>384</v>
      </c>
      <c r="Q16" s="135">
        <v>46041</v>
      </c>
      <c r="R16" s="133" t="s">
        <v>116</v>
      </c>
      <c r="S16" s="135" t="s">
        <v>133</v>
      </c>
      <c r="T16" s="133" t="s">
        <v>26</v>
      </c>
      <c r="U16" s="133" t="s">
        <v>168</v>
      </c>
      <c r="V16" s="135">
        <v>46037</v>
      </c>
      <c r="W16" s="133">
        <v>1520108</v>
      </c>
      <c r="X16" s="133">
        <v>6875295014</v>
      </c>
      <c r="Y16" s="133" t="s">
        <v>35</v>
      </c>
      <c r="Z16" s="133" t="s">
        <v>169</v>
      </c>
      <c r="AF16" s="133">
        <v>9481046</v>
      </c>
      <c r="AG16" s="133" t="s">
        <v>121</v>
      </c>
      <c r="AI16" s="133" t="s">
        <v>170</v>
      </c>
    </row>
    <row r="17" spans="1:35" ht="15.6" hidden="1" customHeight="1" x14ac:dyDescent="0.25">
      <c r="A17" s="139">
        <f>Table1[[#This Row],[Qual a Numeração da Nota Fiscal com divergência ?]]</f>
        <v>1519374</v>
      </c>
      <c r="B17" s="146" t="s">
        <v>33</v>
      </c>
      <c r="C17" s="147" t="s">
        <v>111</v>
      </c>
      <c r="D17" s="147" t="s">
        <v>112</v>
      </c>
      <c r="E17" s="148">
        <f>WEEKNUM(Table1[[#This Row],[Dt da abertura]],1)</f>
        <v>3</v>
      </c>
      <c r="F17" s="147">
        <v>46038</v>
      </c>
      <c r="G17" s="147">
        <v>46038</v>
      </c>
      <c r="H17" s="147">
        <v>46042</v>
      </c>
      <c r="I17" s="147">
        <v>46042</v>
      </c>
      <c r="J17" s="147" t="s">
        <v>113</v>
      </c>
      <c r="K17" s="149" t="s">
        <v>114</v>
      </c>
      <c r="L17" s="149" t="str">
        <f>VLOOKUP(Table1[[#This Row],[Qual seu Carro de Entrega]],Hierarquia!A:K,11,0)</f>
        <v>TV Curitiba 2</v>
      </c>
      <c r="M17" s="149" t="str">
        <f>VLOOKUP(U17,Hierarquia!A:K,6,0)</f>
        <v>BAT</v>
      </c>
      <c r="N17" s="149" t="s">
        <v>113</v>
      </c>
      <c r="O17" s="149" t="s">
        <v>115</v>
      </c>
      <c r="P17" s="133">
        <v>380</v>
      </c>
      <c r="Q17" s="135">
        <v>46037</v>
      </c>
      <c r="R17" s="133" t="s">
        <v>116</v>
      </c>
      <c r="S17" s="151" t="s">
        <v>171</v>
      </c>
      <c r="T17" s="133" t="s">
        <v>28</v>
      </c>
      <c r="U17" s="133" t="s">
        <v>172</v>
      </c>
      <c r="V17" s="135">
        <v>46037</v>
      </c>
      <c r="W17" s="133">
        <v>1519374</v>
      </c>
      <c r="X17" s="133">
        <v>6875271361</v>
      </c>
      <c r="Y17" s="133" t="s">
        <v>35</v>
      </c>
      <c r="Z17" s="133" t="s">
        <v>173</v>
      </c>
      <c r="AF17" s="133">
        <v>0</v>
      </c>
      <c r="AG17" s="133" t="s">
        <v>131</v>
      </c>
    </row>
    <row r="18" spans="1:35" ht="15" hidden="1" customHeight="1" x14ac:dyDescent="0.25">
      <c r="A18" s="139">
        <f>Table1[[#This Row],[Qual a Numeração da Nota Fiscal com divergência ?]]</f>
        <v>1518847</v>
      </c>
      <c r="B18" s="146" t="s">
        <v>33</v>
      </c>
      <c r="C18" s="147" t="s">
        <v>111</v>
      </c>
      <c r="D18" s="147" t="s">
        <v>112</v>
      </c>
      <c r="E18" s="148">
        <f>WEEKNUM(Table1[[#This Row],[Dt da abertura]],1)</f>
        <v>3</v>
      </c>
      <c r="F18" s="147">
        <v>46038</v>
      </c>
      <c r="G18" s="147">
        <v>46038</v>
      </c>
      <c r="H18" s="147">
        <v>46042</v>
      </c>
      <c r="I18" s="147">
        <v>46042</v>
      </c>
      <c r="J18" s="147" t="s">
        <v>113</v>
      </c>
      <c r="K18" s="149" t="s">
        <v>114</v>
      </c>
      <c r="L18" s="149" t="str">
        <f>VLOOKUP(Table1[[#This Row],[Qual seu Carro de Entrega]],Hierarquia!A:K,11,0)</f>
        <v>TV Curitiba 2</v>
      </c>
      <c r="M18" s="149" t="str">
        <f>VLOOKUP(U18,Hierarquia!A:K,6,0)</f>
        <v>BAT</v>
      </c>
      <c r="N18" s="149" t="s">
        <v>113</v>
      </c>
      <c r="O18" s="149" t="s">
        <v>115</v>
      </c>
      <c r="P18" s="133">
        <v>381</v>
      </c>
      <c r="Q18" s="135">
        <v>46038</v>
      </c>
      <c r="R18" s="133" t="s">
        <v>116</v>
      </c>
      <c r="S18" s="151" t="s">
        <v>174</v>
      </c>
      <c r="T18" s="133" t="s">
        <v>28</v>
      </c>
      <c r="U18" s="133" t="s">
        <v>175</v>
      </c>
      <c r="V18" s="135">
        <v>46036</v>
      </c>
      <c r="W18" s="133">
        <v>1518847</v>
      </c>
      <c r="X18" s="133">
        <v>6875244282</v>
      </c>
      <c r="Y18" s="133" t="s">
        <v>35</v>
      </c>
      <c r="Z18" s="133" t="s">
        <v>176</v>
      </c>
      <c r="AF18" s="133" t="s">
        <v>177</v>
      </c>
      <c r="AG18" s="133" t="s">
        <v>178</v>
      </c>
    </row>
    <row r="19" spans="1:35" x14ac:dyDescent="0.2">
      <c r="A19" s="139">
        <f>Table1[[#This Row],[Qual a Numeração da Nota Fiscal com divergência ?]]</f>
        <v>1520625</v>
      </c>
      <c r="B19" s="146" t="s">
        <v>33</v>
      </c>
      <c r="C19" s="147" t="s">
        <v>111</v>
      </c>
      <c r="D19" s="147" t="s">
        <v>112</v>
      </c>
      <c r="E19" s="148">
        <f>WEEKNUM(Table1[[#This Row],[Dt da abertura]],1)</f>
        <v>3</v>
      </c>
      <c r="F19" s="147">
        <v>46038</v>
      </c>
      <c r="G19" s="147">
        <v>46038</v>
      </c>
      <c r="H19" s="147">
        <v>46042</v>
      </c>
      <c r="I19" s="147">
        <v>46042</v>
      </c>
      <c r="J19" s="147" t="s">
        <v>113</v>
      </c>
      <c r="K19" s="149" t="s">
        <v>114</v>
      </c>
      <c r="L19" s="149" t="str">
        <f>VLOOKUP(Table1[[#This Row],[Qual seu Carro de Entrega]],Hierarquia!A:K,11,0)</f>
        <v>TD Curitiba</v>
      </c>
      <c r="M19" s="149" t="str">
        <f>VLOOKUP(U19,Hierarquia!A:K,6,0)</f>
        <v>FADEL</v>
      </c>
      <c r="N19" s="149" t="s">
        <v>113</v>
      </c>
      <c r="O19" s="149" t="s">
        <v>115</v>
      </c>
      <c r="P19" s="138">
        <v>383</v>
      </c>
      <c r="Q19" s="152">
        <v>46038</v>
      </c>
      <c r="R19" s="138" t="s">
        <v>116</v>
      </c>
      <c r="S19" s="152" t="s">
        <v>133</v>
      </c>
      <c r="T19" s="138" t="s">
        <v>26</v>
      </c>
      <c r="U19" s="138" t="s">
        <v>179</v>
      </c>
      <c r="V19" s="152">
        <v>46038</v>
      </c>
      <c r="W19" s="138">
        <v>1520625</v>
      </c>
      <c r="X19" s="138">
        <v>6875273517</v>
      </c>
      <c r="Y19" s="138" t="s">
        <v>35</v>
      </c>
      <c r="Z19" s="138" t="s">
        <v>180</v>
      </c>
      <c r="AA19" s="138"/>
      <c r="AB19" s="138"/>
      <c r="AC19" s="138"/>
      <c r="AD19" s="138"/>
      <c r="AF19" s="138">
        <v>9492229</v>
      </c>
      <c r="AG19" s="138" t="s">
        <v>121</v>
      </c>
      <c r="AH19" s="138"/>
      <c r="AI19" s="153" t="s">
        <v>181</v>
      </c>
    </row>
    <row r="20" spans="1:35" ht="15" customHeight="1" x14ac:dyDescent="0.2">
      <c r="A20" s="139">
        <f>Table1[[#This Row],[Qual a Numeração da Nota Fiscal com divergência ?]]</f>
        <v>1522065</v>
      </c>
      <c r="B20" s="146" t="s">
        <v>33</v>
      </c>
      <c r="C20" s="147" t="s">
        <v>111</v>
      </c>
      <c r="D20" s="147" t="s">
        <v>112</v>
      </c>
      <c r="E20" s="148">
        <f>WEEKNUM(Table1[[#This Row],[Dt da abertura]],1)</f>
        <v>4</v>
      </c>
      <c r="F20" s="147">
        <v>46042</v>
      </c>
      <c r="G20" s="147">
        <v>46042</v>
      </c>
      <c r="H20" s="147">
        <v>46044</v>
      </c>
      <c r="I20" s="147">
        <v>46044</v>
      </c>
      <c r="J20" s="147" t="s">
        <v>113</v>
      </c>
      <c r="K20" s="149" t="s">
        <v>114</v>
      </c>
      <c r="L20" s="149" t="str">
        <f>VLOOKUP(Table1[[#This Row],[Qual seu Carro de Entrega]],Hierarquia!A:K,11,0)</f>
        <v>TD Curitiba</v>
      </c>
      <c r="M20" s="149" t="str">
        <f>VLOOKUP(U20,Hierarquia!A:K,6,0)</f>
        <v>FADEL</v>
      </c>
      <c r="N20" s="149" t="s">
        <v>113</v>
      </c>
      <c r="O20" s="149" t="s">
        <v>115</v>
      </c>
      <c r="P20" s="133">
        <v>385</v>
      </c>
      <c r="Q20" s="135">
        <v>46042</v>
      </c>
      <c r="R20" s="133" t="s">
        <v>116</v>
      </c>
      <c r="S20" s="135" t="s">
        <v>133</v>
      </c>
      <c r="T20" s="133" t="s">
        <v>26</v>
      </c>
      <c r="U20" s="133" t="s">
        <v>182</v>
      </c>
      <c r="V20" s="135">
        <v>46042</v>
      </c>
      <c r="W20" s="133">
        <v>1522065</v>
      </c>
      <c r="X20" s="133">
        <v>6875352662</v>
      </c>
      <c r="Y20" s="133" t="s">
        <v>34</v>
      </c>
      <c r="Z20" s="133" t="s">
        <v>183</v>
      </c>
      <c r="AF20" s="133">
        <v>9505956</v>
      </c>
      <c r="AG20" s="133" t="s">
        <v>121</v>
      </c>
      <c r="AI20" s="133" t="s">
        <v>184</v>
      </c>
    </row>
    <row r="21" spans="1:35" ht="15" customHeight="1" x14ac:dyDescent="0.2">
      <c r="A21" s="139">
        <f>Table1[[#This Row],[Qual a Numeração da Nota Fiscal com divergência ?]]</f>
        <v>1521696</v>
      </c>
      <c r="B21" s="146" t="s">
        <v>33</v>
      </c>
      <c r="C21" s="147" t="s">
        <v>111</v>
      </c>
      <c r="D21" s="147" t="s">
        <v>112</v>
      </c>
      <c r="E21" s="148">
        <f>WEEKNUM(Table1[[#This Row],[Dt da abertura]],1)</f>
        <v>4</v>
      </c>
      <c r="F21" s="147">
        <v>46042</v>
      </c>
      <c r="G21" s="147">
        <v>46042</v>
      </c>
      <c r="H21" s="147">
        <v>46044</v>
      </c>
      <c r="I21" s="147">
        <v>46044</v>
      </c>
      <c r="J21" s="147" t="s">
        <v>113</v>
      </c>
      <c r="K21" s="149" t="s">
        <v>114</v>
      </c>
      <c r="L21" s="149" t="str">
        <f>VLOOKUP(Table1[[#This Row],[Qual seu Carro de Entrega]],Hierarquia!A:K,11,0)</f>
        <v>TD Curitiba</v>
      </c>
      <c r="M21" s="149" t="str">
        <f>VLOOKUP(U21,Hierarquia!A:K,6,0)</f>
        <v>FADEL</v>
      </c>
      <c r="N21" s="149" t="s">
        <v>113</v>
      </c>
      <c r="O21" s="149" t="s">
        <v>115</v>
      </c>
      <c r="P21" s="133">
        <v>386</v>
      </c>
      <c r="Q21" s="135">
        <v>46042</v>
      </c>
      <c r="R21" s="133" t="s">
        <v>116</v>
      </c>
      <c r="S21" s="135" t="s">
        <v>133</v>
      </c>
      <c r="T21" s="133" t="s">
        <v>26</v>
      </c>
      <c r="U21" s="133" t="s">
        <v>185</v>
      </c>
      <c r="V21" s="135">
        <v>46042</v>
      </c>
      <c r="W21" s="133">
        <v>1521696</v>
      </c>
      <c r="X21" s="133">
        <v>6875365711</v>
      </c>
      <c r="Y21" s="133" t="s">
        <v>34</v>
      </c>
      <c r="Z21" s="133" t="s">
        <v>186</v>
      </c>
      <c r="AF21" s="133">
        <v>9505600</v>
      </c>
      <c r="AG21" s="133" t="s">
        <v>131</v>
      </c>
      <c r="AI21" s="133" t="s">
        <v>187</v>
      </c>
    </row>
    <row r="22" spans="1:35" ht="15" customHeight="1" x14ac:dyDescent="0.2">
      <c r="A22" s="139">
        <f>Table1[[#This Row],[Qual a Numeração da Nota Fiscal com divergência ?]]</f>
        <v>1522610</v>
      </c>
      <c r="B22" s="146" t="s">
        <v>33</v>
      </c>
      <c r="C22" s="147" t="s">
        <v>111</v>
      </c>
      <c r="D22" s="147" t="s">
        <v>112</v>
      </c>
      <c r="E22" s="148">
        <f>WEEKNUM(Table1[[#This Row],[Dt da abertura]],1)</f>
        <v>4</v>
      </c>
      <c r="F22" s="147">
        <v>46043</v>
      </c>
      <c r="G22" s="147">
        <v>46043</v>
      </c>
      <c r="H22" s="147">
        <v>46045</v>
      </c>
      <c r="I22" s="147">
        <v>46044</v>
      </c>
      <c r="J22" s="147" t="s">
        <v>113</v>
      </c>
      <c r="K22" s="149" t="s">
        <v>114</v>
      </c>
      <c r="L22" s="149" t="str">
        <f>VLOOKUP(Table1[[#This Row],[Qual seu Carro de Entrega]],Hierarquia!A:K,11,0)</f>
        <v>TD Curitiba</v>
      </c>
      <c r="M22" s="149" t="str">
        <f>VLOOKUP(U22,Hierarquia!A:K,6,0)</f>
        <v>FADEL</v>
      </c>
      <c r="N22" s="149" t="s">
        <v>113</v>
      </c>
      <c r="O22" s="149" t="s">
        <v>115</v>
      </c>
      <c r="P22" s="133">
        <v>387</v>
      </c>
      <c r="Q22" s="135">
        <v>46043</v>
      </c>
      <c r="R22" s="133" t="s">
        <v>116</v>
      </c>
      <c r="S22" s="135" t="s">
        <v>133</v>
      </c>
      <c r="T22" s="133" t="s">
        <v>26</v>
      </c>
      <c r="U22" s="133" t="s">
        <v>134</v>
      </c>
      <c r="V22" s="135">
        <v>46043</v>
      </c>
      <c r="W22" s="133">
        <v>1522610</v>
      </c>
      <c r="X22" s="133">
        <v>6875381648</v>
      </c>
      <c r="Y22" s="133" t="s">
        <v>35</v>
      </c>
      <c r="Z22" s="133" t="s">
        <v>188</v>
      </c>
      <c r="AF22" s="133">
        <v>9518317</v>
      </c>
      <c r="AG22" s="133" t="s">
        <v>121</v>
      </c>
      <c r="AI22" s="133" t="s">
        <v>189</v>
      </c>
    </row>
    <row r="23" spans="1:35" ht="15" customHeight="1" x14ac:dyDescent="0.2">
      <c r="A23" s="139">
        <f>Table1[[#This Row],[Qual a Numeração da Nota Fiscal com divergência ?]]</f>
        <v>1522351</v>
      </c>
      <c r="B23" s="146" t="s">
        <v>33</v>
      </c>
      <c r="C23" s="147" t="s">
        <v>111</v>
      </c>
      <c r="D23" s="147" t="s">
        <v>112</v>
      </c>
      <c r="E23" s="148">
        <f>WEEKNUM(Table1[[#This Row],[Dt da abertura]],1)</f>
        <v>4</v>
      </c>
      <c r="F23" s="147">
        <v>46043</v>
      </c>
      <c r="G23" s="147">
        <v>46043</v>
      </c>
      <c r="H23" s="147">
        <v>46045</v>
      </c>
      <c r="I23" s="147">
        <v>46044</v>
      </c>
      <c r="J23" s="147" t="s">
        <v>113</v>
      </c>
      <c r="K23" s="149" t="s">
        <v>114</v>
      </c>
      <c r="L23" s="149" t="str">
        <f>VLOOKUP(Table1[[#This Row],[Qual seu Carro de Entrega]],Hierarquia!A:K,11,0)</f>
        <v>TD Curitiba</v>
      </c>
      <c r="M23" s="149" t="str">
        <f>VLOOKUP(U23,Hierarquia!A:K,6,0)</f>
        <v>FADEL</v>
      </c>
      <c r="N23" s="149" t="s">
        <v>113</v>
      </c>
      <c r="O23" s="149" t="s">
        <v>115</v>
      </c>
      <c r="P23" s="133">
        <v>388</v>
      </c>
      <c r="Q23" s="135">
        <v>46043</v>
      </c>
      <c r="R23" s="133" t="s">
        <v>116</v>
      </c>
      <c r="S23" s="135" t="s">
        <v>133</v>
      </c>
      <c r="T23" s="133" t="s">
        <v>26</v>
      </c>
      <c r="U23" s="133" t="s">
        <v>190</v>
      </c>
      <c r="V23" s="135">
        <v>46043</v>
      </c>
      <c r="W23" s="133">
        <v>1522351</v>
      </c>
      <c r="X23" s="133">
        <v>6875400240</v>
      </c>
      <c r="Y23" s="133" t="s">
        <v>34</v>
      </c>
      <c r="Z23" s="133" t="s">
        <v>191</v>
      </c>
      <c r="AF23" s="133">
        <v>9518558</v>
      </c>
      <c r="AG23" s="133" t="s">
        <v>121</v>
      </c>
      <c r="AI23" s="133" t="s">
        <v>191</v>
      </c>
    </row>
    <row r="24" spans="1:35" hidden="1" x14ac:dyDescent="0.2">
      <c r="A24" s="139">
        <f>Table1[[#This Row],[Qual a Numeração da Nota Fiscal com divergência ?]]</f>
        <v>1522165</v>
      </c>
      <c r="B24" s="146" t="s">
        <v>25</v>
      </c>
      <c r="C24" s="147" t="s">
        <v>111</v>
      </c>
      <c r="D24" s="147" t="s">
        <v>112</v>
      </c>
      <c r="E24" s="148">
        <f>WEEKNUM(Table1[[#This Row],[Dt da abertura]],1)</f>
        <v>4</v>
      </c>
      <c r="F24" s="147">
        <v>46044</v>
      </c>
      <c r="G24" s="147">
        <v>46044</v>
      </c>
      <c r="H24" s="147">
        <v>46048</v>
      </c>
      <c r="I24" s="147">
        <v>46045</v>
      </c>
      <c r="J24" s="147" t="s">
        <v>113</v>
      </c>
      <c r="K24" s="149" t="s">
        <v>114</v>
      </c>
      <c r="L24" s="149" t="str">
        <f>VLOOKUP(Table1[[#This Row],[Qual seu Carro de Entrega]],Hierarquia!A:K,11,0)</f>
        <v>TV Curitiba 2</v>
      </c>
      <c r="M24" s="149" t="str">
        <f>VLOOKUP(U24,Hierarquia!A:K,6,0)</f>
        <v>BAT</v>
      </c>
      <c r="N24" s="149" t="s">
        <v>113</v>
      </c>
      <c r="O24" s="149" t="s">
        <v>115</v>
      </c>
      <c r="P24" s="133">
        <v>389</v>
      </c>
      <c r="Q24" s="135">
        <v>46044</v>
      </c>
      <c r="R24" s="133" t="s">
        <v>116</v>
      </c>
      <c r="S24" s="135" t="s">
        <v>128</v>
      </c>
      <c r="T24" s="133" t="s">
        <v>28</v>
      </c>
      <c r="U24" s="133" t="s">
        <v>129</v>
      </c>
      <c r="V24" s="135">
        <v>46044</v>
      </c>
      <c r="W24" s="133">
        <v>1522165</v>
      </c>
      <c r="X24" s="133">
        <v>6875390355</v>
      </c>
      <c r="Y24" s="133" t="s">
        <v>35</v>
      </c>
      <c r="Z24" s="133" t="s">
        <v>192</v>
      </c>
      <c r="AF24" s="133">
        <v>0</v>
      </c>
      <c r="AG24" s="133" t="s">
        <v>131</v>
      </c>
      <c r="AI24" s="133">
        <v>0</v>
      </c>
    </row>
    <row r="25" spans="1:35" ht="15.6" hidden="1" customHeight="1" x14ac:dyDescent="0.25">
      <c r="A25" s="139">
        <f>Table1[[#This Row],[Qual a Numeração da Nota Fiscal com divergência ?]]</f>
        <v>1520525</v>
      </c>
      <c r="B25" s="146" t="s">
        <v>30</v>
      </c>
      <c r="C25" s="147" t="s">
        <v>111</v>
      </c>
      <c r="D25" s="147" t="s">
        <v>112</v>
      </c>
      <c r="E25" s="148">
        <f>WEEKNUM(Table1[[#This Row],[Dt da abertura]],1)</f>
        <v>4</v>
      </c>
      <c r="F25" s="147">
        <v>46045</v>
      </c>
      <c r="G25" s="147">
        <v>46044</v>
      </c>
      <c r="H25" s="147">
        <v>46049</v>
      </c>
      <c r="I25" s="147">
        <v>46049</v>
      </c>
      <c r="J25" s="147" t="s">
        <v>113</v>
      </c>
      <c r="K25" s="149" t="s">
        <v>114</v>
      </c>
      <c r="L25" s="149" t="str">
        <f>VLOOKUP(Table1[[#This Row],[Qual seu Carro de Entrega]],Hierarquia!A:K,11,0)</f>
        <v>TV Cascavel</v>
      </c>
      <c r="M25" s="149" t="str">
        <f>VLOOKUP(U25,Hierarquia!A:K,6,0)</f>
        <v>BAT</v>
      </c>
      <c r="N25" s="149" t="s">
        <v>113</v>
      </c>
      <c r="O25" s="149" t="s">
        <v>115</v>
      </c>
      <c r="P25" s="133">
        <v>391</v>
      </c>
      <c r="Q25" s="135">
        <v>46044</v>
      </c>
      <c r="R25" s="133" t="s">
        <v>116</v>
      </c>
      <c r="S25" s="151" t="s">
        <v>193</v>
      </c>
      <c r="T25" s="133" t="s">
        <v>28</v>
      </c>
      <c r="U25" s="133" t="s">
        <v>194</v>
      </c>
      <c r="V25" s="135">
        <v>46042</v>
      </c>
      <c r="W25" s="133">
        <v>1520525</v>
      </c>
      <c r="X25" s="133">
        <v>6875321132</v>
      </c>
      <c r="Y25" s="133" t="s">
        <v>35</v>
      </c>
      <c r="Z25" s="133" t="s">
        <v>195</v>
      </c>
      <c r="AF25" s="133" t="s">
        <v>196</v>
      </c>
      <c r="AG25" s="133" t="s">
        <v>131</v>
      </c>
      <c r="AI25" s="133" t="s">
        <v>197</v>
      </c>
    </row>
    <row r="26" spans="1:35" ht="15.6" hidden="1" customHeight="1" x14ac:dyDescent="0.25">
      <c r="A26" s="139">
        <f>Table1[[#This Row],[Qual a Numeração da Nota Fiscal com divergência ?]]</f>
        <v>1520720</v>
      </c>
      <c r="B26" s="146" t="s">
        <v>33</v>
      </c>
      <c r="C26" s="147" t="s">
        <v>111</v>
      </c>
      <c r="D26" s="147" t="s">
        <v>112</v>
      </c>
      <c r="E26" s="148">
        <f>WEEKNUM(Table1[[#This Row],[Dt da abertura]],1)</f>
        <v>4</v>
      </c>
      <c r="F26" s="147">
        <v>46045</v>
      </c>
      <c r="G26" s="147">
        <v>46044</v>
      </c>
      <c r="H26" s="147">
        <v>46049</v>
      </c>
      <c r="I26" s="147">
        <v>46049</v>
      </c>
      <c r="J26" s="147" t="s">
        <v>113</v>
      </c>
      <c r="K26" s="149" t="s">
        <v>114</v>
      </c>
      <c r="L26" s="149" t="str">
        <f>VLOOKUP(Table1[[#This Row],[Qual seu Carro de Entrega]],Hierarquia!A:K,11,0)</f>
        <v>TV Curitiba 2</v>
      </c>
      <c r="M26" s="149" t="str">
        <f>VLOOKUP(U26,Hierarquia!A:K,6,0)</f>
        <v>BAT</v>
      </c>
      <c r="N26" s="149" t="s">
        <v>113</v>
      </c>
      <c r="O26" s="149" t="s">
        <v>115</v>
      </c>
      <c r="P26" s="133">
        <v>390</v>
      </c>
      <c r="Q26" s="135">
        <v>46044</v>
      </c>
      <c r="R26" s="133" t="s">
        <v>116</v>
      </c>
      <c r="S26" s="151" t="s">
        <v>171</v>
      </c>
      <c r="T26" s="133" t="s">
        <v>28</v>
      </c>
      <c r="U26" s="133" t="s">
        <v>172</v>
      </c>
      <c r="V26" s="135">
        <v>46044</v>
      </c>
      <c r="W26" s="133">
        <v>1520720</v>
      </c>
      <c r="X26" s="133">
        <v>6875326915</v>
      </c>
      <c r="Y26" s="133" t="s">
        <v>32</v>
      </c>
      <c r="Z26" s="133" t="s">
        <v>198</v>
      </c>
      <c r="AF26" s="133">
        <v>0</v>
      </c>
      <c r="AG26" s="133" t="s">
        <v>126</v>
      </c>
    </row>
    <row r="27" spans="1:35" ht="15.75" customHeight="1" x14ac:dyDescent="0.2">
      <c r="A27" s="139">
        <f>Table1[[#This Row],[Qual a Numeração da Nota Fiscal com divergência ?]]</f>
        <v>1523794</v>
      </c>
      <c r="B27" s="146" t="s">
        <v>30</v>
      </c>
      <c r="C27" s="147" t="s">
        <v>111</v>
      </c>
      <c r="D27" s="147" t="s">
        <v>112</v>
      </c>
      <c r="E27" s="148">
        <f>WEEKNUM(Table1[[#This Row],[Dt da abertura]],1)</f>
        <v>4</v>
      </c>
      <c r="F27" s="147">
        <v>46045</v>
      </c>
      <c r="G27" s="147">
        <v>46045</v>
      </c>
      <c r="H27" s="147">
        <v>46049</v>
      </c>
      <c r="I27" s="147">
        <v>46049</v>
      </c>
      <c r="J27" s="147" t="s">
        <v>113</v>
      </c>
      <c r="K27" s="149" t="s">
        <v>114</v>
      </c>
      <c r="L27" s="149" t="str">
        <f>VLOOKUP(Table1[[#This Row],[Qual seu Carro de Entrega]],Hierarquia!A:K,11,0)</f>
        <v>TD Curitiba</v>
      </c>
      <c r="M27" s="149" t="str">
        <f>VLOOKUP(U27,Hierarquia!A:K,6,0)</f>
        <v>FADEL</v>
      </c>
      <c r="N27" s="149" t="s">
        <v>113</v>
      </c>
      <c r="O27" s="149" t="s">
        <v>115</v>
      </c>
      <c r="P27" s="133">
        <v>393</v>
      </c>
      <c r="Q27" s="135">
        <v>46045</v>
      </c>
      <c r="R27" s="133" t="s">
        <v>116</v>
      </c>
      <c r="S27" s="135" t="s">
        <v>133</v>
      </c>
      <c r="T27" s="133" t="s">
        <v>26</v>
      </c>
      <c r="U27" s="133" t="s">
        <v>118</v>
      </c>
      <c r="V27" s="135">
        <v>46045</v>
      </c>
      <c r="W27" s="133">
        <v>1523794</v>
      </c>
      <c r="X27" s="133">
        <v>6875409659</v>
      </c>
      <c r="Y27" s="133" t="s">
        <v>35</v>
      </c>
      <c r="Z27" s="133" t="s">
        <v>199</v>
      </c>
      <c r="AF27" s="133" t="s">
        <v>200</v>
      </c>
      <c r="AG27" s="133" t="s">
        <v>131</v>
      </c>
      <c r="AI27" s="133" t="s">
        <v>201</v>
      </c>
    </row>
    <row r="28" spans="1:35" ht="15" hidden="1" customHeight="1" x14ac:dyDescent="0.25">
      <c r="A28" s="139">
        <f>Table1[[#This Row],[Qual a Numeração da Nota Fiscal com divergência ?]]</f>
        <v>1222160</v>
      </c>
      <c r="B28" s="146" t="s">
        <v>30</v>
      </c>
      <c r="C28" s="147" t="s">
        <v>111</v>
      </c>
      <c r="D28" s="147" t="s">
        <v>112</v>
      </c>
      <c r="E28" s="148">
        <f>WEEKNUM(Table1[[#This Row],[Dt da abertura]],1)</f>
        <v>4</v>
      </c>
      <c r="F28" s="147">
        <v>46045</v>
      </c>
      <c r="G28" s="147">
        <v>46045</v>
      </c>
      <c r="H28" s="147">
        <v>46049</v>
      </c>
      <c r="I28" s="147">
        <v>46049</v>
      </c>
      <c r="J28" s="147" t="s">
        <v>113</v>
      </c>
      <c r="K28" s="149" t="s">
        <v>114</v>
      </c>
      <c r="L28" s="149" t="str">
        <f>VLOOKUP(Table1[[#This Row],[Qual seu Carro de Entrega]],Hierarquia!A:K,11,0)</f>
        <v>TV Curitiba 2</v>
      </c>
      <c r="M28" s="149" t="str">
        <f>VLOOKUP(U28,Hierarquia!A:K,6,0)</f>
        <v>BAT</v>
      </c>
      <c r="N28" s="149" t="s">
        <v>113</v>
      </c>
      <c r="O28" s="149" t="s">
        <v>115</v>
      </c>
      <c r="P28" s="133">
        <v>392</v>
      </c>
      <c r="Q28" s="135">
        <v>46045</v>
      </c>
      <c r="R28" s="133" t="s">
        <v>116</v>
      </c>
      <c r="S28" s="151" t="s">
        <v>202</v>
      </c>
      <c r="T28" s="133" t="s">
        <v>28</v>
      </c>
      <c r="U28" s="133" t="s">
        <v>203</v>
      </c>
      <c r="V28" s="135">
        <v>46045</v>
      </c>
      <c r="W28" s="133">
        <v>1222160</v>
      </c>
      <c r="X28" s="133">
        <v>6875385432</v>
      </c>
      <c r="Y28" s="133" t="s">
        <v>35</v>
      </c>
      <c r="Z28" s="133" t="s">
        <v>204</v>
      </c>
      <c r="AF28" s="133" t="s">
        <v>205</v>
      </c>
      <c r="AG28" s="133" t="s">
        <v>126</v>
      </c>
      <c r="AI28" s="133" t="s">
        <v>206</v>
      </c>
    </row>
    <row r="29" spans="1:35" ht="15.6" customHeight="1" x14ac:dyDescent="0.2">
      <c r="A29" s="139">
        <f>Table1[[#This Row],[Qual a Numeração da Nota Fiscal com divergência ?]]</f>
        <v>1523544</v>
      </c>
      <c r="B29" s="146" t="s">
        <v>33</v>
      </c>
      <c r="C29" s="147" t="s">
        <v>111</v>
      </c>
      <c r="D29" s="147" t="s">
        <v>112</v>
      </c>
      <c r="E29" s="148">
        <f>WEEKNUM(Table1[[#This Row],[Dt da abertura]],1)</f>
        <v>4</v>
      </c>
      <c r="F29" s="147">
        <v>46045</v>
      </c>
      <c r="G29" s="147">
        <v>46045</v>
      </c>
      <c r="H29" s="147">
        <v>46049</v>
      </c>
      <c r="I29" s="147">
        <v>46049</v>
      </c>
      <c r="J29" s="147" t="s">
        <v>113</v>
      </c>
      <c r="K29" s="149" t="s">
        <v>114</v>
      </c>
      <c r="L29" s="149" t="str">
        <f>VLOOKUP(Table1[[#This Row],[Qual seu Carro de Entrega]],Hierarquia!A:K,11,0)</f>
        <v>TD Curitiba</v>
      </c>
      <c r="M29" s="149" t="str">
        <f>VLOOKUP(U29,Hierarquia!A:K,6,0)</f>
        <v>FADEL</v>
      </c>
      <c r="N29" s="149" t="s">
        <v>113</v>
      </c>
      <c r="O29" s="149" t="s">
        <v>115</v>
      </c>
      <c r="P29" s="133">
        <v>394</v>
      </c>
      <c r="Q29" s="135">
        <v>46045</v>
      </c>
      <c r="R29" s="133" t="s">
        <v>116</v>
      </c>
      <c r="S29" s="135" t="s">
        <v>133</v>
      </c>
      <c r="T29" s="133" t="s">
        <v>26</v>
      </c>
      <c r="U29" s="133" t="s">
        <v>207</v>
      </c>
      <c r="V29" s="135">
        <v>46045</v>
      </c>
      <c r="W29" s="133">
        <v>1523544</v>
      </c>
      <c r="X29" s="133">
        <v>6875440021</v>
      </c>
      <c r="Y29" s="133" t="s">
        <v>34</v>
      </c>
      <c r="Z29" s="133" t="s">
        <v>208</v>
      </c>
      <c r="AF29" s="133">
        <v>9546096</v>
      </c>
      <c r="AG29" s="133" t="s">
        <v>121</v>
      </c>
      <c r="AI29" s="133" t="s">
        <v>208</v>
      </c>
    </row>
    <row r="30" spans="1:35" ht="15.6" customHeight="1" x14ac:dyDescent="0.2">
      <c r="A30" s="139">
        <f>Table1[[#This Row],[Qual a Numeração da Nota Fiscal com divergência ?]]</f>
        <v>1523494</v>
      </c>
      <c r="B30" s="146" t="s">
        <v>33</v>
      </c>
      <c r="C30" s="147" t="s">
        <v>111</v>
      </c>
      <c r="D30" s="147" t="s">
        <v>112</v>
      </c>
      <c r="E30" s="148">
        <f>WEEKNUM(Table1[[#This Row],[Dt da abertura]],1)</f>
        <v>4</v>
      </c>
      <c r="F30" s="147">
        <v>46045</v>
      </c>
      <c r="G30" s="147">
        <v>46045</v>
      </c>
      <c r="H30" s="147">
        <v>46049</v>
      </c>
      <c r="I30" s="147">
        <v>46049</v>
      </c>
      <c r="J30" s="147" t="s">
        <v>113</v>
      </c>
      <c r="K30" s="149" t="s">
        <v>114</v>
      </c>
      <c r="L30" s="149" t="str">
        <f>VLOOKUP(Table1[[#This Row],[Qual seu Carro de Entrega]],Hierarquia!A:K,11,0)</f>
        <v>TD Curitiba</v>
      </c>
      <c r="M30" s="149" t="str">
        <f>VLOOKUP(U30,Hierarquia!A:K,6,0)</f>
        <v>FADEL</v>
      </c>
      <c r="N30" s="149" t="s">
        <v>113</v>
      </c>
      <c r="O30" s="149" t="s">
        <v>115</v>
      </c>
      <c r="P30" s="133">
        <v>395</v>
      </c>
      <c r="Q30" s="135">
        <v>46045</v>
      </c>
      <c r="R30" s="133" t="s">
        <v>116</v>
      </c>
      <c r="S30" s="135" t="s">
        <v>133</v>
      </c>
      <c r="T30" s="133" t="s">
        <v>26</v>
      </c>
      <c r="U30" s="133" t="s">
        <v>118</v>
      </c>
      <c r="V30" s="135">
        <v>46045</v>
      </c>
      <c r="W30" s="133">
        <v>1523494</v>
      </c>
      <c r="X30" s="133">
        <v>6875431935</v>
      </c>
      <c r="Y30" s="133" t="s">
        <v>34</v>
      </c>
      <c r="Z30" s="133" t="s">
        <v>209</v>
      </c>
      <c r="AF30" s="133">
        <v>9545865</v>
      </c>
      <c r="AG30" s="133" t="s">
        <v>131</v>
      </c>
    </row>
    <row r="31" spans="1:35" ht="15.6" customHeight="1" x14ac:dyDescent="0.2">
      <c r="A31" s="139">
        <f>Table1[[#This Row],[Qual a Numeração da Nota Fiscal com divergência ?]]</f>
        <v>1523518</v>
      </c>
      <c r="B31" s="146" t="s">
        <v>33</v>
      </c>
      <c r="C31" s="147" t="s">
        <v>111</v>
      </c>
      <c r="D31" s="147" t="s">
        <v>112</v>
      </c>
      <c r="E31" s="148">
        <f>WEEKNUM(Table1[[#This Row],[Dt da abertura]],1)</f>
        <v>4</v>
      </c>
      <c r="F31" s="147">
        <v>46048</v>
      </c>
      <c r="G31" s="147">
        <v>46045</v>
      </c>
      <c r="H31" s="147">
        <v>46050</v>
      </c>
      <c r="I31" s="147">
        <v>46049</v>
      </c>
      <c r="J31" s="147" t="s">
        <v>113</v>
      </c>
      <c r="K31" s="149" t="s">
        <v>114</v>
      </c>
      <c r="L31" s="149" t="str">
        <f>VLOOKUP(Table1[[#This Row],[Qual seu Carro de Entrega]],Hierarquia!A:K,11,0)</f>
        <v>TD Curitiba</v>
      </c>
      <c r="M31" s="149" t="str">
        <f>VLOOKUP(U31,Hierarquia!A:K,6,0)</f>
        <v>FADEL</v>
      </c>
      <c r="N31" s="149" t="s">
        <v>113</v>
      </c>
      <c r="O31" s="149" t="s">
        <v>115</v>
      </c>
      <c r="P31" s="133">
        <v>396</v>
      </c>
      <c r="Q31" s="135">
        <v>46045</v>
      </c>
      <c r="R31" s="133" t="s">
        <v>116</v>
      </c>
      <c r="S31" s="135" t="s">
        <v>133</v>
      </c>
      <c r="T31" s="133" t="s">
        <v>26</v>
      </c>
      <c r="U31" s="133" t="s">
        <v>210</v>
      </c>
      <c r="V31" s="135">
        <v>46045</v>
      </c>
      <c r="W31" s="133">
        <v>1523518</v>
      </c>
      <c r="X31" s="133">
        <v>6875446001</v>
      </c>
      <c r="Y31" s="133" t="s">
        <v>35</v>
      </c>
      <c r="Z31" s="133" t="s">
        <v>211</v>
      </c>
      <c r="AF31" s="133">
        <v>9546501</v>
      </c>
      <c r="AG31" s="133" t="s">
        <v>121</v>
      </c>
      <c r="AI31" s="133" t="s">
        <v>212</v>
      </c>
    </row>
    <row r="32" spans="1:35" ht="15.6" hidden="1" customHeight="1" x14ac:dyDescent="0.2">
      <c r="A32" s="139" t="str">
        <f>Table1[[#This Row],[Qual a Numeração da Nota Fiscal com divergência ?]]</f>
        <v>1511610-9</v>
      </c>
      <c r="B32" s="146" t="s">
        <v>25</v>
      </c>
      <c r="C32" s="147" t="s">
        <v>111</v>
      </c>
      <c r="D32" s="147" t="s">
        <v>112</v>
      </c>
      <c r="E32" s="148">
        <f>WEEKNUM(Table1[[#This Row],[Dt da abertura]],1)</f>
        <v>5</v>
      </c>
      <c r="F32" s="147">
        <v>46048</v>
      </c>
      <c r="G32" s="147">
        <v>46048</v>
      </c>
      <c r="H32" s="147">
        <v>46050</v>
      </c>
      <c r="I32" s="147">
        <v>46051</v>
      </c>
      <c r="J32" s="147" t="s">
        <v>113</v>
      </c>
      <c r="K32" s="149" t="s">
        <v>114</v>
      </c>
      <c r="L32" s="149" t="str">
        <f>VLOOKUP(Table1[[#This Row],[Qual seu Carro de Entrega]],Hierarquia!A:K,11,0)</f>
        <v>TV Curitiba 2</v>
      </c>
      <c r="M32" s="149" t="str">
        <f>VLOOKUP(U32,Hierarquia!A:K,6,0)</f>
        <v>BAT</v>
      </c>
      <c r="N32" s="149" t="s">
        <v>113</v>
      </c>
      <c r="O32" s="149" t="s">
        <v>115</v>
      </c>
      <c r="P32" s="133">
        <v>397</v>
      </c>
      <c r="Q32" s="135">
        <v>46048</v>
      </c>
      <c r="R32" s="133" t="s">
        <v>116</v>
      </c>
      <c r="S32" s="135" t="s">
        <v>123</v>
      </c>
      <c r="T32" s="133" t="s">
        <v>28</v>
      </c>
      <c r="U32" s="133" t="s">
        <v>124</v>
      </c>
      <c r="V32" s="135">
        <v>46014</v>
      </c>
      <c r="W32" s="133" t="s">
        <v>213</v>
      </c>
      <c r="X32" s="133">
        <v>6874774184</v>
      </c>
      <c r="Y32" s="133" t="s">
        <v>35</v>
      </c>
      <c r="Z32" s="133" t="s">
        <v>214</v>
      </c>
      <c r="AF32" s="133">
        <v>9</v>
      </c>
      <c r="AG32" s="133" t="s">
        <v>126</v>
      </c>
    </row>
    <row r="33" spans="1:35" ht="15.6" customHeight="1" x14ac:dyDescent="0.2">
      <c r="A33" s="139">
        <f>Table1[[#This Row],[Qual a Numeração da Nota Fiscal com divergência ?]]</f>
        <v>1523991</v>
      </c>
      <c r="B33" s="146" t="s">
        <v>30</v>
      </c>
      <c r="C33" s="147" t="s">
        <v>111</v>
      </c>
      <c r="D33" s="147" t="s">
        <v>112</v>
      </c>
      <c r="E33" s="148">
        <f>WEEKNUM(Table1[[#This Row],[Dt da abertura]],1)</f>
        <v>5</v>
      </c>
      <c r="F33" s="147">
        <v>46049</v>
      </c>
      <c r="G33" s="147">
        <v>46049</v>
      </c>
      <c r="H33" s="147">
        <v>46050</v>
      </c>
      <c r="I33" s="147">
        <v>46051</v>
      </c>
      <c r="J33" s="147" t="s">
        <v>113</v>
      </c>
      <c r="K33" s="149" t="s">
        <v>114</v>
      </c>
      <c r="L33" s="149" t="str">
        <f>VLOOKUP(Table1[[#This Row],[Qual seu Carro de Entrega]],Hierarquia!A:K,11,0)</f>
        <v>TD Curitiba</v>
      </c>
      <c r="M33" s="149" t="str">
        <f>VLOOKUP(U33,Hierarquia!A:K,6,0)</f>
        <v>FADEL</v>
      </c>
      <c r="N33" s="149" t="s">
        <v>113</v>
      </c>
      <c r="O33" s="149" t="s">
        <v>115</v>
      </c>
      <c r="P33" s="138">
        <v>398</v>
      </c>
      <c r="Q33" s="152">
        <v>46049</v>
      </c>
      <c r="R33" s="138" t="s">
        <v>116</v>
      </c>
      <c r="S33" s="152" t="s">
        <v>133</v>
      </c>
      <c r="T33" s="138" t="s">
        <v>26</v>
      </c>
      <c r="U33" s="138" t="s">
        <v>215</v>
      </c>
      <c r="V33" s="152">
        <v>46048</v>
      </c>
      <c r="W33" s="133">
        <v>1523991</v>
      </c>
      <c r="X33" s="138">
        <v>6875244519</v>
      </c>
      <c r="Y33" s="138" t="s">
        <v>35</v>
      </c>
      <c r="Z33" s="138" t="s">
        <v>216</v>
      </c>
      <c r="AA33" s="138"/>
      <c r="AB33" s="138"/>
      <c r="AD33" s="138"/>
      <c r="AF33" s="138">
        <v>9560908</v>
      </c>
      <c r="AG33" s="138" t="s">
        <v>131</v>
      </c>
      <c r="AH33" s="138"/>
      <c r="AI33" s="153" t="s">
        <v>217</v>
      </c>
    </row>
    <row r="34" spans="1:35" x14ac:dyDescent="0.2">
      <c r="A34" s="139">
        <f>Table1[[#This Row],[Qual a Numeração da Nota Fiscal com divergência ?]]</f>
        <v>1522687</v>
      </c>
      <c r="B34" s="146" t="s">
        <v>30</v>
      </c>
      <c r="C34" s="147" t="s">
        <v>111</v>
      </c>
      <c r="D34" s="147" t="s">
        <v>112</v>
      </c>
      <c r="E34" s="148">
        <f>WEEKNUM(Table1[[#This Row],[Dt da abertura]],1)</f>
        <v>5</v>
      </c>
      <c r="F34" s="147">
        <v>46049</v>
      </c>
      <c r="G34" s="147">
        <v>46049</v>
      </c>
      <c r="H34" s="147">
        <v>46051</v>
      </c>
      <c r="I34" s="147">
        <v>46051</v>
      </c>
      <c r="J34" s="147" t="s">
        <v>113</v>
      </c>
      <c r="K34" s="149" t="s">
        <v>114</v>
      </c>
      <c r="L34" s="149" t="str">
        <f>VLOOKUP(Table1[[#This Row],[Qual seu Carro de Entrega]],Hierarquia!A:K,11,0)</f>
        <v>TD Curitiba</v>
      </c>
      <c r="M34" s="149" t="str">
        <f>VLOOKUP(U34,Hierarquia!A:K,6,0)</f>
        <v>FADEL</v>
      </c>
      <c r="N34" s="149" t="s">
        <v>113</v>
      </c>
      <c r="O34" s="149" t="s">
        <v>115</v>
      </c>
      <c r="P34" s="138">
        <v>400</v>
      </c>
      <c r="Q34" s="152">
        <v>46049</v>
      </c>
      <c r="R34" s="138" t="s">
        <v>116</v>
      </c>
      <c r="S34" s="152" t="s">
        <v>218</v>
      </c>
      <c r="T34" s="138" t="s">
        <v>26</v>
      </c>
      <c r="U34" s="138" t="s">
        <v>118</v>
      </c>
      <c r="V34" s="152">
        <v>46043</v>
      </c>
      <c r="W34" s="138">
        <v>1522687</v>
      </c>
      <c r="X34" s="138">
        <v>6875381991</v>
      </c>
      <c r="Y34" s="138" t="s">
        <v>34</v>
      </c>
      <c r="Z34" s="153" t="s">
        <v>219</v>
      </c>
      <c r="AA34" s="138"/>
      <c r="AB34" s="138"/>
      <c r="AC34" s="138"/>
      <c r="AD34" s="138"/>
      <c r="AF34" s="138" t="s">
        <v>220</v>
      </c>
      <c r="AG34" s="138" t="s">
        <v>131</v>
      </c>
      <c r="AH34" s="138"/>
      <c r="AI34" s="153" t="s">
        <v>221</v>
      </c>
    </row>
    <row r="35" spans="1:35" x14ac:dyDescent="0.2">
      <c r="A35" s="139">
        <f>Table1[[#This Row],[Qual a Numeração da Nota Fiscal com divergência ?]]</f>
        <v>1525537</v>
      </c>
      <c r="B35" s="146" t="s">
        <v>30</v>
      </c>
      <c r="C35" s="147" t="s">
        <v>111</v>
      </c>
      <c r="D35" s="147" t="s">
        <v>112</v>
      </c>
      <c r="E35" s="148">
        <f>WEEKNUM(Table1[[#This Row],[Dt da abertura]],1)</f>
        <v>5</v>
      </c>
      <c r="F35" s="147">
        <v>46051</v>
      </c>
      <c r="G35" s="147">
        <f>Table1[[#This Row],[Data de Abertura Chamado]]</f>
        <v>46050</v>
      </c>
      <c r="H35" s="147">
        <v>46055</v>
      </c>
      <c r="I35" s="147">
        <v>46056</v>
      </c>
      <c r="J35" s="147" t="s">
        <v>113</v>
      </c>
      <c r="K35" s="149" t="s">
        <v>114</v>
      </c>
      <c r="L35" s="149" t="str">
        <f>VLOOKUP(Table1[[#This Row],[Qual seu Carro de Entrega]],Hierarquia!A:K,11,0)</f>
        <v>TD Curitiba</v>
      </c>
      <c r="M35" s="149" t="str">
        <f>VLOOKUP(U35,Hierarquia!A:K,6,0)</f>
        <v>FADEL</v>
      </c>
      <c r="N35" s="149" t="s">
        <v>113</v>
      </c>
      <c r="O35" s="149" t="s">
        <v>115</v>
      </c>
      <c r="P35" s="133">
        <v>402</v>
      </c>
      <c r="Q35" s="135">
        <v>46050</v>
      </c>
      <c r="R35" s="133" t="s">
        <v>116</v>
      </c>
      <c r="S35" s="135" t="s">
        <v>133</v>
      </c>
      <c r="T35" s="133" t="s">
        <v>26</v>
      </c>
      <c r="U35" s="133" t="s">
        <v>182</v>
      </c>
      <c r="V35" s="135">
        <v>46050</v>
      </c>
      <c r="W35" s="133">
        <v>1525537</v>
      </c>
      <c r="X35" s="133">
        <v>6875512766</v>
      </c>
      <c r="Y35" s="133" t="s">
        <v>34</v>
      </c>
      <c r="Z35" s="133" t="s">
        <v>222</v>
      </c>
      <c r="AF35" s="133" t="s">
        <v>223</v>
      </c>
      <c r="AG35" s="133" t="s">
        <v>121</v>
      </c>
      <c r="AI35" s="133" t="s">
        <v>224</v>
      </c>
    </row>
    <row r="36" spans="1:35" x14ac:dyDescent="0.2">
      <c r="A36" s="139">
        <f>Table1[[#This Row],[Qual a Numeração da Nota Fiscal com divergência ?]]</f>
        <v>1525291</v>
      </c>
      <c r="B36" s="146" t="s">
        <v>33</v>
      </c>
      <c r="C36" s="147" t="s">
        <v>111</v>
      </c>
      <c r="D36" s="147" t="s">
        <v>112</v>
      </c>
      <c r="E36" s="148">
        <f>WEEKNUM(Table1[[#This Row],[Dt da abertura]],1)</f>
        <v>5</v>
      </c>
      <c r="F36" s="147">
        <v>46051</v>
      </c>
      <c r="G36" s="147">
        <f>Table1[[#This Row],[Data de Abertura Chamado]]</f>
        <v>46050</v>
      </c>
      <c r="H36" s="147">
        <v>46055</v>
      </c>
      <c r="I36" s="147">
        <v>46056</v>
      </c>
      <c r="J36" s="147" t="s">
        <v>113</v>
      </c>
      <c r="K36" s="149" t="s">
        <v>114</v>
      </c>
      <c r="L36" s="149" t="str">
        <f>VLOOKUP(Table1[[#This Row],[Qual seu Carro de Entrega]],Hierarquia!A:K,11,0)</f>
        <v>TD Curitiba</v>
      </c>
      <c r="M36" s="149" t="str">
        <f>VLOOKUP(U36,Hierarquia!A:K,6,0)</f>
        <v>FADEL</v>
      </c>
      <c r="N36" s="149" t="s">
        <v>113</v>
      </c>
      <c r="O36" s="149" t="s">
        <v>115</v>
      </c>
      <c r="P36" s="133">
        <v>403</v>
      </c>
      <c r="Q36" s="135">
        <v>46050</v>
      </c>
      <c r="R36" s="133" t="s">
        <v>116</v>
      </c>
      <c r="S36" s="135" t="s">
        <v>133</v>
      </c>
      <c r="T36" s="133" t="s">
        <v>26</v>
      </c>
      <c r="U36" s="133" t="s">
        <v>168</v>
      </c>
      <c r="V36" s="135">
        <v>46050</v>
      </c>
      <c r="W36" s="133">
        <v>1525291</v>
      </c>
      <c r="X36" s="133">
        <v>6875466007</v>
      </c>
      <c r="Y36" s="133" t="s">
        <v>34</v>
      </c>
      <c r="Z36" s="133" t="s">
        <v>225</v>
      </c>
      <c r="AF36" s="133">
        <v>9580970</v>
      </c>
      <c r="AG36" s="133" t="s">
        <v>131</v>
      </c>
      <c r="AI36" s="133" t="s">
        <v>226</v>
      </c>
    </row>
    <row r="37" spans="1:35" x14ac:dyDescent="0.2">
      <c r="A37" s="139">
        <f>Table1[[#This Row],[Qual a Numeração da Nota Fiscal com divergência ?]]</f>
        <v>1525390</v>
      </c>
      <c r="B37" s="146" t="s">
        <v>30</v>
      </c>
      <c r="C37" s="147" t="s">
        <v>111</v>
      </c>
      <c r="D37" s="147" t="s">
        <v>112</v>
      </c>
      <c r="E37" s="148">
        <f>WEEKNUM(Table1[[#This Row],[Dt da abertura]],1)</f>
        <v>5</v>
      </c>
      <c r="F37" s="147">
        <v>46051</v>
      </c>
      <c r="G37" s="147">
        <f>Table1[[#This Row],[Data de Abertura Chamado]]</f>
        <v>46050</v>
      </c>
      <c r="H37" s="147">
        <v>46055</v>
      </c>
      <c r="I37" s="147">
        <v>46056</v>
      </c>
      <c r="J37" s="147" t="s">
        <v>113</v>
      </c>
      <c r="K37" s="149" t="s">
        <v>114</v>
      </c>
      <c r="L37" s="149" t="str">
        <f>VLOOKUP(Table1[[#This Row],[Qual seu Carro de Entrega]],Hierarquia!A:K,11,0)</f>
        <v>TD Curitiba</v>
      </c>
      <c r="M37" s="149" t="str">
        <f>VLOOKUP(U37,Hierarquia!A:K,6,0)</f>
        <v>FADEL</v>
      </c>
      <c r="N37" s="149" t="s">
        <v>113</v>
      </c>
      <c r="O37" s="149" t="s">
        <v>115</v>
      </c>
      <c r="P37" s="133">
        <v>404</v>
      </c>
      <c r="Q37" s="135">
        <v>46050</v>
      </c>
      <c r="R37" s="133" t="s">
        <v>116</v>
      </c>
      <c r="S37" s="135" t="s">
        <v>133</v>
      </c>
      <c r="T37" s="133" t="s">
        <v>26</v>
      </c>
      <c r="U37" s="133" t="s">
        <v>227</v>
      </c>
      <c r="V37" s="135">
        <v>46050</v>
      </c>
      <c r="W37" s="133">
        <v>1525390</v>
      </c>
      <c r="X37" s="133">
        <v>6875497636</v>
      </c>
      <c r="Y37" s="133" t="s">
        <v>35</v>
      </c>
      <c r="Z37" s="133" t="s">
        <v>228</v>
      </c>
      <c r="AF37" s="133">
        <v>9580395</v>
      </c>
      <c r="AG37" s="133" t="s">
        <v>121</v>
      </c>
    </row>
    <row r="38" spans="1:35" ht="15.6" hidden="1" customHeight="1" x14ac:dyDescent="0.2">
      <c r="A38" s="139">
        <f>Table1[[#This Row],[Qual a Numeração da Nota Fiscal com divergência ?]]</f>
        <v>1534734</v>
      </c>
      <c r="B38" s="146" t="s">
        <v>33</v>
      </c>
      <c r="C38" s="147" t="s">
        <v>111</v>
      </c>
      <c r="D38" s="147" t="s">
        <v>112</v>
      </c>
      <c r="E38" s="148">
        <f>WEEKNUM(Table1[[#This Row],[Dt da abertura]],1)</f>
        <v>5</v>
      </c>
      <c r="F38" s="147">
        <v>46050</v>
      </c>
      <c r="G38" s="147">
        <v>46050</v>
      </c>
      <c r="H38" s="147">
        <v>46052</v>
      </c>
      <c r="I38" s="147">
        <v>46051</v>
      </c>
      <c r="J38" s="147" t="s">
        <v>113</v>
      </c>
      <c r="K38" s="149" t="s">
        <v>114</v>
      </c>
      <c r="L38" s="149" t="str">
        <f>VLOOKUP(Table1[[#This Row],[Qual seu Carro de Entrega]],Hierarquia!A:K,11,0)</f>
        <v>TV Curitiba 2</v>
      </c>
      <c r="M38" s="149" t="str">
        <f>VLOOKUP(U38,Hierarquia!A:K,6,0)</f>
        <v>BAT</v>
      </c>
      <c r="N38" s="149" t="s">
        <v>113</v>
      </c>
      <c r="O38" s="149" t="s">
        <v>115</v>
      </c>
      <c r="P38" s="133">
        <v>401</v>
      </c>
      <c r="Q38" s="135">
        <v>46050</v>
      </c>
      <c r="R38" s="133" t="s">
        <v>116</v>
      </c>
      <c r="S38" s="135" t="s">
        <v>123</v>
      </c>
      <c r="T38" s="133" t="s">
        <v>28</v>
      </c>
      <c r="U38" s="133" t="s">
        <v>124</v>
      </c>
      <c r="V38" s="135">
        <v>46050</v>
      </c>
      <c r="W38" s="133">
        <v>1534734</v>
      </c>
      <c r="X38" s="133">
        <v>6875497221</v>
      </c>
      <c r="Y38" s="133" t="s">
        <v>35</v>
      </c>
      <c r="Z38" s="133" t="s">
        <v>229</v>
      </c>
      <c r="AF38" s="133">
        <v>0</v>
      </c>
      <c r="AG38" s="133" t="s">
        <v>126</v>
      </c>
    </row>
    <row r="39" spans="1:35" ht="15.6" hidden="1" customHeight="1" x14ac:dyDescent="0.25">
      <c r="A39" s="139">
        <f>Table1[[#This Row],[Qual a Numeração da Nota Fiscal com divergência ?]]</f>
        <v>1521201</v>
      </c>
      <c r="B39" s="146" t="s">
        <v>30</v>
      </c>
      <c r="C39" s="147" t="s">
        <v>111</v>
      </c>
      <c r="D39" s="147" t="s">
        <v>112</v>
      </c>
      <c r="E39" s="148">
        <f>WEEKNUM(Table1[[#This Row],[Dt da abertura]],1)</f>
        <v>5</v>
      </c>
      <c r="F39" s="147">
        <v>46051</v>
      </c>
      <c r="G39" s="147">
        <f>Table1[[#This Row],[Data de Abertura Chamado]]</f>
        <v>46051</v>
      </c>
      <c r="H39" s="147">
        <v>46055</v>
      </c>
      <c r="I39" s="147">
        <v>46057</v>
      </c>
      <c r="J39" s="147" t="s">
        <v>113</v>
      </c>
      <c r="K39" s="149" t="s">
        <v>114</v>
      </c>
      <c r="L39" s="149" t="str">
        <f>VLOOKUP(Table1[[#This Row],[Qual seu Carro de Entrega]],Hierarquia!A:K,11,0)</f>
        <v>TV Curitiba 2</v>
      </c>
      <c r="M39" s="149" t="str">
        <f>VLOOKUP(U39,Hierarquia!A:K,6,0)</f>
        <v>BAT</v>
      </c>
      <c r="N39" s="149" t="s">
        <v>113</v>
      </c>
      <c r="O39" s="149" t="s">
        <v>115</v>
      </c>
      <c r="P39" s="133">
        <v>405</v>
      </c>
      <c r="Q39" s="135">
        <v>46051</v>
      </c>
      <c r="R39" s="133" t="s">
        <v>116</v>
      </c>
      <c r="S39" s="151" t="s">
        <v>230</v>
      </c>
      <c r="T39" s="133" t="s">
        <v>28</v>
      </c>
      <c r="U39" s="133" t="s">
        <v>231</v>
      </c>
      <c r="V39" s="135">
        <v>46041</v>
      </c>
      <c r="W39" s="133">
        <v>1521201</v>
      </c>
      <c r="X39" s="133">
        <v>0</v>
      </c>
      <c r="Y39" s="133" t="s">
        <v>35</v>
      </c>
      <c r="Z39" s="133" t="s">
        <v>232</v>
      </c>
      <c r="AF39" s="133">
        <v>0</v>
      </c>
      <c r="AG39" s="133" t="s">
        <v>131</v>
      </c>
      <c r="AI39" s="133" t="s">
        <v>233</v>
      </c>
    </row>
    <row r="40" spans="1:35" ht="15.75" hidden="1" x14ac:dyDescent="0.25">
      <c r="A40" s="139">
        <f>Table1[[#This Row],[Qual a Numeração da Nota Fiscal com divergência ?]]</f>
        <v>1525033</v>
      </c>
      <c r="B40" s="146" t="s">
        <v>33</v>
      </c>
      <c r="C40" s="147" t="s">
        <v>111</v>
      </c>
      <c r="D40" s="147" t="s">
        <v>112</v>
      </c>
      <c r="E40" s="148">
        <f>WEEKNUM(Table1[[#This Row],[Dt da abertura]],1)</f>
        <v>5</v>
      </c>
      <c r="F40" s="147">
        <v>46051</v>
      </c>
      <c r="G40" s="147">
        <f>Table1[[#This Row],[Data de Abertura Chamado]]</f>
        <v>46051</v>
      </c>
      <c r="H40" s="147">
        <v>46055</v>
      </c>
      <c r="I40" s="147">
        <v>46056</v>
      </c>
      <c r="J40" s="147" t="s">
        <v>113</v>
      </c>
      <c r="K40" s="149" t="s">
        <v>114</v>
      </c>
      <c r="L40" s="149" t="str">
        <f>VLOOKUP(Table1[[#This Row],[Qual seu Carro de Entrega]],Hierarquia!A:K,11,0)</f>
        <v>TV Curitiba 2</v>
      </c>
      <c r="M40" s="149" t="str">
        <f>VLOOKUP(U40,Hierarquia!A:K,6,0)</f>
        <v>BAT</v>
      </c>
      <c r="N40" s="149" t="s">
        <v>113</v>
      </c>
      <c r="O40" s="149" t="s">
        <v>115</v>
      </c>
      <c r="P40" s="133">
        <v>406</v>
      </c>
      <c r="Q40" s="135">
        <v>46051</v>
      </c>
      <c r="R40" s="133" t="s">
        <v>116</v>
      </c>
      <c r="S40" s="151" t="s">
        <v>234</v>
      </c>
      <c r="T40" s="133" t="s">
        <v>28</v>
      </c>
      <c r="U40" s="133" t="s">
        <v>231</v>
      </c>
      <c r="V40" s="135">
        <v>46051</v>
      </c>
      <c r="W40" s="133">
        <v>1525033</v>
      </c>
      <c r="X40" s="133">
        <v>6875504247</v>
      </c>
      <c r="Y40" s="133" t="s">
        <v>35</v>
      </c>
      <c r="Z40" s="133" t="s">
        <v>235</v>
      </c>
      <c r="AF40" s="133">
        <v>0</v>
      </c>
      <c r="AG40" s="133" t="s">
        <v>131</v>
      </c>
      <c r="AI40" s="133" t="s">
        <v>236</v>
      </c>
    </row>
    <row r="41" spans="1:35" hidden="1" x14ac:dyDescent="0.2">
      <c r="A41" s="139">
        <f>Table1[[#This Row],[Qual a Numeração da Nota Fiscal com divergência ?]]</f>
        <v>1525050</v>
      </c>
      <c r="B41" s="146" t="s">
        <v>25</v>
      </c>
      <c r="C41" s="147" t="s">
        <v>111</v>
      </c>
      <c r="D41" s="147" t="s">
        <v>112</v>
      </c>
      <c r="E41" s="148">
        <f>WEEKNUM(Table1[[#This Row],[Dt da abertura]],1)</f>
        <v>5</v>
      </c>
      <c r="F41" s="147">
        <v>46051</v>
      </c>
      <c r="G41" s="147">
        <f>Table1[[#This Row],[Data de Abertura Chamado]]</f>
        <v>46051</v>
      </c>
      <c r="H41" s="147">
        <v>46055</v>
      </c>
      <c r="I41" s="147">
        <v>46057</v>
      </c>
      <c r="J41" s="147" t="s">
        <v>113</v>
      </c>
      <c r="K41" s="149" t="s">
        <v>114</v>
      </c>
      <c r="L41" s="149" t="str">
        <f>VLOOKUP(Table1[[#This Row],[Qual seu Carro de Entrega]],Hierarquia!A:K,11,0)</f>
        <v>TV Curitiba 2</v>
      </c>
      <c r="M41" s="149" t="str">
        <f>VLOOKUP(U41,Hierarquia!A:K,6,0)</f>
        <v>BAT</v>
      </c>
      <c r="N41" s="149" t="s">
        <v>113</v>
      </c>
      <c r="O41" s="149" t="s">
        <v>115</v>
      </c>
      <c r="P41" s="133">
        <v>407</v>
      </c>
      <c r="Q41" s="135">
        <v>46051</v>
      </c>
      <c r="R41" s="133" t="s">
        <v>116</v>
      </c>
      <c r="S41" s="135" t="s">
        <v>128</v>
      </c>
      <c r="T41" s="133" t="s">
        <v>28</v>
      </c>
      <c r="U41" s="133" t="s">
        <v>129</v>
      </c>
      <c r="V41" s="135">
        <v>46051</v>
      </c>
      <c r="W41" s="133">
        <v>1525050</v>
      </c>
      <c r="X41" s="133">
        <v>6875508800</v>
      </c>
      <c r="Y41" s="133" t="s">
        <v>35</v>
      </c>
      <c r="Z41" s="133" t="s">
        <v>237</v>
      </c>
      <c r="AF41" s="133">
        <v>0</v>
      </c>
      <c r="AG41" s="133" t="s">
        <v>131</v>
      </c>
      <c r="AI41" s="133">
        <v>0</v>
      </c>
    </row>
    <row r="42" spans="1:35" ht="15.75" hidden="1" x14ac:dyDescent="0.25">
      <c r="A42" s="139">
        <f>Table1[[#This Row],[Qual a Numeração da Nota Fiscal com divergência ?]]</f>
        <v>1524296</v>
      </c>
      <c r="B42" s="146" t="s">
        <v>30</v>
      </c>
      <c r="C42" s="147" t="s">
        <v>111</v>
      </c>
      <c r="D42" s="147" t="s">
        <v>112</v>
      </c>
      <c r="E42" s="148">
        <f>WEEKNUM(Table1[[#This Row],[Dt da abertura]],1)</f>
        <v>5</v>
      </c>
      <c r="F42" s="147">
        <v>46051</v>
      </c>
      <c r="G42" s="147">
        <f>Table1[[#This Row],[Data de Abertura Chamado]]</f>
        <v>46051</v>
      </c>
      <c r="H42" s="147">
        <v>46055</v>
      </c>
      <c r="I42" s="147">
        <v>46056</v>
      </c>
      <c r="J42" s="147" t="s">
        <v>113</v>
      </c>
      <c r="K42" s="149" t="s">
        <v>114</v>
      </c>
      <c r="L42" s="149" t="str">
        <f>VLOOKUP(Table1[[#This Row],[Qual seu Carro de Entrega]],Hierarquia!A:K,11,0)</f>
        <v>TV Curitiba 2</v>
      </c>
      <c r="M42" s="149" t="str">
        <f>VLOOKUP(U42,Hierarquia!A:K,6,0)</f>
        <v>BAT</v>
      </c>
      <c r="N42" s="149" t="s">
        <v>113</v>
      </c>
      <c r="O42" s="149" t="s">
        <v>115</v>
      </c>
      <c r="P42" s="133">
        <v>408</v>
      </c>
      <c r="Q42" s="135">
        <v>46051</v>
      </c>
      <c r="R42" s="133" t="s">
        <v>116</v>
      </c>
      <c r="S42" s="151" t="s">
        <v>238</v>
      </c>
      <c r="T42" s="133" t="s">
        <v>28</v>
      </c>
      <c r="U42" s="133" t="s">
        <v>239</v>
      </c>
      <c r="V42" s="135">
        <v>46050</v>
      </c>
      <c r="W42" s="133">
        <v>1524296</v>
      </c>
      <c r="X42" s="133">
        <v>6875469748</v>
      </c>
      <c r="Y42" s="133" t="s">
        <v>35</v>
      </c>
      <c r="Z42" s="133" t="s">
        <v>240</v>
      </c>
      <c r="AF42" s="133" t="s">
        <v>241</v>
      </c>
      <c r="AG42" s="133" t="s">
        <v>131</v>
      </c>
    </row>
    <row r="43" spans="1:35" x14ac:dyDescent="0.2">
      <c r="A43" s="139">
        <f>Table1[[#This Row],[Qual a Numeração da Nota Fiscal com divergência ?]]</f>
        <v>1526119</v>
      </c>
      <c r="B43" s="146" t="s">
        <v>33</v>
      </c>
      <c r="C43" s="147" t="s">
        <v>111</v>
      </c>
      <c r="D43" s="147" t="s">
        <v>112</v>
      </c>
      <c r="E43" s="148">
        <f>WEEKNUM(Table1[[#This Row],[Dt da abertura]],1)</f>
        <v>5</v>
      </c>
      <c r="F43" s="147">
        <v>46055</v>
      </c>
      <c r="G43" s="147">
        <f>Table1[[#This Row],[Data de Abertura Chamado]]</f>
        <v>46052.829398148097</v>
      </c>
      <c r="H43" s="147">
        <v>46057</v>
      </c>
      <c r="I43" s="147">
        <v>46056</v>
      </c>
      <c r="J43" s="147" t="s">
        <v>113</v>
      </c>
      <c r="K43" s="149" t="s">
        <v>114</v>
      </c>
      <c r="L43" s="149" t="str">
        <f>VLOOKUP(Table1[[#This Row],[Qual seu Carro de Entrega]],Hierarquia!A:K,11,0)</f>
        <v>TD Curitiba</v>
      </c>
      <c r="M43" s="149" t="str">
        <f>VLOOKUP(U43,Hierarquia!A:K,6,0)</f>
        <v>FADEL</v>
      </c>
      <c r="N43" s="149" t="s">
        <v>113</v>
      </c>
      <c r="O43" s="149" t="s">
        <v>115</v>
      </c>
      <c r="P43" s="133">
        <v>409</v>
      </c>
      <c r="Q43" s="135">
        <v>46052.829398148097</v>
      </c>
      <c r="R43" s="135" t="s">
        <v>116</v>
      </c>
      <c r="S43" s="133" t="s">
        <v>133</v>
      </c>
      <c r="T43" s="133" t="s">
        <v>26</v>
      </c>
      <c r="U43" s="133" t="s">
        <v>118</v>
      </c>
      <c r="V43" s="135">
        <v>46051</v>
      </c>
      <c r="W43" s="133">
        <v>1526119</v>
      </c>
      <c r="X43" s="133">
        <v>6875537351</v>
      </c>
      <c r="Y43" s="133" t="s">
        <v>35</v>
      </c>
      <c r="Z43" s="133" t="s">
        <v>242</v>
      </c>
      <c r="AE43" s="133" t="s">
        <v>243</v>
      </c>
      <c r="AF43" s="133" t="s">
        <v>244</v>
      </c>
      <c r="AG43" s="133" t="s">
        <v>131</v>
      </c>
    </row>
    <row r="44" spans="1:35" ht="15.75" hidden="1" x14ac:dyDescent="0.25">
      <c r="A44" s="139">
        <f>Table1[[#This Row],[Qual a Numeração da Nota Fiscal com divergência ?]]</f>
        <v>1527773</v>
      </c>
      <c r="B44" s="146" t="s">
        <v>33</v>
      </c>
      <c r="C44" s="147" t="s">
        <v>111</v>
      </c>
      <c r="D44" s="147" t="s">
        <v>245</v>
      </c>
      <c r="E44" s="148">
        <f>WEEKNUM(Table1[[#This Row],[Dt da abertura]],1)</f>
        <v>6</v>
      </c>
      <c r="F44" s="147">
        <v>46058</v>
      </c>
      <c r="G44" s="147">
        <f>Table1[[#This Row],[Data de Abertura Chamado]]</f>
        <v>46057</v>
      </c>
      <c r="H44" s="147">
        <v>46062</v>
      </c>
      <c r="I44" s="147">
        <v>46062</v>
      </c>
      <c r="J44" s="147" t="s">
        <v>113</v>
      </c>
      <c r="K44" s="149" t="s">
        <v>114</v>
      </c>
      <c r="L44" s="149" t="str">
        <f>VLOOKUP(Table1[[#This Row],[Qual seu Carro de Entrega]],Hierarquia!A:K,11,0)</f>
        <v>TV Curitiba 2</v>
      </c>
      <c r="M44" s="149" t="str">
        <f>VLOOKUP(U44,Hierarquia!A:K,6,0)</f>
        <v>BAT</v>
      </c>
      <c r="N44" s="149" t="s">
        <v>113</v>
      </c>
      <c r="O44" s="149" t="s">
        <v>115</v>
      </c>
      <c r="P44" s="138">
        <v>410</v>
      </c>
      <c r="Q44" s="152">
        <v>46057</v>
      </c>
      <c r="R44" s="138" t="s">
        <v>116</v>
      </c>
      <c r="S44" s="151" t="s">
        <v>123</v>
      </c>
      <c r="T44" s="138" t="s">
        <v>28</v>
      </c>
      <c r="U44" s="138" t="s">
        <v>124</v>
      </c>
      <c r="V44" s="152">
        <v>46059</v>
      </c>
      <c r="W44" s="138">
        <v>1527773</v>
      </c>
      <c r="X44" s="138">
        <v>6875610612</v>
      </c>
      <c r="Y44" s="138" t="s">
        <v>35</v>
      </c>
      <c r="Z44" s="138" t="s">
        <v>246</v>
      </c>
      <c r="AA44" s="138"/>
      <c r="AB44" s="138"/>
      <c r="AD44" s="138"/>
      <c r="AF44" s="138">
        <v>0</v>
      </c>
      <c r="AG44" s="138" t="s">
        <v>126</v>
      </c>
      <c r="AH44" s="138"/>
      <c r="AI44" s="153"/>
    </row>
    <row r="45" spans="1:35" ht="15" customHeight="1" x14ac:dyDescent="0.2">
      <c r="A45" s="139">
        <f>Table1[[#This Row],[Qual a Numeração da Nota Fiscal com divergência ?]]</f>
        <v>1528430</v>
      </c>
      <c r="B45" s="146" t="s">
        <v>33</v>
      </c>
      <c r="C45" s="147" t="s">
        <v>111</v>
      </c>
      <c r="D45" s="147" t="s">
        <v>245</v>
      </c>
      <c r="E45" s="148">
        <f>WEEKNUM(Table1[[#This Row],[Dt da abertura]],1)</f>
        <v>6</v>
      </c>
      <c r="F45" s="147">
        <v>46058</v>
      </c>
      <c r="G45" s="147">
        <f>Table1[[#This Row],[Data de Abertura Chamado]]</f>
        <v>46058</v>
      </c>
      <c r="H45" s="147">
        <v>46062</v>
      </c>
      <c r="I45" s="147">
        <v>46062</v>
      </c>
      <c r="J45" s="147" t="s">
        <v>113</v>
      </c>
      <c r="K45" s="149" t="s">
        <v>114</v>
      </c>
      <c r="L45" s="149" t="str">
        <f>VLOOKUP(Table1[[#This Row],[Qual seu Carro de Entrega]],Hierarquia!A:K,11,0)</f>
        <v>TD Curitiba</v>
      </c>
      <c r="M45" s="149" t="str">
        <f>VLOOKUP(U45,Hierarquia!A:K,6,0)</f>
        <v>FADEL</v>
      </c>
      <c r="N45" s="149" t="s">
        <v>113</v>
      </c>
      <c r="O45" s="149" t="s">
        <v>115</v>
      </c>
      <c r="P45" s="138">
        <v>411</v>
      </c>
      <c r="Q45" s="152">
        <v>46058</v>
      </c>
      <c r="R45" s="138" t="s">
        <v>116</v>
      </c>
      <c r="S45" s="152" t="s">
        <v>133</v>
      </c>
      <c r="T45" s="138" t="s">
        <v>26</v>
      </c>
      <c r="U45" s="138" t="s">
        <v>118</v>
      </c>
      <c r="V45" s="152">
        <v>46058</v>
      </c>
      <c r="W45" s="138">
        <v>1528430</v>
      </c>
      <c r="X45" s="138">
        <v>6875628208</v>
      </c>
      <c r="Y45" s="138" t="s">
        <v>34</v>
      </c>
      <c r="Z45" s="153" t="s">
        <v>247</v>
      </c>
      <c r="AA45" s="138"/>
      <c r="AB45" s="138"/>
      <c r="AC45" s="138"/>
      <c r="AD45" s="138"/>
      <c r="AF45" s="138">
        <v>9645150</v>
      </c>
      <c r="AG45" s="138" t="s">
        <v>131</v>
      </c>
      <c r="AH45" s="138"/>
      <c r="AI45" s="153" t="s">
        <v>248</v>
      </c>
    </row>
    <row r="46" spans="1:35" x14ac:dyDescent="0.2">
      <c r="A46" s="139">
        <f>Table1[[#This Row],[Qual a Numeração da Nota Fiscal com divergência ?]]</f>
        <v>1528766</v>
      </c>
      <c r="B46" s="146" t="s">
        <v>33</v>
      </c>
      <c r="C46" s="147" t="s">
        <v>111</v>
      </c>
      <c r="D46" s="147" t="s">
        <v>245</v>
      </c>
      <c r="E46" s="148">
        <f>WEEKNUM(Table1[[#This Row],[Dt da abertura]],1)</f>
        <v>6</v>
      </c>
      <c r="F46" s="147">
        <v>46058</v>
      </c>
      <c r="G46" s="147">
        <f>Table1[[#This Row],[Data de Abertura Chamado]]</f>
        <v>46058</v>
      </c>
      <c r="H46" s="147">
        <v>46062</v>
      </c>
      <c r="I46" s="147">
        <v>46062</v>
      </c>
      <c r="J46" s="147" t="s">
        <v>113</v>
      </c>
      <c r="K46" s="149" t="s">
        <v>114</v>
      </c>
      <c r="L46" s="149" t="str">
        <f>VLOOKUP(Table1[[#This Row],[Qual seu Carro de Entrega]],Hierarquia!A:K,11,0)</f>
        <v>TD Curitiba</v>
      </c>
      <c r="M46" s="149" t="str">
        <f>VLOOKUP(U46,Hierarquia!A:K,6,0)</f>
        <v>FADEL</v>
      </c>
      <c r="N46" s="149" t="s">
        <v>113</v>
      </c>
      <c r="O46" s="149" t="s">
        <v>115</v>
      </c>
      <c r="P46" s="138">
        <v>412</v>
      </c>
      <c r="Q46" s="152">
        <v>46058</v>
      </c>
      <c r="R46" s="138" t="s">
        <v>116</v>
      </c>
      <c r="S46" s="152" t="s">
        <v>133</v>
      </c>
      <c r="T46" s="138" t="s">
        <v>26</v>
      </c>
      <c r="U46" s="138" t="s">
        <v>190</v>
      </c>
      <c r="V46" s="152">
        <v>46058</v>
      </c>
      <c r="W46" s="138">
        <v>1528766</v>
      </c>
      <c r="X46" s="138">
        <v>6875638628</v>
      </c>
      <c r="Y46" s="138" t="s">
        <v>35</v>
      </c>
      <c r="Z46" s="138" t="s">
        <v>249</v>
      </c>
      <c r="AA46" s="138"/>
      <c r="AB46" s="138"/>
      <c r="AD46" s="138"/>
      <c r="AF46" s="138">
        <v>9645236</v>
      </c>
      <c r="AG46" s="138" t="s">
        <v>131</v>
      </c>
      <c r="AH46" s="138"/>
      <c r="AI46" s="153" t="s">
        <v>250</v>
      </c>
    </row>
    <row r="47" spans="1:35" ht="15.75" hidden="1" x14ac:dyDescent="0.25">
      <c r="A47" s="139">
        <f>Table1[[#This Row],[Qual a Numeração da Nota Fiscal com divergência ?]]</f>
        <v>1529694</v>
      </c>
      <c r="B47" s="146" t="s">
        <v>33</v>
      </c>
      <c r="C47" s="147" t="s">
        <v>111</v>
      </c>
      <c r="D47" s="147" t="s">
        <v>245</v>
      </c>
      <c r="E47" s="148">
        <f>WEEKNUM(Table1[[#This Row],[Dt da abertura]],1)</f>
        <v>7</v>
      </c>
      <c r="F47" s="147">
        <f>Table1[[#This Row],[Data de Abertura Chamado]]</f>
        <v>46063</v>
      </c>
      <c r="G47" s="147">
        <f>Table1[[#This Row],[Data de Abertura Chamado]]</f>
        <v>46063</v>
      </c>
      <c r="H47" s="147">
        <v>46065</v>
      </c>
      <c r="I47" s="147">
        <v>46066</v>
      </c>
      <c r="J47" s="147" t="s">
        <v>113</v>
      </c>
      <c r="K47" s="149" t="s">
        <v>114</v>
      </c>
      <c r="L47" s="149" t="str">
        <f>VLOOKUP(Table1[[#This Row],[Qual seu Carro de Entrega]],Hierarquia!A:K,11,0)</f>
        <v>TV Curitiba 2</v>
      </c>
      <c r="M47" s="149" t="str">
        <f>VLOOKUP(U47,Hierarquia!A:K,6,0)</f>
        <v>BAT</v>
      </c>
      <c r="N47" s="149" t="s">
        <v>113</v>
      </c>
      <c r="O47" s="149" t="s">
        <v>115</v>
      </c>
      <c r="P47" s="133">
        <v>413</v>
      </c>
      <c r="Q47" s="135">
        <v>46063</v>
      </c>
      <c r="R47" s="133" t="s">
        <v>116</v>
      </c>
      <c r="S47" s="151" t="s">
        <v>123</v>
      </c>
      <c r="T47" s="133" t="s">
        <v>28</v>
      </c>
      <c r="U47" s="133" t="s">
        <v>124</v>
      </c>
      <c r="V47" s="135">
        <v>46063</v>
      </c>
      <c r="W47" s="133">
        <v>1529694</v>
      </c>
      <c r="X47" s="133">
        <v>6875675944</v>
      </c>
      <c r="Y47" s="133" t="s">
        <v>34</v>
      </c>
      <c r="Z47" s="133" t="s">
        <v>251</v>
      </c>
      <c r="AE47" s="133">
        <v>0</v>
      </c>
      <c r="AG47" s="133" t="s">
        <v>131</v>
      </c>
    </row>
    <row r="48" spans="1:35" x14ac:dyDescent="0.2">
      <c r="A48" s="139">
        <f>Table1[[#This Row],[Qual a Numeração da Nota Fiscal com divergência ?]]</f>
        <v>1529856</v>
      </c>
      <c r="B48" s="146" t="s">
        <v>25</v>
      </c>
      <c r="C48" s="147" t="s">
        <v>111</v>
      </c>
      <c r="D48" s="147" t="s">
        <v>245</v>
      </c>
      <c r="E48" s="148">
        <f>WEEKNUM(Table1[[#This Row],[Dt da abertura]],1)</f>
        <v>7</v>
      </c>
      <c r="F48" s="147">
        <f>Table1[[#This Row],[Data de Abertura Chamado]]</f>
        <v>46063</v>
      </c>
      <c r="G48" s="147">
        <f>Table1[[#This Row],[Data de Abertura Chamado]]</f>
        <v>46063</v>
      </c>
      <c r="H48" s="147">
        <v>46065</v>
      </c>
      <c r="I48" s="147">
        <v>46064</v>
      </c>
      <c r="J48" s="147" t="s">
        <v>113</v>
      </c>
      <c r="K48" s="149" t="s">
        <v>114</v>
      </c>
      <c r="L48" s="149" t="str">
        <f>VLOOKUP(Table1[[#This Row],[Qual seu Carro de Entrega]],Hierarquia!A:K,11,0)</f>
        <v>TD Curitiba</v>
      </c>
      <c r="M48" s="149" t="str">
        <f>VLOOKUP(U48,Hierarquia!A:K,6,0)</f>
        <v>FADEL</v>
      </c>
      <c r="N48" s="149" t="s">
        <v>113</v>
      </c>
      <c r="O48" s="149" t="s">
        <v>115</v>
      </c>
      <c r="P48" s="133">
        <v>414</v>
      </c>
      <c r="Q48" s="135">
        <v>46063</v>
      </c>
      <c r="R48" s="133" t="s">
        <v>116</v>
      </c>
      <c r="S48" s="135" t="s">
        <v>133</v>
      </c>
      <c r="T48" s="133" t="s">
        <v>26</v>
      </c>
      <c r="U48" s="133" t="s">
        <v>179</v>
      </c>
      <c r="V48" s="135">
        <v>46063</v>
      </c>
      <c r="W48" s="133">
        <v>1529856</v>
      </c>
      <c r="X48" s="133">
        <v>6875696581</v>
      </c>
      <c r="Y48" s="133" t="s">
        <v>34</v>
      </c>
      <c r="Z48" s="133" t="s">
        <v>252</v>
      </c>
      <c r="AF48" s="133">
        <v>9678970</v>
      </c>
      <c r="AG48" s="133" t="s">
        <v>131</v>
      </c>
      <c r="AI48" s="133" t="s">
        <v>253</v>
      </c>
    </row>
    <row r="49" spans="1:35" ht="15.75" hidden="1" x14ac:dyDescent="0.25">
      <c r="A49" s="139">
        <f>Table1[[#This Row],[Qual a Numeração da Nota Fiscal com divergência ?]]</f>
        <v>1529506</v>
      </c>
      <c r="B49" s="146" t="s">
        <v>33</v>
      </c>
      <c r="C49" s="147" t="s">
        <v>111</v>
      </c>
      <c r="D49" s="147" t="s">
        <v>245</v>
      </c>
      <c r="E49" s="148">
        <f>WEEKNUM(Table1[[#This Row],[Dt da abertura]],1)</f>
        <v>7</v>
      </c>
      <c r="F49" s="147">
        <f>Table1[[#This Row],[Data de Abertura Chamado]]</f>
        <v>46064</v>
      </c>
      <c r="G49" s="147">
        <v>46064</v>
      </c>
      <c r="H49" s="147">
        <v>46066</v>
      </c>
      <c r="I49" s="147">
        <v>46066</v>
      </c>
      <c r="J49" s="147" t="s">
        <v>113</v>
      </c>
      <c r="K49" s="149" t="s">
        <v>114</v>
      </c>
      <c r="L49" s="149" t="str">
        <f>VLOOKUP(Table1[[#This Row],[Qual seu Carro de Entrega]],Hierarquia!A:K,11,0)</f>
        <v>TV Curitiba 2</v>
      </c>
      <c r="M49" s="149" t="str">
        <f>VLOOKUP(U49,Hierarquia!A:K,6,0)</f>
        <v>BAT</v>
      </c>
      <c r="N49" s="149" t="s">
        <v>113</v>
      </c>
      <c r="O49" s="149" t="s">
        <v>115</v>
      </c>
      <c r="P49" s="133">
        <v>415</v>
      </c>
      <c r="Q49" s="135">
        <v>46064</v>
      </c>
      <c r="R49" s="133" t="s">
        <v>116</v>
      </c>
      <c r="S49" s="151" t="s">
        <v>254</v>
      </c>
      <c r="T49" s="133" t="s">
        <v>28</v>
      </c>
      <c r="U49" s="133" t="s">
        <v>255</v>
      </c>
      <c r="V49" s="135">
        <v>46063</v>
      </c>
      <c r="W49" s="133">
        <v>1529506</v>
      </c>
      <c r="X49" s="133">
        <v>6875676036</v>
      </c>
      <c r="Y49" s="133" t="s">
        <v>35</v>
      </c>
      <c r="Z49" s="133">
        <v>10226368</v>
      </c>
      <c r="AE49" s="133" t="s">
        <v>256</v>
      </c>
      <c r="AG49" s="133" t="s">
        <v>126</v>
      </c>
      <c r="AI49" s="133" t="s">
        <v>257</v>
      </c>
    </row>
    <row r="50" spans="1:35" hidden="1" x14ac:dyDescent="0.2">
      <c r="A50" s="139">
        <f>Table1[[#This Row],[Qual a Numeração da Nota Fiscal com divergência ?]]</f>
        <v>1530667</v>
      </c>
      <c r="B50" s="146" t="s">
        <v>33</v>
      </c>
      <c r="C50" s="147" t="s">
        <v>111</v>
      </c>
      <c r="D50" s="147" t="s">
        <v>245</v>
      </c>
      <c r="E50" s="148">
        <f>WEEKNUM(Table1[[#This Row],[Dt da abertura]],1)</f>
        <v>7</v>
      </c>
      <c r="F50" s="147">
        <f>Table1[[#This Row],[Data de Abertura Chamado]]</f>
        <v>46065</v>
      </c>
      <c r="G50" s="147">
        <v>46065</v>
      </c>
      <c r="H50" s="147">
        <v>46071</v>
      </c>
      <c r="I50" s="147">
        <v>46071</v>
      </c>
      <c r="J50" s="147" t="s">
        <v>113</v>
      </c>
      <c r="K50" s="149" t="s">
        <v>114</v>
      </c>
      <c r="L50" s="149" t="str">
        <f>VLOOKUP(Table1[[#This Row],[Qual seu Carro de Entrega]],Hierarquia!A:K,11,0)</f>
        <v>TV Curitiba 2</v>
      </c>
      <c r="M50" s="149" t="str">
        <f>VLOOKUP(U50,Hierarquia!A:K,6,0)</f>
        <v>BAT</v>
      </c>
      <c r="N50" s="149" t="s">
        <v>113</v>
      </c>
      <c r="O50" s="149" t="s">
        <v>115</v>
      </c>
      <c r="P50" s="138">
        <v>416</v>
      </c>
      <c r="Q50" s="152">
        <v>46065</v>
      </c>
      <c r="R50" s="138" t="s">
        <v>116</v>
      </c>
      <c r="S50" s="152" t="s">
        <v>258</v>
      </c>
      <c r="T50" s="138" t="s">
        <v>28</v>
      </c>
      <c r="U50" s="138" t="s">
        <v>259</v>
      </c>
      <c r="V50" s="152">
        <v>46065</v>
      </c>
      <c r="W50" s="138">
        <v>1530667</v>
      </c>
      <c r="X50" s="138">
        <v>6875646205</v>
      </c>
      <c r="Y50" s="138" t="s">
        <v>35</v>
      </c>
      <c r="Z50" s="138" t="s">
        <v>260</v>
      </c>
      <c r="AA50" s="138"/>
      <c r="AB50" s="138"/>
      <c r="AD50" s="138"/>
      <c r="AF50" s="138">
        <v>0</v>
      </c>
      <c r="AG50" s="138" t="s">
        <v>126</v>
      </c>
      <c r="AH50" s="138"/>
      <c r="AI50" s="153" t="s">
        <v>261</v>
      </c>
    </row>
    <row r="51" spans="1:35" ht="15.75" hidden="1" x14ac:dyDescent="0.25">
      <c r="A51" s="139">
        <f>Table1[[#This Row],[Qual a Numeração da Nota Fiscal com divergência ?]]</f>
        <v>1528367</v>
      </c>
      <c r="B51" s="146" t="s">
        <v>30</v>
      </c>
      <c r="C51" s="147" t="s">
        <v>111</v>
      </c>
      <c r="D51" s="147" t="s">
        <v>245</v>
      </c>
      <c r="E51" s="148">
        <f>WEEKNUM(Table1[[#This Row],[Dt da abertura]],1)</f>
        <v>7</v>
      </c>
      <c r="F51" s="147">
        <f>Table1[[#This Row],[Data de Abertura Chamado]]</f>
        <v>46065</v>
      </c>
      <c r="G51" s="147">
        <v>46065</v>
      </c>
      <c r="H51" s="147">
        <v>46071</v>
      </c>
      <c r="I51" s="147">
        <v>46071</v>
      </c>
      <c r="J51" s="147" t="s">
        <v>113</v>
      </c>
      <c r="K51" s="149" t="s">
        <v>114</v>
      </c>
      <c r="L51" s="149" t="str">
        <f>VLOOKUP(Table1[[#This Row],[Qual seu Carro de Entrega]],Hierarquia!A:K,11,0)</f>
        <v>TV Curitiba 2</v>
      </c>
      <c r="M51" s="149" t="str">
        <f>VLOOKUP(U51,Hierarquia!A:K,6,0)</f>
        <v>BAT</v>
      </c>
      <c r="N51" s="149" t="s">
        <v>113</v>
      </c>
      <c r="O51" s="149" t="s">
        <v>115</v>
      </c>
      <c r="P51" s="138">
        <v>417</v>
      </c>
      <c r="Q51" s="152">
        <v>46065</v>
      </c>
      <c r="R51" s="138" t="s">
        <v>116</v>
      </c>
      <c r="S51" s="151" t="s">
        <v>128</v>
      </c>
      <c r="T51" s="138" t="s">
        <v>28</v>
      </c>
      <c r="U51" s="133" t="s">
        <v>129</v>
      </c>
      <c r="V51" s="152">
        <v>46058</v>
      </c>
      <c r="W51" s="138">
        <v>1528367</v>
      </c>
      <c r="X51" s="138">
        <v>6875621095</v>
      </c>
      <c r="Y51" s="138" t="s">
        <v>35</v>
      </c>
      <c r="Z51" s="138" t="s">
        <v>262</v>
      </c>
      <c r="AA51" s="138"/>
      <c r="AB51" s="138"/>
      <c r="AD51" s="138"/>
      <c r="AF51" s="138">
        <v>0</v>
      </c>
      <c r="AG51" s="138" t="s">
        <v>131</v>
      </c>
      <c r="AH51" s="138"/>
      <c r="AI51" s="153">
        <v>0</v>
      </c>
    </row>
    <row r="52" spans="1:35" ht="15.75" hidden="1" x14ac:dyDescent="0.25">
      <c r="A52" s="139">
        <f>Table1[[#This Row],[Qual a Numeração da Nota Fiscal com divergência ?]]</f>
        <v>1530592</v>
      </c>
      <c r="B52" s="146" t="s">
        <v>30</v>
      </c>
      <c r="C52" s="147" t="s">
        <v>111</v>
      </c>
      <c r="D52" s="147" t="s">
        <v>245</v>
      </c>
      <c r="E52" s="148">
        <f>WEEKNUM(Table1[[#This Row],[Dt da abertura]],1)</f>
        <v>7</v>
      </c>
      <c r="F52" s="147">
        <f>Table1[[#This Row],[Data de Abertura Chamado]]</f>
        <v>46065</v>
      </c>
      <c r="G52" s="147">
        <v>46065</v>
      </c>
      <c r="H52" s="147">
        <v>46071</v>
      </c>
      <c r="I52" s="147">
        <v>46071</v>
      </c>
      <c r="J52" s="147" t="s">
        <v>113</v>
      </c>
      <c r="K52" s="149" t="s">
        <v>114</v>
      </c>
      <c r="L52" s="149" t="str">
        <f>VLOOKUP(Table1[[#This Row],[Qual seu Carro de Entrega]],Hierarquia!A:K,11,0)</f>
        <v>TV Curitiba 2</v>
      </c>
      <c r="M52" s="149" t="str">
        <f>VLOOKUP(U52,Hierarquia!A:K,6,0)</f>
        <v>BAT</v>
      </c>
      <c r="N52" s="149" t="s">
        <v>113</v>
      </c>
      <c r="O52" s="149" t="s">
        <v>115</v>
      </c>
      <c r="P52" s="138">
        <v>418</v>
      </c>
      <c r="Q52" s="152">
        <v>46065</v>
      </c>
      <c r="R52" s="138" t="s">
        <v>116</v>
      </c>
      <c r="S52" s="151" t="s">
        <v>128</v>
      </c>
      <c r="T52" s="138" t="s">
        <v>28</v>
      </c>
      <c r="U52" s="133" t="s">
        <v>129</v>
      </c>
      <c r="V52" s="152">
        <v>46065</v>
      </c>
      <c r="W52" s="138">
        <v>1530592</v>
      </c>
      <c r="X52" s="138">
        <v>6875659675</v>
      </c>
      <c r="Y52" s="138" t="s">
        <v>35</v>
      </c>
      <c r="Z52" s="138" t="s">
        <v>263</v>
      </c>
      <c r="AA52" s="138"/>
      <c r="AB52" s="138"/>
      <c r="AD52" s="138"/>
      <c r="AF52" s="138">
        <v>9696732</v>
      </c>
      <c r="AG52" s="138" t="s">
        <v>131</v>
      </c>
      <c r="AH52" s="138"/>
      <c r="AI52" s="153" t="s">
        <v>264</v>
      </c>
    </row>
    <row r="53" spans="1:35" hidden="1" x14ac:dyDescent="0.2">
      <c r="A53" s="139">
        <f>Table1[[#This Row],[Qual a Numeração da Nota Fiscal com divergência ?]]</f>
        <v>1530593</v>
      </c>
      <c r="B53" s="146" t="s">
        <v>30</v>
      </c>
      <c r="C53" s="147" t="s">
        <v>111</v>
      </c>
      <c r="D53" s="147" t="s">
        <v>245</v>
      </c>
      <c r="E53" s="148">
        <f>WEEKNUM(Table1[[#This Row],[Dt da abertura]],1)</f>
        <v>7</v>
      </c>
      <c r="F53" s="147">
        <f>Table1[[#This Row],[Data de Abertura Chamado]]</f>
        <v>46065</v>
      </c>
      <c r="G53" s="147">
        <v>46065</v>
      </c>
      <c r="H53" s="147">
        <v>46071</v>
      </c>
      <c r="I53" s="147">
        <v>46071</v>
      </c>
      <c r="J53" s="147" t="s">
        <v>113</v>
      </c>
      <c r="K53" s="149" t="s">
        <v>114</v>
      </c>
      <c r="L53" s="149" t="str">
        <f>VLOOKUP(Table1[[#This Row],[Qual seu Carro de Entrega]],Hierarquia!A:K,11,0)</f>
        <v>TV Curitiba 2</v>
      </c>
      <c r="M53" s="149" t="str">
        <f>VLOOKUP(U53,Hierarquia!A:K,6,0)</f>
        <v>BAT</v>
      </c>
      <c r="N53" s="149" t="s">
        <v>113</v>
      </c>
      <c r="O53" s="149" t="s">
        <v>115</v>
      </c>
      <c r="P53" s="138">
        <v>419</v>
      </c>
      <c r="Q53" s="152">
        <v>46065</v>
      </c>
      <c r="R53" s="138" t="s">
        <v>116</v>
      </c>
      <c r="S53" s="152" t="s">
        <v>174</v>
      </c>
      <c r="T53" s="138" t="s">
        <v>28</v>
      </c>
      <c r="U53" s="138" t="s">
        <v>175</v>
      </c>
      <c r="V53" s="152">
        <v>46065</v>
      </c>
      <c r="W53" s="138">
        <v>1530593</v>
      </c>
      <c r="X53" s="138">
        <v>6875715545</v>
      </c>
      <c r="Y53" s="138" t="s">
        <v>35</v>
      </c>
      <c r="Z53" s="138" t="s">
        <v>265</v>
      </c>
      <c r="AA53" s="138"/>
      <c r="AB53" s="138"/>
      <c r="AD53" s="138"/>
      <c r="AF53" s="138" t="s">
        <v>177</v>
      </c>
      <c r="AG53" s="138" t="s">
        <v>131</v>
      </c>
      <c r="AH53" s="138"/>
      <c r="AI53" s="153"/>
    </row>
    <row r="54" spans="1:35" hidden="1" x14ac:dyDescent="0.2">
      <c r="A54" s="139">
        <f>Table1[[#This Row],[Qual a Numeração da Nota Fiscal com divergência ?]]</f>
        <v>1531423</v>
      </c>
      <c r="B54" s="146" t="s">
        <v>30</v>
      </c>
      <c r="C54" s="147" t="s">
        <v>111</v>
      </c>
      <c r="D54" s="147" t="s">
        <v>245</v>
      </c>
      <c r="E54" s="148">
        <f>WEEKNUM(Table1[[#This Row],[Dt da abertura]],1)</f>
        <v>7</v>
      </c>
      <c r="F54" s="147">
        <v>46072</v>
      </c>
      <c r="G54" s="147">
        <v>46067</v>
      </c>
      <c r="H54" s="147">
        <v>46073</v>
      </c>
      <c r="I54" s="147">
        <v>46073</v>
      </c>
      <c r="J54" s="147" t="s">
        <v>113</v>
      </c>
      <c r="K54" s="149" t="s">
        <v>114</v>
      </c>
      <c r="L54" s="149" t="str">
        <f>VLOOKUP(Table1[[#This Row],[Qual seu Carro de Entrega]],Hierarquia!A:K,11,0)</f>
        <v>TV Curitiba 2</v>
      </c>
      <c r="M54" s="149" t="str">
        <f>VLOOKUP(U54,Hierarquia!A:K,6,0)</f>
        <v>BAT</v>
      </c>
      <c r="N54" s="149" t="s">
        <v>113</v>
      </c>
      <c r="O54" s="149" t="s">
        <v>115</v>
      </c>
      <c r="P54" s="138">
        <v>420</v>
      </c>
      <c r="Q54" s="152">
        <v>46067</v>
      </c>
      <c r="R54" s="138" t="s">
        <v>116</v>
      </c>
      <c r="S54" s="152" t="s">
        <v>238</v>
      </c>
      <c r="T54" s="138" t="s">
        <v>28</v>
      </c>
      <c r="U54" s="138" t="s">
        <v>239</v>
      </c>
      <c r="V54" s="152">
        <v>46066</v>
      </c>
      <c r="W54" s="138">
        <v>1531423</v>
      </c>
      <c r="X54" s="138">
        <v>6875735543</v>
      </c>
      <c r="Y54" s="138" t="s">
        <v>35</v>
      </c>
      <c r="Z54" s="138" t="s">
        <v>266</v>
      </c>
      <c r="AA54" s="138"/>
      <c r="AD54" s="138"/>
      <c r="AF54" s="138" t="s">
        <v>267</v>
      </c>
      <c r="AG54" s="138" t="s">
        <v>131</v>
      </c>
      <c r="AI54" s="133" t="s">
        <v>268</v>
      </c>
    </row>
    <row r="55" spans="1:35" x14ac:dyDescent="0.2">
      <c r="A55" s="139">
        <f>Table1[[#This Row],[Qual a Numeração da Nota Fiscal com divergência ?]]</f>
        <v>1532716</v>
      </c>
      <c r="B55" s="146" t="s">
        <v>33</v>
      </c>
      <c r="C55" s="147" t="s">
        <v>111</v>
      </c>
      <c r="D55" s="147" t="s">
        <v>245</v>
      </c>
      <c r="E55" s="148">
        <f>WEEKNUM(Table1[[#This Row],[Dt da abertura]],1)</f>
        <v>8</v>
      </c>
      <c r="F55" s="147">
        <v>46071</v>
      </c>
      <c r="G55" s="147">
        <v>46071</v>
      </c>
      <c r="H55" s="147">
        <v>46073</v>
      </c>
      <c r="I55" s="147">
        <v>46073</v>
      </c>
      <c r="J55" s="147" t="s">
        <v>113</v>
      </c>
      <c r="K55" s="149" t="s">
        <v>114</v>
      </c>
      <c r="L55" s="149" t="str">
        <f>VLOOKUP(Table1[[#This Row],[Qual seu Carro de Entrega]],Hierarquia!A:K,11,0)</f>
        <v>TD Curitiba</v>
      </c>
      <c r="M55" s="149" t="str">
        <f>VLOOKUP(U55,Hierarquia!A:K,6,0)</f>
        <v>FADEL</v>
      </c>
      <c r="N55" s="149" t="s">
        <v>113</v>
      </c>
      <c r="O55" s="149" t="s">
        <v>115</v>
      </c>
      <c r="P55" s="133">
        <v>421</v>
      </c>
      <c r="Q55" s="135">
        <v>46071</v>
      </c>
      <c r="R55" s="133" t="s">
        <v>116</v>
      </c>
      <c r="S55" s="135" t="s">
        <v>133</v>
      </c>
      <c r="T55" s="133" t="s">
        <v>26</v>
      </c>
      <c r="U55" s="133" t="s">
        <v>146</v>
      </c>
      <c r="V55" s="135">
        <v>46071</v>
      </c>
      <c r="W55" s="133">
        <v>1532716</v>
      </c>
      <c r="X55" s="133">
        <v>6875807198</v>
      </c>
      <c r="Y55" s="133" t="s">
        <v>34</v>
      </c>
      <c r="Z55" s="133" t="s">
        <v>269</v>
      </c>
      <c r="AF55" s="133">
        <v>9743591</v>
      </c>
      <c r="AG55" s="133" t="s">
        <v>121</v>
      </c>
      <c r="AI55" s="133" t="s">
        <v>269</v>
      </c>
    </row>
    <row r="56" spans="1:35" hidden="1" x14ac:dyDescent="0.2">
      <c r="A56" s="139">
        <f>Table1[[#This Row],[Qual a Numeração da Nota Fiscal com divergência ?]]</f>
        <v>1532399</v>
      </c>
      <c r="B56" s="146" t="s">
        <v>30</v>
      </c>
      <c r="C56" s="147" t="s">
        <v>111</v>
      </c>
      <c r="D56" s="147" t="s">
        <v>245</v>
      </c>
      <c r="E56" s="148">
        <f>WEEKNUM(Table1[[#This Row],[Dt da abertura]],1)</f>
        <v>8</v>
      </c>
      <c r="F56" s="147">
        <v>46073</v>
      </c>
      <c r="G56" s="147">
        <v>46072</v>
      </c>
      <c r="H56" s="147">
        <v>46077</v>
      </c>
      <c r="I56" s="147">
        <v>46077</v>
      </c>
      <c r="J56" s="147" t="s">
        <v>113</v>
      </c>
      <c r="K56" s="149" t="s">
        <v>114</v>
      </c>
      <c r="L56" s="149" t="str">
        <f>VLOOKUP(Table1[[#This Row],[Qual seu Carro de Entrega]],Hierarquia!A:K,11,0)</f>
        <v>TV Curitiba 2</v>
      </c>
      <c r="M56" s="149" t="str">
        <f>VLOOKUP(U56,Hierarquia!A:K,6,0)</f>
        <v>BAT</v>
      </c>
      <c r="N56" s="149" t="s">
        <v>113</v>
      </c>
      <c r="O56" s="149" t="s">
        <v>115</v>
      </c>
      <c r="P56" s="133">
        <v>422</v>
      </c>
      <c r="Q56" s="135">
        <v>46072</v>
      </c>
      <c r="R56" s="133" t="s">
        <v>116</v>
      </c>
      <c r="S56" s="135" t="s">
        <v>128</v>
      </c>
      <c r="T56" s="133" t="s">
        <v>28</v>
      </c>
      <c r="U56" s="133" t="s">
        <v>129</v>
      </c>
      <c r="V56" s="135">
        <v>46072</v>
      </c>
      <c r="W56" s="133">
        <v>1532399</v>
      </c>
      <c r="X56" s="133">
        <v>6875793405</v>
      </c>
      <c r="Y56" s="133" t="s">
        <v>35</v>
      </c>
      <c r="Z56" s="133" t="s">
        <v>270</v>
      </c>
      <c r="AF56" s="133">
        <v>0</v>
      </c>
      <c r="AG56" s="133" t="s">
        <v>131</v>
      </c>
      <c r="AI56" s="133" t="s">
        <v>271</v>
      </c>
    </row>
    <row r="57" spans="1:35" x14ac:dyDescent="0.2">
      <c r="A57" s="139">
        <f>Table1[[#This Row],[Qual a Numeração da Nota Fiscal com divergência ?]]</f>
        <v>1533411</v>
      </c>
      <c r="B57" s="146" t="s">
        <v>33</v>
      </c>
      <c r="C57" s="147" t="s">
        <v>111</v>
      </c>
      <c r="D57" s="147" t="s">
        <v>245</v>
      </c>
      <c r="E57" s="148">
        <f>WEEKNUM(Table1[[#This Row],[Dt da abertura]],1)</f>
        <v>8</v>
      </c>
      <c r="F57" s="147">
        <v>46073</v>
      </c>
      <c r="G57" s="147">
        <v>46072</v>
      </c>
      <c r="H57" s="147">
        <v>46077</v>
      </c>
      <c r="I57" s="147">
        <v>46077</v>
      </c>
      <c r="J57" s="147" t="s">
        <v>113</v>
      </c>
      <c r="K57" s="149" t="s">
        <v>114</v>
      </c>
      <c r="L57" s="149" t="str">
        <f>VLOOKUP(Table1[[#This Row],[Qual seu Carro de Entrega]],Hierarquia!A:K,11,0)</f>
        <v>TD Curitiba</v>
      </c>
      <c r="M57" s="149" t="str">
        <f>VLOOKUP(U57,Hierarquia!A:K,6,0)</f>
        <v>FADEL</v>
      </c>
      <c r="N57" s="149" t="s">
        <v>113</v>
      </c>
      <c r="O57" s="149" t="s">
        <v>115</v>
      </c>
      <c r="P57" s="133">
        <v>423</v>
      </c>
      <c r="Q57" s="135">
        <v>46072</v>
      </c>
      <c r="R57" s="133" t="s">
        <v>116</v>
      </c>
      <c r="S57" s="135" t="s">
        <v>133</v>
      </c>
      <c r="T57" s="133" t="s">
        <v>26</v>
      </c>
      <c r="U57" s="133" t="s">
        <v>182</v>
      </c>
      <c r="V57" s="135">
        <v>46072</v>
      </c>
      <c r="W57" s="133">
        <v>1533411</v>
      </c>
      <c r="X57" s="133">
        <v>6875825248</v>
      </c>
      <c r="Y57" s="133" t="s">
        <v>35</v>
      </c>
      <c r="Z57" s="133" t="s">
        <v>272</v>
      </c>
      <c r="AF57" s="133">
        <v>9752037</v>
      </c>
      <c r="AG57" s="133" t="s">
        <v>131</v>
      </c>
    </row>
    <row r="58" spans="1:35" x14ac:dyDescent="0.2">
      <c r="A58" s="139">
        <f>Table1[[#This Row],[Qual a Numeração da Nota Fiscal com divergência ?]]</f>
        <v>1533268</v>
      </c>
      <c r="B58" s="146" t="s">
        <v>33</v>
      </c>
      <c r="C58" s="147" t="s">
        <v>111</v>
      </c>
      <c r="D58" s="147" t="s">
        <v>245</v>
      </c>
      <c r="E58" s="148">
        <f>WEEKNUM(Table1[[#This Row],[Dt da abertura]],1)</f>
        <v>8</v>
      </c>
      <c r="F58" s="147">
        <v>46073</v>
      </c>
      <c r="G58" s="147">
        <v>46072</v>
      </c>
      <c r="H58" s="147">
        <v>46077</v>
      </c>
      <c r="I58" s="147">
        <v>46077</v>
      </c>
      <c r="J58" s="147" t="s">
        <v>113</v>
      </c>
      <c r="K58" s="149" t="s">
        <v>114</v>
      </c>
      <c r="L58" s="149" t="str">
        <f>VLOOKUP(Table1[[#This Row],[Qual seu Carro de Entrega]],Hierarquia!A:K,11,0)</f>
        <v>TD Curitiba</v>
      </c>
      <c r="M58" s="149" t="str">
        <f>VLOOKUP(U58,Hierarquia!A:K,6,0)</f>
        <v>FADEL</v>
      </c>
      <c r="N58" s="149" t="s">
        <v>113</v>
      </c>
      <c r="O58" s="149" t="s">
        <v>115</v>
      </c>
      <c r="P58" s="133">
        <v>424</v>
      </c>
      <c r="Q58" s="135">
        <v>46072</v>
      </c>
      <c r="R58" s="133" t="s">
        <v>116</v>
      </c>
      <c r="S58" s="135" t="s">
        <v>133</v>
      </c>
      <c r="T58" s="133" t="s">
        <v>26</v>
      </c>
      <c r="U58" s="133" t="s">
        <v>273</v>
      </c>
      <c r="V58" s="135">
        <v>46072</v>
      </c>
      <c r="W58" s="133">
        <v>1533268</v>
      </c>
      <c r="X58" s="133">
        <v>6875772915</v>
      </c>
      <c r="Y58" s="133" t="s">
        <v>34</v>
      </c>
      <c r="Z58" s="133" t="s">
        <v>274</v>
      </c>
      <c r="AF58" s="133">
        <v>9751767</v>
      </c>
      <c r="AG58" s="133" t="s">
        <v>121</v>
      </c>
    </row>
    <row r="59" spans="1:35" x14ac:dyDescent="0.2">
      <c r="A59" s="139">
        <f>Table1[[#This Row],[Qual a Numeração da Nota Fiscal com divergência ?]]</f>
        <v>1534047</v>
      </c>
      <c r="B59" s="146" t="s">
        <v>33</v>
      </c>
      <c r="C59" s="147" t="s">
        <v>111</v>
      </c>
      <c r="D59" s="147" t="s">
        <v>245</v>
      </c>
      <c r="E59" s="148">
        <f>WEEKNUM(Table1[[#This Row],[Dt da abertura]],1)</f>
        <v>8</v>
      </c>
      <c r="F59" s="147">
        <v>46077</v>
      </c>
      <c r="G59" s="147">
        <v>46073</v>
      </c>
      <c r="H59" s="147">
        <v>46077</v>
      </c>
      <c r="I59" s="147">
        <v>46077</v>
      </c>
      <c r="J59" s="147" t="s">
        <v>113</v>
      </c>
      <c r="K59" s="149" t="s">
        <v>114</v>
      </c>
      <c r="L59" s="149" t="str">
        <f>VLOOKUP(Table1[[#This Row],[Qual seu Carro de Entrega]],Hierarquia!A:K,11,0)</f>
        <v>TD Curitiba</v>
      </c>
      <c r="M59" s="149" t="str">
        <f>VLOOKUP(U59,Hierarquia!A:K,6,0)</f>
        <v>FADEL</v>
      </c>
      <c r="N59" s="149" t="s">
        <v>113</v>
      </c>
      <c r="O59" s="149" t="s">
        <v>115</v>
      </c>
      <c r="P59" s="133">
        <v>426</v>
      </c>
      <c r="Q59" s="135">
        <v>46073</v>
      </c>
      <c r="R59" s="133" t="s">
        <v>116</v>
      </c>
      <c r="S59" s="135" t="s">
        <v>133</v>
      </c>
      <c r="T59" s="133" t="s">
        <v>26</v>
      </c>
      <c r="U59" s="133" t="s">
        <v>142</v>
      </c>
      <c r="V59" s="135">
        <v>46073</v>
      </c>
      <c r="W59" s="133">
        <v>1534047</v>
      </c>
      <c r="X59" s="133">
        <v>6875848598</v>
      </c>
      <c r="Y59" s="133" t="s">
        <v>35</v>
      </c>
      <c r="Z59" s="133" t="s">
        <v>275</v>
      </c>
      <c r="AF59" s="133">
        <v>9768163</v>
      </c>
      <c r="AG59" s="133" t="s">
        <v>131</v>
      </c>
      <c r="AI59" s="133" t="s">
        <v>276</v>
      </c>
    </row>
    <row r="60" spans="1:35" x14ac:dyDescent="0.2">
      <c r="A60" s="139">
        <f>Table1[[#This Row],[Qual a Numeração da Nota Fiscal com divergência ?]]</f>
        <v>1534226</v>
      </c>
      <c r="B60" s="146" t="s">
        <v>33</v>
      </c>
      <c r="C60" s="147" t="s">
        <v>111</v>
      </c>
      <c r="D60" s="147" t="s">
        <v>245</v>
      </c>
      <c r="E60" s="148">
        <f>WEEKNUM(Table1[[#This Row],[Dt da abertura]],1)</f>
        <v>8</v>
      </c>
      <c r="F60" s="147">
        <v>46077</v>
      </c>
      <c r="G60" s="147">
        <v>46073</v>
      </c>
      <c r="H60" s="147">
        <v>46079</v>
      </c>
      <c r="I60" s="147">
        <v>46079</v>
      </c>
      <c r="J60" s="147" t="s">
        <v>113</v>
      </c>
      <c r="K60" s="149" t="s">
        <v>114</v>
      </c>
      <c r="L60" s="149" t="str">
        <f>VLOOKUP(Table1[[#This Row],[Qual seu Carro de Entrega]],Hierarquia!A:K,11,0)</f>
        <v>TD Curitiba</v>
      </c>
      <c r="M60" s="149" t="str">
        <f>VLOOKUP(U60,Hierarquia!A:K,6,0)</f>
        <v>FADEL</v>
      </c>
      <c r="N60" s="149" t="s">
        <v>113</v>
      </c>
      <c r="O60" s="149" t="s">
        <v>115</v>
      </c>
      <c r="P60" s="133">
        <v>427</v>
      </c>
      <c r="Q60" s="135">
        <v>46073</v>
      </c>
      <c r="R60" s="133" t="s">
        <v>116</v>
      </c>
      <c r="S60" s="135" t="s">
        <v>133</v>
      </c>
      <c r="T60" s="133" t="s">
        <v>26</v>
      </c>
      <c r="U60" s="133" t="s">
        <v>277</v>
      </c>
      <c r="V60" s="135">
        <v>46073</v>
      </c>
      <c r="W60" s="133">
        <v>1534226</v>
      </c>
      <c r="X60" s="133">
        <v>6875655809</v>
      </c>
      <c r="Y60" s="133" t="s">
        <v>35</v>
      </c>
      <c r="Z60" s="133" t="s">
        <v>278</v>
      </c>
      <c r="AF60" s="133">
        <v>9767619</v>
      </c>
      <c r="AG60" s="133" t="s">
        <v>121</v>
      </c>
      <c r="AI60" s="133" t="s">
        <v>279</v>
      </c>
    </row>
    <row r="61" spans="1:35" x14ac:dyDescent="0.2">
      <c r="A61" s="139">
        <f>Table1[[#This Row],[Qual a Numeração da Nota Fiscal com divergência ?]]</f>
        <v>1534412</v>
      </c>
      <c r="B61" s="146" t="s">
        <v>33</v>
      </c>
      <c r="C61" s="147" t="s">
        <v>111</v>
      </c>
      <c r="D61" s="147" t="s">
        <v>245</v>
      </c>
      <c r="E61" s="148">
        <f>WEEKNUM(Table1[[#This Row],[Dt da abertura]],1)</f>
        <v>8</v>
      </c>
      <c r="F61" s="147">
        <v>46077</v>
      </c>
      <c r="G61" s="147">
        <v>46073</v>
      </c>
      <c r="H61" s="147">
        <v>46079</v>
      </c>
      <c r="I61" s="147">
        <v>46079</v>
      </c>
      <c r="J61" s="147" t="s">
        <v>113</v>
      </c>
      <c r="K61" s="149" t="s">
        <v>114</v>
      </c>
      <c r="L61" s="149" t="str">
        <f>VLOOKUP(Table1[[#This Row],[Qual seu Carro de Entrega]],Hierarquia!A:K,11,0)</f>
        <v>TD Curitiba</v>
      </c>
      <c r="M61" s="149" t="str">
        <f>VLOOKUP(U61,Hierarquia!A:K,6,0)</f>
        <v>FADEL</v>
      </c>
      <c r="N61" s="149" t="s">
        <v>113</v>
      </c>
      <c r="O61" s="149" t="s">
        <v>115</v>
      </c>
      <c r="P61" s="133">
        <v>428</v>
      </c>
      <c r="Q61" s="135">
        <v>46073</v>
      </c>
      <c r="R61" s="133" t="s">
        <v>116</v>
      </c>
      <c r="S61" s="135" t="s">
        <v>133</v>
      </c>
      <c r="T61" s="133" t="s">
        <v>26</v>
      </c>
      <c r="U61" s="133" t="s">
        <v>118</v>
      </c>
      <c r="V61" s="135">
        <v>46073</v>
      </c>
      <c r="W61" s="133">
        <v>1534412</v>
      </c>
      <c r="X61" s="133">
        <v>6875680847</v>
      </c>
      <c r="Y61" s="133" t="s">
        <v>35</v>
      </c>
      <c r="Z61" s="133" t="s">
        <v>280</v>
      </c>
      <c r="AF61" s="133">
        <v>9768528</v>
      </c>
      <c r="AG61" s="133" t="s">
        <v>121</v>
      </c>
      <c r="AI61" s="133" t="s">
        <v>281</v>
      </c>
    </row>
    <row r="62" spans="1:35" x14ac:dyDescent="0.2">
      <c r="A62" s="139">
        <f>Table1[[#This Row],[Qual a Numeração da Nota Fiscal com divergência ?]]</f>
        <v>1534520</v>
      </c>
      <c r="B62" s="146" t="s">
        <v>30</v>
      </c>
      <c r="C62" s="147" t="s">
        <v>111</v>
      </c>
      <c r="D62" s="147" t="s">
        <v>245</v>
      </c>
      <c r="E62" s="148">
        <f>WEEKNUM(Table1[[#This Row],[Dt da abertura]],1)</f>
        <v>9</v>
      </c>
      <c r="F62" s="147">
        <v>46077</v>
      </c>
      <c r="G62" s="147">
        <v>46076</v>
      </c>
      <c r="H62" s="147">
        <v>46079</v>
      </c>
      <c r="I62" s="147">
        <v>46079</v>
      </c>
      <c r="J62" s="147" t="s">
        <v>113</v>
      </c>
      <c r="K62" s="149" t="s">
        <v>114</v>
      </c>
      <c r="L62" s="149" t="str">
        <f>VLOOKUP(Table1[[#This Row],[Qual seu Carro de Entrega]],Hierarquia!A:K,11,0)</f>
        <v>TD Curitiba</v>
      </c>
      <c r="M62" s="149" t="str">
        <f>VLOOKUP(U62,Hierarquia!A:K,6,0)</f>
        <v>FADEL</v>
      </c>
      <c r="N62" s="149" t="s">
        <v>113</v>
      </c>
      <c r="O62" s="149" t="s">
        <v>115</v>
      </c>
      <c r="P62" s="133">
        <v>429</v>
      </c>
      <c r="Q62" s="135">
        <v>46076</v>
      </c>
      <c r="R62" s="133" t="s">
        <v>116</v>
      </c>
      <c r="S62" s="135" t="s">
        <v>133</v>
      </c>
      <c r="T62" s="133" t="s">
        <v>26</v>
      </c>
      <c r="U62" s="133" t="s">
        <v>160</v>
      </c>
      <c r="V62" s="135">
        <v>46076</v>
      </c>
      <c r="W62" s="133">
        <v>1534520</v>
      </c>
      <c r="X62" s="133">
        <v>6875875158</v>
      </c>
      <c r="Y62" s="133" t="s">
        <v>35</v>
      </c>
      <c r="Z62" s="133" t="s">
        <v>282</v>
      </c>
      <c r="AF62" s="133">
        <v>9778311</v>
      </c>
      <c r="AG62" s="133" t="s">
        <v>131</v>
      </c>
      <c r="AI62" s="133" t="s">
        <v>283</v>
      </c>
    </row>
    <row r="63" spans="1:35" hidden="1" x14ac:dyDescent="0.2">
      <c r="A63" s="139">
        <f>Table1[[#This Row],[Qual a Numeração da Nota Fiscal com divergência ?]]</f>
        <v>1534910</v>
      </c>
      <c r="B63" s="146" t="s">
        <v>30</v>
      </c>
      <c r="C63" s="147" t="s">
        <v>111</v>
      </c>
      <c r="D63" s="147" t="s">
        <v>245</v>
      </c>
      <c r="E63" s="148">
        <f>WEEKNUM(Table1[[#This Row],[Dt da abertura]],1)</f>
        <v>9</v>
      </c>
      <c r="F63" s="147">
        <v>46077</v>
      </c>
      <c r="G63" s="147">
        <v>46077</v>
      </c>
      <c r="H63" s="147">
        <v>46079</v>
      </c>
      <c r="I63" s="147">
        <v>46084</v>
      </c>
      <c r="J63" s="147" t="s">
        <v>113</v>
      </c>
      <c r="K63" s="149" t="s">
        <v>114</v>
      </c>
      <c r="L63" s="149" t="str">
        <f>VLOOKUP(Table1[[#This Row],[Qual seu Carro de Entrega]],Hierarquia!A:K,11,0)</f>
        <v>TV Curitiba 2</v>
      </c>
      <c r="M63" s="149" t="str">
        <f>VLOOKUP(U63,Hierarquia!A:K,6,0)</f>
        <v>BAT</v>
      </c>
      <c r="N63" s="149" t="s">
        <v>113</v>
      </c>
      <c r="O63" s="149" t="s">
        <v>115</v>
      </c>
      <c r="P63" s="133">
        <v>430</v>
      </c>
      <c r="Q63" s="135">
        <v>46077</v>
      </c>
      <c r="R63" s="133" t="s">
        <v>116</v>
      </c>
      <c r="S63" s="135" t="s">
        <v>123</v>
      </c>
      <c r="T63" s="133" t="s">
        <v>28</v>
      </c>
      <c r="U63" s="133" t="s">
        <v>124</v>
      </c>
      <c r="V63" s="135">
        <v>46077</v>
      </c>
      <c r="W63" s="133">
        <v>1534910</v>
      </c>
      <c r="X63" s="133">
        <v>6875900463</v>
      </c>
      <c r="Y63" s="133" t="s">
        <v>35</v>
      </c>
      <c r="Z63" s="133" t="s">
        <v>284</v>
      </c>
      <c r="AF63" s="133">
        <v>0</v>
      </c>
      <c r="AG63" s="133" t="s">
        <v>131</v>
      </c>
      <c r="AI63" s="133" t="s">
        <v>256</v>
      </c>
    </row>
    <row r="64" spans="1:35" x14ac:dyDescent="0.2">
      <c r="A64" s="139">
        <f>Table1[[#This Row],[Qual a Numeração da Nota Fiscal com divergência ?]]</f>
        <v>1535333</v>
      </c>
      <c r="B64" s="146" t="s">
        <v>30</v>
      </c>
      <c r="C64" s="147" t="s">
        <v>111</v>
      </c>
      <c r="D64" s="147" t="s">
        <v>245</v>
      </c>
      <c r="E64" s="148">
        <f>WEEKNUM(Table1[[#This Row],[Dt da abertura]],1)</f>
        <v>9</v>
      </c>
      <c r="F64" s="147">
        <v>46077</v>
      </c>
      <c r="G64" s="147">
        <v>46077</v>
      </c>
      <c r="H64" s="147">
        <v>46079</v>
      </c>
      <c r="I64" s="147">
        <v>46084</v>
      </c>
      <c r="J64" s="147" t="s">
        <v>113</v>
      </c>
      <c r="K64" s="149" t="s">
        <v>114</v>
      </c>
      <c r="L64" s="149" t="str">
        <f>VLOOKUP(Table1[[#This Row],[Qual seu Carro de Entrega]],Hierarquia!A:K,11,0)</f>
        <v>TD Curitiba</v>
      </c>
      <c r="M64" s="149" t="str">
        <f>VLOOKUP(U64,Hierarquia!A:K,6,0)</f>
        <v>FADEL</v>
      </c>
      <c r="N64" s="149" t="s">
        <v>113</v>
      </c>
      <c r="O64" s="149" t="s">
        <v>115</v>
      </c>
      <c r="P64" s="133">
        <v>431</v>
      </c>
      <c r="Q64" s="135">
        <v>46077</v>
      </c>
      <c r="R64" s="133" t="s">
        <v>116</v>
      </c>
      <c r="S64" s="135" t="s">
        <v>133</v>
      </c>
      <c r="T64" s="133" t="s">
        <v>26</v>
      </c>
      <c r="U64" s="133" t="s">
        <v>285</v>
      </c>
      <c r="V64" s="135">
        <v>46077</v>
      </c>
      <c r="W64" s="133">
        <v>1535333</v>
      </c>
      <c r="X64" s="133">
        <v>6875896449</v>
      </c>
      <c r="Y64" s="133" t="s">
        <v>35</v>
      </c>
      <c r="Z64" s="133" t="s">
        <v>286</v>
      </c>
      <c r="AF64" s="133">
        <v>9791444</v>
      </c>
      <c r="AG64" s="133" t="s">
        <v>131</v>
      </c>
    </row>
    <row r="65" spans="1:35" x14ac:dyDescent="0.2">
      <c r="A65" s="139">
        <f>Table1[[#This Row],[Qual a Numeração da Nota Fiscal com divergência ?]]</f>
        <v>1535537</v>
      </c>
      <c r="B65" s="146" t="s">
        <v>33</v>
      </c>
      <c r="C65" s="147" t="s">
        <v>111</v>
      </c>
      <c r="D65" s="147" t="s">
        <v>245</v>
      </c>
      <c r="E65" s="148">
        <f>WEEKNUM(Table1[[#This Row],[Dt da abertura]],1)</f>
        <v>9</v>
      </c>
      <c r="F65" s="147">
        <v>46077</v>
      </c>
      <c r="G65" s="147">
        <v>46077</v>
      </c>
      <c r="H65" s="147">
        <v>46079</v>
      </c>
      <c r="I65" s="147">
        <v>46079</v>
      </c>
      <c r="J65" s="147" t="s">
        <v>113</v>
      </c>
      <c r="K65" s="149" t="s">
        <v>114</v>
      </c>
      <c r="L65" s="149" t="str">
        <f>VLOOKUP(Table1[[#This Row],[Qual seu Carro de Entrega]],Hierarquia!A:K,11,0)</f>
        <v>TD Curitiba</v>
      </c>
      <c r="M65" s="149" t="str">
        <f>VLOOKUP(U65,Hierarquia!A:K,6,0)</f>
        <v>FADEL</v>
      </c>
      <c r="N65" s="149" t="s">
        <v>113</v>
      </c>
      <c r="O65" s="149" t="s">
        <v>115</v>
      </c>
      <c r="P65" s="133">
        <v>432</v>
      </c>
      <c r="Q65" s="135">
        <v>46077</v>
      </c>
      <c r="R65" s="133" t="s">
        <v>116</v>
      </c>
      <c r="S65" s="135" t="s">
        <v>133</v>
      </c>
      <c r="T65" s="133" t="s">
        <v>26</v>
      </c>
      <c r="U65" s="133" t="s">
        <v>287</v>
      </c>
      <c r="V65" s="135">
        <v>46077</v>
      </c>
      <c r="W65" s="133">
        <v>1535537</v>
      </c>
      <c r="X65" s="133">
        <v>6875926331</v>
      </c>
      <c r="Y65" s="133" t="s">
        <v>35</v>
      </c>
      <c r="Z65" s="133" t="s">
        <v>288</v>
      </c>
      <c r="AF65" s="133">
        <v>9792160</v>
      </c>
      <c r="AG65" s="133" t="s">
        <v>121</v>
      </c>
      <c r="AI65" s="133" t="s">
        <v>289</v>
      </c>
    </row>
    <row r="66" spans="1:35" x14ac:dyDescent="0.2">
      <c r="A66" s="139">
        <f>Table1[[#This Row],[Qual a Numeração da Nota Fiscal com divergência ?]]</f>
        <v>1534937</v>
      </c>
      <c r="B66" s="146" t="s">
        <v>33</v>
      </c>
      <c r="C66" s="147" t="s">
        <v>111</v>
      </c>
      <c r="D66" s="147" t="s">
        <v>245</v>
      </c>
      <c r="E66" s="148">
        <f>WEEKNUM(Table1[[#This Row],[Dt da abertura]],1)</f>
        <v>9</v>
      </c>
      <c r="F66" s="147">
        <v>46077</v>
      </c>
      <c r="G66" s="147">
        <v>46077</v>
      </c>
      <c r="H66" s="147">
        <v>46079</v>
      </c>
      <c r="I66" s="147">
        <v>46079</v>
      </c>
      <c r="J66" s="147" t="s">
        <v>113</v>
      </c>
      <c r="K66" s="149" t="s">
        <v>114</v>
      </c>
      <c r="L66" s="149" t="str">
        <f>VLOOKUP(Table1[[#This Row],[Qual seu Carro de Entrega]],Hierarquia!A:K,11,0)</f>
        <v>TD Curitiba</v>
      </c>
      <c r="M66" s="149" t="str">
        <f>VLOOKUP(U66,Hierarquia!A:K,6,0)</f>
        <v>FADEL</v>
      </c>
      <c r="N66" s="149" t="s">
        <v>113</v>
      </c>
      <c r="O66" s="149" t="s">
        <v>115</v>
      </c>
      <c r="P66" s="133">
        <v>433</v>
      </c>
      <c r="Q66" s="135">
        <v>46077</v>
      </c>
      <c r="R66" s="133" t="s">
        <v>116</v>
      </c>
      <c r="S66" s="135" t="s">
        <v>290</v>
      </c>
      <c r="T66" s="133" t="s">
        <v>26</v>
      </c>
      <c r="U66" s="133" t="s">
        <v>291</v>
      </c>
      <c r="V66" s="135">
        <v>46077</v>
      </c>
      <c r="W66" s="133">
        <v>1534937</v>
      </c>
      <c r="X66" s="133">
        <v>6875870178</v>
      </c>
      <c r="Y66" s="133" t="s">
        <v>35</v>
      </c>
      <c r="Z66" s="133" t="s">
        <v>292</v>
      </c>
      <c r="AF66" s="133">
        <v>9792647</v>
      </c>
      <c r="AG66" s="133" t="s">
        <v>121</v>
      </c>
      <c r="AI66" s="133" t="s">
        <v>293</v>
      </c>
    </row>
    <row r="67" spans="1:35" ht="15.75" hidden="1" x14ac:dyDescent="0.25">
      <c r="A67" s="139">
        <f>Table1[[#This Row],[Qual a Numeração da Nota Fiscal com divergência ?]]</f>
        <v>1530592</v>
      </c>
      <c r="B67" s="146" t="s">
        <v>30</v>
      </c>
      <c r="C67" s="147" t="s">
        <v>111</v>
      </c>
      <c r="D67" s="147" t="s">
        <v>245</v>
      </c>
      <c r="E67" s="148">
        <f>WEEKNUM(Table1[[#This Row],[Dt da abertura]],1)</f>
        <v>9</v>
      </c>
      <c r="F67" s="147">
        <v>46078</v>
      </c>
      <c r="G67" s="147">
        <v>46078</v>
      </c>
      <c r="H67" s="147">
        <v>46080</v>
      </c>
      <c r="I67" s="147">
        <v>46079</v>
      </c>
      <c r="J67" s="147" t="s">
        <v>113</v>
      </c>
      <c r="K67" s="149" t="s">
        <v>114</v>
      </c>
      <c r="L67" s="149" t="str">
        <f>VLOOKUP(Table1[[#This Row],[Qual seu Carro de Entrega]],Hierarquia!A:K,11,0)</f>
        <v>TV Curitiba 2</v>
      </c>
      <c r="M67" s="149" t="str">
        <f>VLOOKUP(U67,Hierarquia!A:K,6,0)</f>
        <v>BAT</v>
      </c>
      <c r="N67" s="149" t="s">
        <v>113</v>
      </c>
      <c r="O67" s="149" t="s">
        <v>115</v>
      </c>
      <c r="P67" s="133">
        <v>434</v>
      </c>
      <c r="Q67" s="135">
        <v>46078</v>
      </c>
      <c r="R67" s="133" t="s">
        <v>116</v>
      </c>
      <c r="S67" s="151" t="s">
        <v>128</v>
      </c>
      <c r="T67" s="133" t="s">
        <v>28</v>
      </c>
      <c r="U67" s="133" t="s">
        <v>129</v>
      </c>
      <c r="V67" s="135">
        <v>46065</v>
      </c>
      <c r="W67" s="133">
        <v>1530592</v>
      </c>
      <c r="X67" s="133">
        <v>6875659675</v>
      </c>
      <c r="Y67" s="133" t="s">
        <v>35</v>
      </c>
      <c r="Z67" s="133" t="s">
        <v>294</v>
      </c>
      <c r="AG67" s="133" t="s">
        <v>131</v>
      </c>
      <c r="AI67" s="133" t="s">
        <v>264</v>
      </c>
    </row>
    <row r="68" spans="1:35" hidden="1" x14ac:dyDescent="0.2">
      <c r="A68" s="139">
        <f>Table1[[#This Row],[Qual a Numeração da Nota Fiscal com divergência ?]]</f>
        <v>1532399</v>
      </c>
      <c r="B68" s="146" t="s">
        <v>30</v>
      </c>
      <c r="C68" s="147" t="s">
        <v>111</v>
      </c>
      <c r="D68" s="147" t="s">
        <v>245</v>
      </c>
      <c r="E68" s="148">
        <f>WEEKNUM(Table1[[#This Row],[Dt da abertura]],1)</f>
        <v>9</v>
      </c>
      <c r="F68" s="147">
        <v>46078</v>
      </c>
      <c r="G68" s="147">
        <v>46078</v>
      </c>
      <c r="H68" s="147">
        <v>46080</v>
      </c>
      <c r="I68" s="147">
        <v>46084</v>
      </c>
      <c r="J68" s="147" t="s">
        <v>113</v>
      </c>
      <c r="K68" s="149" t="s">
        <v>114</v>
      </c>
      <c r="L68" s="149" t="str">
        <f>VLOOKUP(Table1[[#This Row],[Qual seu Carro de Entrega]],Hierarquia!A:K,11,0)</f>
        <v>TV Curitiba 2</v>
      </c>
      <c r="M68" s="149" t="str">
        <f>VLOOKUP(U68,Hierarquia!A:K,6,0)</f>
        <v>BAT</v>
      </c>
      <c r="N68" s="149" t="s">
        <v>113</v>
      </c>
      <c r="O68" s="149" t="s">
        <v>115</v>
      </c>
      <c r="P68" s="133">
        <v>435</v>
      </c>
      <c r="Q68" s="135">
        <v>46078</v>
      </c>
      <c r="R68" s="133" t="s">
        <v>116</v>
      </c>
      <c r="S68" s="135" t="s">
        <v>128</v>
      </c>
      <c r="T68" s="133" t="s">
        <v>28</v>
      </c>
      <c r="U68" s="133" t="s">
        <v>129</v>
      </c>
      <c r="V68" s="135">
        <v>46072</v>
      </c>
      <c r="W68" s="133">
        <v>1532399</v>
      </c>
      <c r="X68" s="133">
        <v>6875793405</v>
      </c>
      <c r="Y68" s="133" t="s">
        <v>35</v>
      </c>
      <c r="Z68" s="133" t="s">
        <v>295</v>
      </c>
      <c r="AG68" s="133" t="s">
        <v>131</v>
      </c>
      <c r="AI68" s="133">
        <v>0</v>
      </c>
    </row>
    <row r="69" spans="1:35" x14ac:dyDescent="0.2">
      <c r="A69" s="139">
        <f>Table1[[#This Row],[Qual a Numeração da Nota Fiscal com divergência ?]]</f>
        <v>1535983</v>
      </c>
      <c r="B69" s="146" t="s">
        <v>33</v>
      </c>
      <c r="C69" s="147" t="s">
        <v>111</v>
      </c>
      <c r="D69" s="147" t="s">
        <v>245</v>
      </c>
      <c r="E69" s="148">
        <f>WEEKNUM(Table1[[#This Row],[Dt da abertura]],1)</f>
        <v>9</v>
      </c>
      <c r="F69" s="147">
        <v>46078</v>
      </c>
      <c r="G69" s="147">
        <v>46078</v>
      </c>
      <c r="H69" s="147">
        <v>46080</v>
      </c>
      <c r="I69" s="147">
        <v>46079</v>
      </c>
      <c r="J69" s="147" t="s">
        <v>113</v>
      </c>
      <c r="K69" s="149" t="s">
        <v>114</v>
      </c>
      <c r="L69" s="149" t="str">
        <f>VLOOKUP(Table1[[#This Row],[Qual seu Carro de Entrega]],Hierarquia!A:K,11,0)</f>
        <v>TD Curitiba</v>
      </c>
      <c r="M69" s="149" t="str">
        <f>VLOOKUP(U69,Hierarquia!A:K,6,0)</f>
        <v>FADEL</v>
      </c>
      <c r="N69" s="149" t="s">
        <v>113</v>
      </c>
      <c r="O69" s="149" t="s">
        <v>115</v>
      </c>
      <c r="P69" s="133">
        <v>436</v>
      </c>
      <c r="Q69" s="135">
        <v>46078</v>
      </c>
      <c r="R69" s="133" t="s">
        <v>116</v>
      </c>
      <c r="S69" s="135" t="s">
        <v>133</v>
      </c>
      <c r="T69" s="133" t="s">
        <v>26</v>
      </c>
      <c r="U69" s="133" t="s">
        <v>296</v>
      </c>
      <c r="V69" s="135">
        <v>46078</v>
      </c>
      <c r="W69" s="133">
        <v>1535983</v>
      </c>
      <c r="X69" s="133">
        <v>6875934363</v>
      </c>
      <c r="Y69" s="133" t="s">
        <v>34</v>
      </c>
      <c r="Z69" s="133" t="s">
        <v>297</v>
      </c>
      <c r="AF69" s="133">
        <v>9806186</v>
      </c>
      <c r="AG69" s="133" t="s">
        <v>121</v>
      </c>
      <c r="AI69" s="133" t="s">
        <v>298</v>
      </c>
    </row>
    <row r="70" spans="1:35" hidden="1" x14ac:dyDescent="0.2">
      <c r="A70" s="139">
        <f>Table1[[#This Row],[Qual a Numeração da Nota Fiscal com divergência ?]]</f>
        <v>1534366</v>
      </c>
      <c r="B70" s="146" t="s">
        <v>30</v>
      </c>
      <c r="C70" s="147" t="s">
        <v>111</v>
      </c>
      <c r="D70" s="147" t="s">
        <v>245</v>
      </c>
      <c r="E70" s="148">
        <f>WEEKNUM(Table1[[#This Row],[Dt da abertura]],1)</f>
        <v>9</v>
      </c>
      <c r="F70" s="147">
        <v>46079</v>
      </c>
      <c r="G70" s="147">
        <v>46079</v>
      </c>
      <c r="H70" s="147">
        <v>46083</v>
      </c>
      <c r="I70" s="147">
        <v>46084</v>
      </c>
      <c r="J70" s="147" t="s">
        <v>113</v>
      </c>
      <c r="K70" s="149" t="s">
        <v>114</v>
      </c>
      <c r="L70" s="149" t="str">
        <f>VLOOKUP(Table1[[#This Row],[Qual seu Carro de Entrega]],Hierarquia!A:K,11,0)</f>
        <v>TV Curitiba 2</v>
      </c>
      <c r="M70" s="149" t="str">
        <f>VLOOKUP(U70,Hierarquia!A:K,6,0)</f>
        <v>BAT</v>
      </c>
      <c r="N70" s="149" t="s">
        <v>113</v>
      </c>
      <c r="O70" s="149" t="s">
        <v>115</v>
      </c>
      <c r="P70" s="133">
        <v>437</v>
      </c>
      <c r="Q70" s="135">
        <v>46079</v>
      </c>
      <c r="R70" s="133" t="s">
        <v>116</v>
      </c>
      <c r="S70" s="135" t="s">
        <v>163</v>
      </c>
      <c r="T70" s="133" t="s">
        <v>28</v>
      </c>
      <c r="U70" s="133" t="s">
        <v>164</v>
      </c>
      <c r="V70" s="135">
        <v>46079</v>
      </c>
      <c r="W70" s="133">
        <v>1534366</v>
      </c>
      <c r="X70" s="133">
        <v>6875779803</v>
      </c>
      <c r="Y70" s="133" t="s">
        <v>35</v>
      </c>
      <c r="Z70" s="133" t="s">
        <v>299</v>
      </c>
      <c r="AF70" s="133" t="s">
        <v>300</v>
      </c>
      <c r="AG70" s="133" t="s">
        <v>131</v>
      </c>
      <c r="AI70" s="133" t="s">
        <v>301</v>
      </c>
    </row>
    <row r="71" spans="1:35" x14ac:dyDescent="0.2">
      <c r="A71" s="139">
        <f>Table1[[#This Row],[Qual a Numeração da Nota Fiscal com divergência ?]]</f>
        <v>1537401</v>
      </c>
      <c r="B71" s="146" t="s">
        <v>33</v>
      </c>
      <c r="C71" s="147" t="s">
        <v>111</v>
      </c>
      <c r="D71" s="147" t="s">
        <v>245</v>
      </c>
      <c r="E71" s="148">
        <f>WEEKNUM(Table1[[#This Row],[Dt da abertura]],1)</f>
        <v>9</v>
      </c>
      <c r="F71" s="147">
        <v>46083</v>
      </c>
      <c r="G71" s="147">
        <v>46080</v>
      </c>
      <c r="H71" s="147">
        <v>46085</v>
      </c>
      <c r="I71" s="147">
        <v>46085</v>
      </c>
      <c r="J71" s="147" t="s">
        <v>113</v>
      </c>
      <c r="K71" s="149" t="s">
        <v>114</v>
      </c>
      <c r="L71" s="149" t="str">
        <f>VLOOKUP(Table1[[#This Row],[Qual seu Carro de Entrega]],Hierarquia!A:K,11,0)</f>
        <v>TD Curitiba</v>
      </c>
      <c r="M71" s="149" t="str">
        <f>VLOOKUP(U71,Hierarquia!A:K,6,0)</f>
        <v>FADEL</v>
      </c>
      <c r="N71" s="149" t="s">
        <v>113</v>
      </c>
      <c r="O71" s="149" t="s">
        <v>115</v>
      </c>
      <c r="P71" s="133">
        <v>439</v>
      </c>
      <c r="Q71" s="135">
        <v>46080</v>
      </c>
      <c r="R71" s="133" t="s">
        <v>116</v>
      </c>
      <c r="S71" s="135" t="s">
        <v>133</v>
      </c>
      <c r="T71" s="133" t="s">
        <v>26</v>
      </c>
      <c r="U71" s="133" t="s">
        <v>227</v>
      </c>
      <c r="V71" s="135">
        <v>46080</v>
      </c>
      <c r="W71" s="133">
        <v>1537401</v>
      </c>
      <c r="X71" s="133">
        <v>6875974173</v>
      </c>
      <c r="Y71" s="133" t="s">
        <v>35</v>
      </c>
      <c r="Z71" s="133" t="s">
        <v>302</v>
      </c>
      <c r="AF71" s="133">
        <v>9838434</v>
      </c>
      <c r="AG71" s="133" t="s">
        <v>131</v>
      </c>
    </row>
    <row r="72" spans="1:35" x14ac:dyDescent="0.2">
      <c r="A72" s="139" t="str">
        <f>Table1[[#This Row],[Qual a Numeração da Nota Fiscal com divergência ?]]</f>
        <v>1534520/9</v>
      </c>
      <c r="B72" s="146" t="s">
        <v>33</v>
      </c>
      <c r="C72" s="147" t="s">
        <v>111</v>
      </c>
      <c r="D72" s="147" t="s">
        <v>245</v>
      </c>
      <c r="E72" s="148">
        <f>WEEKNUM(Table1[[#This Row],[Dt da abertura]],1)</f>
        <v>9</v>
      </c>
      <c r="F72" s="147">
        <v>46083</v>
      </c>
      <c r="G72" s="147">
        <v>46081</v>
      </c>
      <c r="H72" s="147">
        <v>46085</v>
      </c>
      <c r="I72" s="147">
        <v>46085</v>
      </c>
      <c r="J72" s="147" t="s">
        <v>113</v>
      </c>
      <c r="K72" s="149" t="s">
        <v>114</v>
      </c>
      <c r="L72" s="149" t="str">
        <f>VLOOKUP(Table1[[#This Row],[Qual seu Carro de Entrega]],Hierarquia!A:K,11,0)</f>
        <v>TD Curitiba</v>
      </c>
      <c r="M72" s="149" t="str">
        <f>VLOOKUP(U72,Hierarquia!A:K,6,0)</f>
        <v>FADEL</v>
      </c>
      <c r="N72" s="149" t="s">
        <v>113</v>
      </c>
      <c r="O72" s="149" t="s">
        <v>115</v>
      </c>
      <c r="P72" s="133">
        <v>440</v>
      </c>
      <c r="Q72" s="135">
        <v>46081</v>
      </c>
      <c r="R72" s="133" t="s">
        <v>116</v>
      </c>
      <c r="S72" s="135" t="s">
        <v>133</v>
      </c>
      <c r="T72" s="133" t="s">
        <v>26</v>
      </c>
      <c r="U72" s="133" t="s">
        <v>303</v>
      </c>
      <c r="V72" s="135">
        <v>46076</v>
      </c>
      <c r="W72" s="133" t="s">
        <v>304</v>
      </c>
      <c r="X72" s="133">
        <v>6875875158</v>
      </c>
      <c r="Y72" s="133" t="s">
        <v>35</v>
      </c>
      <c r="Z72" s="133" t="s">
        <v>305</v>
      </c>
      <c r="AF72" s="133">
        <v>9778311</v>
      </c>
      <c r="AG72" s="133" t="s">
        <v>131</v>
      </c>
      <c r="AI72" s="133" t="s">
        <v>306</v>
      </c>
    </row>
    <row r="73" spans="1:35" hidden="1" x14ac:dyDescent="0.2">
      <c r="A73" s="139">
        <f>Table1[[#This Row],[Qual a Numeração da Nota Fiscal com divergência ?]]</f>
        <v>1535780</v>
      </c>
      <c r="B73" s="146" t="s">
        <v>33</v>
      </c>
      <c r="C73" s="147" t="s">
        <v>111</v>
      </c>
      <c r="D73" s="147" t="s">
        <v>40</v>
      </c>
      <c r="E73" s="148">
        <f>WEEKNUM(Table1[[#This Row],[Dt da abertura]],1)</f>
        <v>10</v>
      </c>
      <c r="F73" s="147">
        <v>46083</v>
      </c>
      <c r="G73" s="147">
        <v>46083</v>
      </c>
      <c r="H73" s="147">
        <v>46085</v>
      </c>
      <c r="I73" s="147">
        <v>46085</v>
      </c>
      <c r="J73" s="147" t="s">
        <v>113</v>
      </c>
      <c r="K73" s="149" t="s">
        <v>114</v>
      </c>
      <c r="L73" s="149" t="str">
        <f>VLOOKUP(Table1[[#This Row],[Qual seu Carro de Entrega]],Hierarquia!A:K,11,0)</f>
        <v>TV Curitiba 2</v>
      </c>
      <c r="M73" s="149" t="str">
        <f>VLOOKUP(U73,Hierarquia!A:K,6,0)</f>
        <v>BAT</v>
      </c>
      <c r="N73" s="149" t="s">
        <v>113</v>
      </c>
      <c r="O73" s="149" t="s">
        <v>115</v>
      </c>
      <c r="P73" s="133">
        <v>441</v>
      </c>
      <c r="Q73" s="135">
        <v>46083</v>
      </c>
      <c r="R73" s="133" t="s">
        <v>116</v>
      </c>
      <c r="S73" s="135" t="s">
        <v>307</v>
      </c>
      <c r="T73" s="133" t="s">
        <v>28</v>
      </c>
      <c r="U73" s="133" t="s">
        <v>231</v>
      </c>
      <c r="V73" s="135">
        <v>46079</v>
      </c>
      <c r="W73" s="133">
        <v>1535780</v>
      </c>
      <c r="X73" s="133">
        <v>6875939370</v>
      </c>
      <c r="Y73" s="133" t="s">
        <v>35</v>
      </c>
      <c r="Z73" s="133" t="s">
        <v>308</v>
      </c>
      <c r="AF73" s="133" t="s">
        <v>309</v>
      </c>
      <c r="AG73" s="133" t="s">
        <v>131</v>
      </c>
      <c r="AI73" s="133" t="s">
        <v>310</v>
      </c>
    </row>
    <row r="74" spans="1:35" x14ac:dyDescent="0.2">
      <c r="A74" s="139">
        <f>Table1[[#This Row],[Qual a Numeração da Nota Fiscal com divergência ?]]</f>
        <v>1537758</v>
      </c>
      <c r="B74" s="146" t="s">
        <v>33</v>
      </c>
      <c r="C74" s="147" t="s">
        <v>111</v>
      </c>
      <c r="D74" s="147" t="s">
        <v>40</v>
      </c>
      <c r="E74" s="148">
        <f>WEEKNUM(Table1[[#This Row],[Dt da abertura]],1)</f>
        <v>10</v>
      </c>
      <c r="F74" s="147">
        <v>46085</v>
      </c>
      <c r="G74" s="147">
        <v>46084</v>
      </c>
      <c r="H74" s="147">
        <v>46087</v>
      </c>
      <c r="I74" s="147">
        <v>46086</v>
      </c>
      <c r="J74" s="147" t="s">
        <v>113</v>
      </c>
      <c r="K74" s="149" t="s">
        <v>114</v>
      </c>
      <c r="L74" s="149" t="str">
        <f>VLOOKUP(Table1[[#This Row],[Qual seu Carro de Entrega]],Hierarquia!A:K,11,0)</f>
        <v>TD Curitiba</v>
      </c>
      <c r="M74" s="149" t="str">
        <f>VLOOKUP(U74,Hierarquia!A:K,6,0)</f>
        <v>FADEL</v>
      </c>
      <c r="N74" s="149" t="s">
        <v>113</v>
      </c>
      <c r="O74" s="149" t="s">
        <v>115</v>
      </c>
      <c r="P74" s="133">
        <v>442</v>
      </c>
      <c r="Q74" s="135">
        <v>46084</v>
      </c>
      <c r="R74" s="133" t="s">
        <v>116</v>
      </c>
      <c r="S74" s="135" t="s">
        <v>133</v>
      </c>
      <c r="T74" s="133" t="s">
        <v>26</v>
      </c>
      <c r="U74" s="133" t="s">
        <v>185</v>
      </c>
      <c r="V74" s="135">
        <v>46081</v>
      </c>
      <c r="W74" s="133">
        <v>1537758</v>
      </c>
      <c r="X74" s="133">
        <v>6875999152</v>
      </c>
      <c r="Y74" s="133" t="s">
        <v>35</v>
      </c>
      <c r="Z74" s="133" t="s">
        <v>311</v>
      </c>
      <c r="AF74" s="133">
        <v>9852041</v>
      </c>
      <c r="AG74" s="133" t="s">
        <v>131</v>
      </c>
      <c r="AI74" s="133" t="s">
        <v>312</v>
      </c>
    </row>
    <row r="75" spans="1:35" ht="15.75" hidden="1" x14ac:dyDescent="0.25">
      <c r="A75" s="139">
        <f>Table1[[#This Row],[Qual a Numeração da Nota Fiscal com divergência ?]]</f>
        <v>1537157</v>
      </c>
      <c r="B75" s="146" t="s">
        <v>33</v>
      </c>
      <c r="C75" s="147" t="s">
        <v>111</v>
      </c>
      <c r="D75" s="147" t="s">
        <v>40</v>
      </c>
      <c r="E75" s="148">
        <f>WEEKNUM(Table1[[#This Row],[Dt da abertura]],1)</f>
        <v>10</v>
      </c>
      <c r="F75" s="147">
        <v>46085</v>
      </c>
      <c r="G75" s="147">
        <v>46085</v>
      </c>
      <c r="H75" s="147">
        <v>46087</v>
      </c>
      <c r="I75" s="147">
        <v>46086</v>
      </c>
      <c r="J75" s="147" t="s">
        <v>113</v>
      </c>
      <c r="K75" s="149" t="s">
        <v>114</v>
      </c>
      <c r="L75" s="149" t="str">
        <f>VLOOKUP(Table1[[#This Row],[Qual seu Carro de Entrega]],Hierarquia!A:K,11,0)</f>
        <v>TV Cascavel</v>
      </c>
      <c r="M75" s="149" t="str">
        <f>VLOOKUP(U75,Hierarquia!A:K,6,0)</f>
        <v>BAT</v>
      </c>
      <c r="N75" s="149" t="s">
        <v>113</v>
      </c>
      <c r="O75" s="149" t="s">
        <v>115</v>
      </c>
      <c r="P75" s="133">
        <v>443</v>
      </c>
      <c r="Q75" s="135">
        <v>46085</v>
      </c>
      <c r="R75" s="133" t="s">
        <v>116</v>
      </c>
      <c r="S75" s="151" t="s">
        <v>137</v>
      </c>
      <c r="T75" s="133" t="s">
        <v>28</v>
      </c>
      <c r="U75" s="133" t="s">
        <v>138</v>
      </c>
      <c r="V75" s="135">
        <v>46084</v>
      </c>
      <c r="W75" s="133">
        <v>1537157</v>
      </c>
      <c r="X75" s="133">
        <v>6875990950</v>
      </c>
      <c r="Y75" s="133" t="s">
        <v>34</v>
      </c>
      <c r="Z75" s="133" t="s">
        <v>313</v>
      </c>
      <c r="AF75" s="133" t="s">
        <v>314</v>
      </c>
      <c r="AG75" s="133" t="s">
        <v>126</v>
      </c>
      <c r="AI75" s="133" t="s">
        <v>315</v>
      </c>
    </row>
    <row r="76" spans="1:35" x14ac:dyDescent="0.2">
      <c r="A76" s="139">
        <f>Table1[[#This Row],[Qual a Numeração da Nota Fiscal com divergência ?]]</f>
        <v>1539232</v>
      </c>
      <c r="B76" s="146" t="s">
        <v>33</v>
      </c>
      <c r="C76" s="147" t="s">
        <v>111</v>
      </c>
      <c r="D76" s="147" t="s">
        <v>40</v>
      </c>
      <c r="E76" s="148">
        <f>WEEKNUM(Table1[[#This Row],[Dt da abertura]],1)</f>
        <v>10</v>
      </c>
      <c r="F76" s="147">
        <v>46087</v>
      </c>
      <c r="G76" s="147">
        <v>46087</v>
      </c>
      <c r="H76" s="147">
        <v>46091</v>
      </c>
      <c r="I76" s="147">
        <v>46092</v>
      </c>
      <c r="J76" s="147" t="s">
        <v>113</v>
      </c>
      <c r="K76" s="149" t="s">
        <v>114</v>
      </c>
      <c r="L76" s="149" t="str">
        <f>VLOOKUP(Table1[[#This Row],[Qual seu Carro de Entrega]],Hierarquia!A:K,11,0)</f>
        <v>TD Curitiba</v>
      </c>
      <c r="M76" s="149" t="str">
        <f>VLOOKUP(U76,Hierarquia!A:K,6,0)</f>
        <v>FADEL</v>
      </c>
      <c r="N76" s="149" t="s">
        <v>113</v>
      </c>
      <c r="O76" s="149" t="s">
        <v>115</v>
      </c>
      <c r="P76" s="133">
        <v>445</v>
      </c>
      <c r="Q76" s="135">
        <v>46087</v>
      </c>
      <c r="R76" s="133" t="s">
        <v>116</v>
      </c>
      <c r="S76" s="135" t="s">
        <v>133</v>
      </c>
      <c r="T76" s="133" t="s">
        <v>26</v>
      </c>
      <c r="U76" s="133" t="s">
        <v>316</v>
      </c>
      <c r="V76" s="135">
        <v>46086</v>
      </c>
      <c r="W76" s="133">
        <v>1539232</v>
      </c>
      <c r="X76" s="133">
        <v>6876054667</v>
      </c>
      <c r="Y76" s="133" t="s">
        <v>35</v>
      </c>
      <c r="Z76" s="133" t="s">
        <v>317</v>
      </c>
      <c r="AF76" s="133">
        <v>9875985</v>
      </c>
      <c r="AG76" s="133" t="s">
        <v>121</v>
      </c>
    </row>
    <row r="77" spans="1:35" x14ac:dyDescent="0.2">
      <c r="A77" s="139">
        <f>Table1[[#This Row],[Qual a Numeração da Nota Fiscal com divergência ?]]</f>
        <v>1538987</v>
      </c>
      <c r="B77" s="146" t="s">
        <v>33</v>
      </c>
      <c r="C77" s="147" t="s">
        <v>111</v>
      </c>
      <c r="D77" s="147" t="s">
        <v>40</v>
      </c>
      <c r="E77" s="148">
        <f>WEEKNUM(Table1[[#This Row],[Dt da abertura]],1)</f>
        <v>10</v>
      </c>
      <c r="F77" s="147">
        <v>46087</v>
      </c>
      <c r="G77" s="147">
        <v>46087</v>
      </c>
      <c r="H77" s="147">
        <v>46091</v>
      </c>
      <c r="I77" s="147">
        <v>46092</v>
      </c>
      <c r="J77" s="147" t="s">
        <v>113</v>
      </c>
      <c r="K77" s="149" t="s">
        <v>114</v>
      </c>
      <c r="L77" s="149" t="str">
        <f>VLOOKUP(Table1[[#This Row],[Qual seu Carro de Entrega]],Hierarquia!A:K,11,0)</f>
        <v>TD Curitiba</v>
      </c>
      <c r="M77" s="149" t="str">
        <f>VLOOKUP(U77,Hierarquia!A:K,6,0)</f>
        <v>FADEL</v>
      </c>
      <c r="N77" s="149" t="s">
        <v>113</v>
      </c>
      <c r="O77" s="149" t="s">
        <v>115</v>
      </c>
      <c r="P77" s="133">
        <v>446</v>
      </c>
      <c r="Q77" s="135">
        <v>46087</v>
      </c>
      <c r="R77" s="133" t="s">
        <v>116</v>
      </c>
      <c r="S77" s="135" t="s">
        <v>133</v>
      </c>
      <c r="T77" s="133" t="s">
        <v>26</v>
      </c>
      <c r="U77" s="133" t="s">
        <v>215</v>
      </c>
      <c r="V77" s="135">
        <v>46086</v>
      </c>
      <c r="W77" s="133">
        <v>1538987</v>
      </c>
      <c r="X77" s="133">
        <v>6875860909</v>
      </c>
      <c r="Y77" s="133" t="s">
        <v>35</v>
      </c>
      <c r="Z77" s="133" t="s">
        <v>318</v>
      </c>
      <c r="AF77" s="133">
        <v>9875932</v>
      </c>
      <c r="AG77" s="133" t="s">
        <v>178</v>
      </c>
      <c r="AI77" s="133" t="s">
        <v>319</v>
      </c>
    </row>
    <row r="78" spans="1:35" x14ac:dyDescent="0.2">
      <c r="A78" s="139">
        <f>Table1[[#This Row],[Qual a Numeração da Nota Fiscal com divergência ?]]</f>
        <v>1539660</v>
      </c>
      <c r="B78" s="146" t="s">
        <v>33</v>
      </c>
      <c r="C78" s="147" t="s">
        <v>111</v>
      </c>
      <c r="D78" s="147" t="s">
        <v>40</v>
      </c>
      <c r="E78" s="148">
        <f>WEEKNUM(Table1[[#This Row],[Dt da abertura]],1)</f>
        <v>10</v>
      </c>
      <c r="F78" s="147">
        <v>46087</v>
      </c>
      <c r="G78" s="147">
        <v>46087</v>
      </c>
      <c r="H78" s="147">
        <v>46091</v>
      </c>
      <c r="I78" s="147">
        <v>46092</v>
      </c>
      <c r="J78" s="147" t="s">
        <v>113</v>
      </c>
      <c r="K78" s="149" t="s">
        <v>114</v>
      </c>
      <c r="L78" s="149" t="str">
        <f>VLOOKUP(Table1[[#This Row],[Qual seu Carro de Entrega]],Hierarquia!A:K,11,0)</f>
        <v>TD Curitiba</v>
      </c>
      <c r="M78" s="149" t="str">
        <f>VLOOKUP(U78,Hierarquia!A:K,6,0)</f>
        <v>FADEL</v>
      </c>
      <c r="N78" s="149" t="s">
        <v>113</v>
      </c>
      <c r="O78" s="149" t="s">
        <v>115</v>
      </c>
      <c r="P78" s="133">
        <v>447</v>
      </c>
      <c r="Q78" s="135">
        <v>46087</v>
      </c>
      <c r="R78" s="133" t="s">
        <v>116</v>
      </c>
      <c r="S78" s="135" t="s">
        <v>290</v>
      </c>
      <c r="T78" s="133" t="s">
        <v>26</v>
      </c>
      <c r="U78" s="133" t="s">
        <v>316</v>
      </c>
      <c r="V78" s="135">
        <v>46087</v>
      </c>
      <c r="W78" s="133">
        <v>1539660</v>
      </c>
      <c r="X78" s="133">
        <v>6876079355</v>
      </c>
      <c r="Y78" s="133" t="s">
        <v>35</v>
      </c>
      <c r="Z78" s="133" t="s">
        <v>320</v>
      </c>
      <c r="AF78" s="133">
        <v>9886534</v>
      </c>
      <c r="AG78" s="133" t="s">
        <v>121</v>
      </c>
      <c r="AI78" s="133" t="s">
        <v>321</v>
      </c>
    </row>
    <row r="79" spans="1:35" ht="15.75" hidden="1" x14ac:dyDescent="0.25">
      <c r="A79" s="139">
        <f>Table1[[#This Row],[Qual a Numeração da Nota Fiscal com divergência ?]]</f>
        <v>1537292</v>
      </c>
      <c r="B79" s="146" t="s">
        <v>30</v>
      </c>
      <c r="C79" s="147" t="s">
        <v>111</v>
      </c>
      <c r="D79" s="147" t="s">
        <v>40</v>
      </c>
      <c r="E79" s="148">
        <f>WEEKNUM(Table1[[#This Row],[Dt da abertura]],1)</f>
        <v>10</v>
      </c>
      <c r="F79" s="147">
        <v>46090</v>
      </c>
      <c r="G79" s="147">
        <v>46087</v>
      </c>
      <c r="H79" s="147">
        <v>46092</v>
      </c>
      <c r="I79" s="147">
        <v>46092</v>
      </c>
      <c r="J79" s="147" t="s">
        <v>113</v>
      </c>
      <c r="K79" s="149" t="s">
        <v>114</v>
      </c>
      <c r="L79" s="149" t="str">
        <f>VLOOKUP(Table1[[#This Row],[Qual seu Carro de Entrega]],Hierarquia!A:K,11,0)</f>
        <v>TV Curitiba 2</v>
      </c>
      <c r="M79" s="149" t="str">
        <f>VLOOKUP(U79,Hierarquia!A:K,6,0)</f>
        <v>BAT</v>
      </c>
      <c r="N79" s="149" t="s">
        <v>113</v>
      </c>
      <c r="O79" s="149" t="s">
        <v>115</v>
      </c>
      <c r="P79" s="133">
        <v>448</v>
      </c>
      <c r="Q79" s="135">
        <v>46087</v>
      </c>
      <c r="R79" s="133" t="s">
        <v>116</v>
      </c>
      <c r="S79" s="151" t="s">
        <v>307</v>
      </c>
      <c r="T79" s="133" t="s">
        <v>28</v>
      </c>
      <c r="U79" s="133" t="s">
        <v>231</v>
      </c>
      <c r="V79" s="135">
        <v>46084</v>
      </c>
      <c r="W79" s="133">
        <v>1537292</v>
      </c>
      <c r="X79" s="133">
        <v>6875994823</v>
      </c>
      <c r="Y79" s="133" t="s">
        <v>35</v>
      </c>
      <c r="Z79" s="133" t="s">
        <v>322</v>
      </c>
      <c r="AF79" s="133" t="s">
        <v>309</v>
      </c>
      <c r="AG79" s="133" t="s">
        <v>131</v>
      </c>
      <c r="AI79" s="133" t="s">
        <v>323</v>
      </c>
    </row>
    <row r="80" spans="1:35" x14ac:dyDescent="0.2">
      <c r="A80" s="139">
        <f>Table1[[#This Row],[Qual a Numeração da Nota Fiscal com divergência ?]]</f>
        <v>1539993</v>
      </c>
      <c r="B80" s="146" t="s">
        <v>33</v>
      </c>
      <c r="C80" s="147" t="s">
        <v>111</v>
      </c>
      <c r="D80" s="147" t="s">
        <v>40</v>
      </c>
      <c r="E80" s="148">
        <f>WEEKNUM(Table1[[#This Row],[Dt da abertura]],1)</f>
        <v>11</v>
      </c>
      <c r="F80" s="147">
        <v>46090</v>
      </c>
      <c r="G80" s="147">
        <v>46090</v>
      </c>
      <c r="H80" s="147">
        <v>46092</v>
      </c>
      <c r="I80" s="147">
        <v>46092</v>
      </c>
      <c r="J80" s="147" t="s">
        <v>113</v>
      </c>
      <c r="K80" s="149" t="s">
        <v>114</v>
      </c>
      <c r="L80" s="149" t="str">
        <f>VLOOKUP(Table1[[#This Row],[Qual seu Carro de Entrega]],Hierarquia!A:K,11,0)</f>
        <v>TD Curitiba</v>
      </c>
      <c r="M80" s="149" t="str">
        <f>VLOOKUP(U80,Hierarquia!A:K,6,0)</f>
        <v>FADEL</v>
      </c>
      <c r="N80" s="149" t="s">
        <v>113</v>
      </c>
      <c r="O80" s="149" t="s">
        <v>115</v>
      </c>
      <c r="P80" s="133">
        <v>449</v>
      </c>
      <c r="Q80" s="135">
        <v>46090</v>
      </c>
      <c r="R80" s="133" t="s">
        <v>116</v>
      </c>
      <c r="S80" s="135" t="s">
        <v>133</v>
      </c>
      <c r="T80" s="133" t="s">
        <v>26</v>
      </c>
      <c r="U80" s="133" t="s">
        <v>324</v>
      </c>
      <c r="V80" s="135">
        <v>46090</v>
      </c>
      <c r="W80" s="133">
        <v>1539993</v>
      </c>
      <c r="X80" s="133">
        <v>6876088595</v>
      </c>
      <c r="Y80" s="133" t="s">
        <v>35</v>
      </c>
      <c r="Z80" s="133" t="s">
        <v>325</v>
      </c>
      <c r="AF80" s="133">
        <v>9894108</v>
      </c>
      <c r="AG80" s="133" t="s">
        <v>121</v>
      </c>
      <c r="AI80" s="133" t="s">
        <v>326</v>
      </c>
    </row>
    <row r="81" spans="1:35" ht="15.75" hidden="1" x14ac:dyDescent="0.25">
      <c r="A81" s="139">
        <f>Table1[[#This Row],[Qual a Numeração da Nota Fiscal com divergência ?]]</f>
        <v>1539525</v>
      </c>
      <c r="B81" s="146" t="s">
        <v>33</v>
      </c>
      <c r="C81" s="147" t="s">
        <v>111</v>
      </c>
      <c r="D81" s="147" t="s">
        <v>40</v>
      </c>
      <c r="E81" s="148">
        <f>WEEKNUM(Table1[[#This Row],[Dt da abertura]],1)</f>
        <v>11</v>
      </c>
      <c r="F81" s="147">
        <v>46091</v>
      </c>
      <c r="G81" s="147">
        <v>46091</v>
      </c>
      <c r="H81" s="147">
        <v>46092</v>
      </c>
      <c r="I81" s="147">
        <v>46092</v>
      </c>
      <c r="J81" s="147" t="s">
        <v>113</v>
      </c>
      <c r="K81" s="149" t="s">
        <v>114</v>
      </c>
      <c r="L81" s="149" t="str">
        <f>VLOOKUP(Table1[[#This Row],[Qual seu Carro de Entrega]],Hierarquia!A:K,11,0)</f>
        <v>TV Cascavel</v>
      </c>
      <c r="M81" s="149" t="str">
        <f>VLOOKUP(U81,Hierarquia!A:K,6,0)</f>
        <v>BAT</v>
      </c>
      <c r="N81" s="149" t="s">
        <v>113</v>
      </c>
      <c r="O81" s="149" t="s">
        <v>115</v>
      </c>
      <c r="P81" s="133">
        <v>450</v>
      </c>
      <c r="Q81" s="135">
        <v>46091</v>
      </c>
      <c r="R81" s="133" t="s">
        <v>116</v>
      </c>
      <c r="S81" s="151" t="s">
        <v>137</v>
      </c>
      <c r="T81" s="133" t="s">
        <v>28</v>
      </c>
      <c r="U81" s="133" t="s">
        <v>138</v>
      </c>
      <c r="V81" s="135">
        <v>46091</v>
      </c>
      <c r="W81" s="133">
        <v>1539525</v>
      </c>
      <c r="X81" s="133">
        <v>6876084467</v>
      </c>
      <c r="Y81" s="133" t="s">
        <v>35</v>
      </c>
      <c r="Z81" s="133" t="s">
        <v>327</v>
      </c>
      <c r="AF81" s="133" t="s">
        <v>140</v>
      </c>
      <c r="AG81" s="133" t="s">
        <v>131</v>
      </c>
      <c r="AI81" s="133" t="s">
        <v>328</v>
      </c>
    </row>
    <row r="82" spans="1:35" x14ac:dyDescent="0.2">
      <c r="A82" s="139">
        <f>Table1[[#This Row],[Qual a Numeração da Nota Fiscal com divergência ?]]</f>
        <v>1540322</v>
      </c>
      <c r="B82" s="146" t="s">
        <v>33</v>
      </c>
      <c r="C82" s="147" t="s">
        <v>111</v>
      </c>
      <c r="D82" s="147" t="s">
        <v>40</v>
      </c>
      <c r="E82" s="148">
        <f>WEEKNUM(Table1[[#This Row],[Dt da abertura]],1)</f>
        <v>11</v>
      </c>
      <c r="F82" s="147">
        <v>46092</v>
      </c>
      <c r="G82" s="147">
        <v>46092</v>
      </c>
      <c r="H82" s="147">
        <v>46094</v>
      </c>
      <c r="I82" s="147">
        <v>46094</v>
      </c>
      <c r="J82" s="147" t="s">
        <v>113</v>
      </c>
      <c r="K82" s="149" t="s">
        <v>114</v>
      </c>
      <c r="L82" s="149" t="str">
        <f>VLOOKUP(Table1[[#This Row],[Qual seu Carro de Entrega]],Hierarquia!A:K,11,0)</f>
        <v>TD Curitiba</v>
      </c>
      <c r="M82" s="149" t="str">
        <f>VLOOKUP(U82,Hierarquia!A:K,6,0)</f>
        <v>FADEL</v>
      </c>
      <c r="N82" s="149" t="s">
        <v>113</v>
      </c>
      <c r="O82" s="149" t="s">
        <v>115</v>
      </c>
      <c r="P82" s="133">
        <v>451</v>
      </c>
      <c r="Q82" s="135">
        <v>46091</v>
      </c>
      <c r="R82" s="133" t="s">
        <v>116</v>
      </c>
      <c r="S82" s="135" t="s">
        <v>133</v>
      </c>
      <c r="T82" s="133" t="s">
        <v>26</v>
      </c>
      <c r="U82" s="133" t="s">
        <v>118</v>
      </c>
      <c r="V82" s="135">
        <v>46091</v>
      </c>
      <c r="W82" s="133">
        <v>1540322</v>
      </c>
      <c r="X82" s="133">
        <v>6875866978</v>
      </c>
      <c r="Y82" s="133" t="s">
        <v>34</v>
      </c>
      <c r="Z82" s="133" t="s">
        <v>329</v>
      </c>
      <c r="AF82" s="133">
        <v>9901163</v>
      </c>
      <c r="AG82" s="133" t="s">
        <v>121</v>
      </c>
      <c r="AI82" s="133" t="s">
        <v>329</v>
      </c>
    </row>
    <row r="83" spans="1:35" x14ac:dyDescent="0.2">
      <c r="A83" s="139">
        <f>Table1[[#This Row],[Qual a Numeração da Nota Fiscal com divergência ?]]</f>
        <v>1541110</v>
      </c>
      <c r="B83" s="146" t="s">
        <v>33</v>
      </c>
      <c r="C83" s="147" t="s">
        <v>111</v>
      </c>
      <c r="D83" s="147" t="s">
        <v>40</v>
      </c>
      <c r="E83" s="148">
        <f>WEEKNUM(Table1[[#This Row],[Dt da abertura]],1)</f>
        <v>11</v>
      </c>
      <c r="F83" s="147">
        <v>46092</v>
      </c>
      <c r="G83" s="147">
        <v>46092</v>
      </c>
      <c r="H83" s="147">
        <v>46094</v>
      </c>
      <c r="I83" s="147">
        <v>46094</v>
      </c>
      <c r="J83" s="147" t="s">
        <v>113</v>
      </c>
      <c r="K83" s="149" t="s">
        <v>114</v>
      </c>
      <c r="L83" s="149" t="str">
        <f>VLOOKUP(Table1[[#This Row],[Qual seu Carro de Entrega]],Hierarquia!A:K,11,0)</f>
        <v>TD Curitiba</v>
      </c>
      <c r="M83" s="149" t="str">
        <f>VLOOKUP(U83,Hierarquia!A:K,6,0)</f>
        <v>FADEL</v>
      </c>
      <c r="N83" s="149" t="s">
        <v>113</v>
      </c>
      <c r="O83" s="149" t="s">
        <v>115</v>
      </c>
      <c r="P83" s="133">
        <v>452</v>
      </c>
      <c r="Q83" s="135">
        <v>46092</v>
      </c>
      <c r="R83" s="133" t="s">
        <v>116</v>
      </c>
      <c r="S83" s="135" t="s">
        <v>133</v>
      </c>
      <c r="T83" s="133" t="s">
        <v>26</v>
      </c>
      <c r="U83" s="133" t="s">
        <v>152</v>
      </c>
      <c r="V83" s="135">
        <v>46092</v>
      </c>
      <c r="W83" s="133">
        <v>1541110</v>
      </c>
      <c r="X83" s="133">
        <v>6876148027</v>
      </c>
      <c r="Y83" s="133" t="s">
        <v>35</v>
      </c>
      <c r="Z83" s="133" t="s">
        <v>330</v>
      </c>
      <c r="AF83" s="133">
        <v>9939580</v>
      </c>
      <c r="AG83" s="133" t="s">
        <v>121</v>
      </c>
      <c r="AI83" s="133" t="s">
        <v>331</v>
      </c>
    </row>
    <row r="84" spans="1:35" x14ac:dyDescent="0.2">
      <c r="A84" s="139">
        <f>Table1[[#This Row],[Qual a Numeração da Nota Fiscal com divergência ?]]</f>
        <v>1541105</v>
      </c>
      <c r="B84" s="146" t="s">
        <v>33</v>
      </c>
      <c r="C84" s="147" t="s">
        <v>111</v>
      </c>
      <c r="D84" s="147" t="s">
        <v>40</v>
      </c>
      <c r="E84" s="148">
        <f>WEEKNUM(Table1[[#This Row],[Dt da abertura]],1)</f>
        <v>11</v>
      </c>
      <c r="F84" s="147">
        <v>46092</v>
      </c>
      <c r="G84" s="147">
        <v>46092</v>
      </c>
      <c r="H84" s="147">
        <v>46094</v>
      </c>
      <c r="I84" s="147">
        <v>46094</v>
      </c>
      <c r="J84" s="147" t="s">
        <v>113</v>
      </c>
      <c r="K84" s="149" t="s">
        <v>114</v>
      </c>
      <c r="L84" s="149" t="str">
        <f>VLOOKUP(Table1[[#This Row],[Qual seu Carro de Entrega]],Hierarquia!A:K,11,0)</f>
        <v>TD Curitiba</v>
      </c>
      <c r="M84" s="149" t="str">
        <f>VLOOKUP(U84,Hierarquia!A:K,6,0)</f>
        <v>FADEL</v>
      </c>
      <c r="N84" s="149" t="s">
        <v>113</v>
      </c>
      <c r="O84" s="149" t="s">
        <v>115</v>
      </c>
      <c r="P84" s="133">
        <v>453</v>
      </c>
      <c r="Q84" s="135">
        <v>46092</v>
      </c>
      <c r="R84" s="133" t="s">
        <v>116</v>
      </c>
      <c r="S84" s="135" t="s">
        <v>133</v>
      </c>
      <c r="T84" s="133" t="s">
        <v>26</v>
      </c>
      <c r="U84" s="133" t="s">
        <v>118</v>
      </c>
      <c r="V84" s="135">
        <v>46092</v>
      </c>
      <c r="W84" s="133">
        <v>1541105</v>
      </c>
      <c r="X84" s="133">
        <v>6876146355</v>
      </c>
      <c r="Y84" s="133" t="s">
        <v>35</v>
      </c>
      <c r="Z84" s="133" t="s">
        <v>332</v>
      </c>
      <c r="AF84" s="133">
        <v>9940863</v>
      </c>
      <c r="AG84" s="133" t="s">
        <v>121</v>
      </c>
      <c r="AI84" s="133" t="s">
        <v>333</v>
      </c>
    </row>
    <row r="85" spans="1:35" x14ac:dyDescent="0.2">
      <c r="A85" s="139">
        <f>Table1[[#This Row],[Qual a Numeração da Nota Fiscal com divergência ?]]</f>
        <v>1540292</v>
      </c>
      <c r="B85" s="146" t="s">
        <v>33</v>
      </c>
      <c r="C85" s="147" t="s">
        <v>111</v>
      </c>
      <c r="D85" s="147" t="s">
        <v>40</v>
      </c>
      <c r="E85" s="148">
        <f>WEEKNUM(Table1[[#This Row],[Dt da abertura]],1)</f>
        <v>11</v>
      </c>
      <c r="F85" s="147">
        <v>46092</v>
      </c>
      <c r="G85" s="147">
        <v>46092</v>
      </c>
      <c r="H85" s="147">
        <v>46094</v>
      </c>
      <c r="I85" s="147">
        <v>46094</v>
      </c>
      <c r="J85" s="147" t="s">
        <v>113</v>
      </c>
      <c r="K85" s="149" t="s">
        <v>114</v>
      </c>
      <c r="L85" s="149" t="str">
        <f>VLOOKUP(Table1[[#This Row],[Qual seu Carro de Entrega]],Hierarquia!A:K,11,0)</f>
        <v>TD Curitiba</v>
      </c>
      <c r="M85" s="149" t="str">
        <f>VLOOKUP(U85,Hierarquia!A:K,6,0)</f>
        <v>FADEL</v>
      </c>
      <c r="N85" s="149" t="s">
        <v>113</v>
      </c>
      <c r="O85" s="149" t="s">
        <v>115</v>
      </c>
      <c r="P85" s="133">
        <v>454</v>
      </c>
      <c r="Q85" s="135">
        <v>46092</v>
      </c>
      <c r="R85" s="133" t="s">
        <v>116</v>
      </c>
      <c r="S85" s="135" t="s">
        <v>334</v>
      </c>
      <c r="T85" s="133" t="s">
        <v>26</v>
      </c>
      <c r="U85" s="133" t="s">
        <v>168</v>
      </c>
      <c r="V85" s="135">
        <v>46091</v>
      </c>
      <c r="W85" s="133">
        <v>1540292</v>
      </c>
      <c r="X85" s="133">
        <v>6876073982</v>
      </c>
      <c r="Y85" s="133" t="s">
        <v>35</v>
      </c>
      <c r="Z85" s="133" t="s">
        <v>335</v>
      </c>
      <c r="AF85" s="133" t="s">
        <v>336</v>
      </c>
      <c r="AG85" s="133" t="s">
        <v>131</v>
      </c>
      <c r="AI85" s="133" t="s">
        <v>335</v>
      </c>
    </row>
    <row r="86" spans="1:35" x14ac:dyDescent="0.2">
      <c r="A86" s="139">
        <f>Table1[[#This Row],[Qual a Numeração da Nota Fiscal com divergência ?]]</f>
        <v>1540903</v>
      </c>
      <c r="B86" s="146" t="s">
        <v>33</v>
      </c>
      <c r="C86" s="147" t="s">
        <v>111</v>
      </c>
      <c r="D86" s="147" t="s">
        <v>40</v>
      </c>
      <c r="E86" s="148">
        <f>WEEKNUM(Table1[[#This Row],[Dt da abertura]],1)</f>
        <v>11</v>
      </c>
      <c r="F86" s="147">
        <v>46092</v>
      </c>
      <c r="G86" s="147">
        <v>46092</v>
      </c>
      <c r="H86" s="147">
        <v>46094</v>
      </c>
      <c r="I86" s="147">
        <v>46094</v>
      </c>
      <c r="J86" s="147" t="s">
        <v>113</v>
      </c>
      <c r="K86" s="149" t="s">
        <v>114</v>
      </c>
      <c r="L86" s="149" t="str">
        <f>VLOOKUP(Table1[[#This Row],[Qual seu Carro de Entrega]],Hierarquia!A:K,11,0)</f>
        <v>TD Curitiba</v>
      </c>
      <c r="M86" s="149" t="str">
        <f>VLOOKUP(U86,Hierarquia!A:K,6,0)</f>
        <v>FADEL</v>
      </c>
      <c r="N86" s="149" t="s">
        <v>113</v>
      </c>
      <c r="O86" s="149" t="s">
        <v>115</v>
      </c>
      <c r="P86" s="133">
        <v>455</v>
      </c>
      <c r="Q86" s="135">
        <v>46092</v>
      </c>
      <c r="R86" s="133" t="s">
        <v>116</v>
      </c>
      <c r="S86" s="135" t="s">
        <v>334</v>
      </c>
      <c r="T86" s="133" t="s">
        <v>26</v>
      </c>
      <c r="U86" s="133" t="s">
        <v>273</v>
      </c>
      <c r="V86" s="135">
        <v>46092</v>
      </c>
      <c r="W86" s="133">
        <v>1540903</v>
      </c>
      <c r="X86" s="133">
        <v>6876141633</v>
      </c>
      <c r="Y86" s="133" t="s">
        <v>34</v>
      </c>
      <c r="Z86" s="133" t="s">
        <v>337</v>
      </c>
      <c r="AF86" s="133">
        <v>9939607</v>
      </c>
      <c r="AG86" s="133" t="s">
        <v>121</v>
      </c>
      <c r="AI86" s="133" t="s">
        <v>337</v>
      </c>
    </row>
    <row r="87" spans="1:35" x14ac:dyDescent="0.2">
      <c r="A87" s="139">
        <f>Table1[[#This Row],[Qual a Numeração da Nota Fiscal com divergência ?]]</f>
        <v>1541013</v>
      </c>
      <c r="B87" s="146" t="s">
        <v>33</v>
      </c>
      <c r="C87" s="147" t="s">
        <v>111</v>
      </c>
      <c r="D87" s="147" t="s">
        <v>40</v>
      </c>
      <c r="E87" s="148">
        <f>WEEKNUM(Table1[[#This Row],[Dt da abertura]],1)</f>
        <v>11</v>
      </c>
      <c r="F87" s="147">
        <v>46092</v>
      </c>
      <c r="G87" s="147">
        <v>46092</v>
      </c>
      <c r="H87" s="147">
        <v>46094</v>
      </c>
      <c r="I87" s="147">
        <v>46094</v>
      </c>
      <c r="J87" s="147" t="s">
        <v>113</v>
      </c>
      <c r="K87" s="149" t="s">
        <v>114</v>
      </c>
      <c r="L87" s="149" t="str">
        <f>VLOOKUP(Table1[[#This Row],[Qual seu Carro de Entrega]],Hierarquia!A:K,11,0)</f>
        <v>TD Curitiba</v>
      </c>
      <c r="M87" s="149" t="str">
        <f>VLOOKUP(U87,Hierarquia!A:K,6,0)</f>
        <v>FADEL</v>
      </c>
      <c r="N87" s="149" t="s">
        <v>113</v>
      </c>
      <c r="O87" s="149" t="s">
        <v>115</v>
      </c>
      <c r="P87" s="133">
        <v>456</v>
      </c>
      <c r="Q87" s="135">
        <v>46092</v>
      </c>
      <c r="R87" s="133" t="s">
        <v>116</v>
      </c>
      <c r="S87" s="135" t="s">
        <v>334</v>
      </c>
      <c r="T87" s="133" t="s">
        <v>26</v>
      </c>
      <c r="U87" s="133" t="s">
        <v>152</v>
      </c>
      <c r="V87" s="135">
        <v>46092</v>
      </c>
      <c r="W87" s="133">
        <v>1541013</v>
      </c>
      <c r="X87" s="133">
        <v>6876139354</v>
      </c>
      <c r="Y87" s="133" t="s">
        <v>34</v>
      </c>
      <c r="Z87" s="133" t="s">
        <v>338</v>
      </c>
      <c r="AF87" s="133">
        <v>9939571</v>
      </c>
      <c r="AG87" s="133" t="s">
        <v>131</v>
      </c>
      <c r="AI87" s="133" t="s">
        <v>338</v>
      </c>
    </row>
    <row r="88" spans="1:35" x14ac:dyDescent="0.2">
      <c r="A88" s="139">
        <f>Table1[[#This Row],[Qual a Numeração da Nota Fiscal com divergência ?]]</f>
        <v>1541780</v>
      </c>
      <c r="B88" s="146" t="s">
        <v>25</v>
      </c>
      <c r="C88" s="147" t="s">
        <v>111</v>
      </c>
      <c r="D88" s="147" t="s">
        <v>40</v>
      </c>
      <c r="E88" s="148">
        <f>WEEKNUM(Table1[[#This Row],[Dt da abertura]],1)</f>
        <v>11</v>
      </c>
      <c r="F88" s="147">
        <v>46093</v>
      </c>
      <c r="G88" s="147">
        <v>46093</v>
      </c>
      <c r="H88" s="147">
        <v>46097</v>
      </c>
      <c r="I88" s="147">
        <v>46094</v>
      </c>
      <c r="J88" s="147" t="s">
        <v>113</v>
      </c>
      <c r="K88" s="149" t="s">
        <v>114</v>
      </c>
      <c r="L88" s="149" t="str">
        <f>VLOOKUP(Table1[[#This Row],[Qual seu Carro de Entrega]],Hierarquia!A:K,11,0)</f>
        <v>TD Curitiba</v>
      </c>
      <c r="M88" s="149" t="str">
        <f>VLOOKUP(U88,Hierarquia!A:K,6,0)</f>
        <v>FADEL</v>
      </c>
      <c r="N88" s="149" t="s">
        <v>113</v>
      </c>
      <c r="O88" s="149" t="s">
        <v>115</v>
      </c>
      <c r="P88" s="146">
        <v>457</v>
      </c>
      <c r="Q88" s="135">
        <v>46093</v>
      </c>
      <c r="R88" s="133" t="s">
        <v>116</v>
      </c>
      <c r="S88" s="135" t="s">
        <v>339</v>
      </c>
      <c r="T88" s="133" t="s">
        <v>26</v>
      </c>
      <c r="U88" s="133" t="s">
        <v>182</v>
      </c>
      <c r="V88" s="135">
        <v>46093</v>
      </c>
      <c r="W88" s="133">
        <v>1541780</v>
      </c>
      <c r="X88" s="133">
        <v>6876168846</v>
      </c>
      <c r="Y88" s="133" t="s">
        <v>35</v>
      </c>
      <c r="Z88" s="133" t="s">
        <v>340</v>
      </c>
      <c r="AF88" s="133">
        <v>9950974</v>
      </c>
      <c r="AG88" s="133" t="s">
        <v>121</v>
      </c>
      <c r="AI88" s="133" t="s">
        <v>341</v>
      </c>
    </row>
    <row r="89" spans="1:35" x14ac:dyDescent="0.2">
      <c r="A89" s="139">
        <f>Table1[[#This Row],[Qual a Numeração da Nota Fiscal com divergência ?]]</f>
        <v>1541780</v>
      </c>
      <c r="B89" s="146" t="s">
        <v>25</v>
      </c>
      <c r="C89" s="147" t="s">
        <v>111</v>
      </c>
      <c r="D89" s="147" t="s">
        <v>40</v>
      </c>
      <c r="E89" s="148">
        <f>WEEKNUM(Table1[[#This Row],[Dt da abertura]],1)</f>
        <v>11</v>
      </c>
      <c r="F89" s="147">
        <v>46093</v>
      </c>
      <c r="G89" s="147">
        <v>46093</v>
      </c>
      <c r="H89" s="147">
        <v>46097</v>
      </c>
      <c r="I89" s="147">
        <v>46094</v>
      </c>
      <c r="J89" s="147" t="s">
        <v>113</v>
      </c>
      <c r="K89" s="149" t="s">
        <v>114</v>
      </c>
      <c r="L89" s="149" t="str">
        <f>VLOOKUP(Table1[[#This Row],[Qual seu Carro de Entrega]],Hierarquia!A:K,11,0)</f>
        <v>TD Curitiba</v>
      </c>
      <c r="M89" s="149" t="str">
        <f>VLOOKUP(U89,Hierarquia!A:K,6,0)</f>
        <v>FADEL</v>
      </c>
      <c r="N89" s="149" t="s">
        <v>113</v>
      </c>
      <c r="O89" s="149" t="s">
        <v>115</v>
      </c>
      <c r="P89" s="146">
        <v>458</v>
      </c>
      <c r="Q89" s="135">
        <v>46093</v>
      </c>
      <c r="R89" s="133" t="s">
        <v>116</v>
      </c>
      <c r="S89" s="135" t="s">
        <v>133</v>
      </c>
      <c r="T89" s="133" t="s">
        <v>26</v>
      </c>
      <c r="U89" s="133" t="s">
        <v>182</v>
      </c>
      <c r="V89" s="135">
        <v>46093</v>
      </c>
      <c r="W89" s="133">
        <v>1541780</v>
      </c>
      <c r="X89" s="133">
        <v>6876168846</v>
      </c>
      <c r="Y89" s="133" t="s">
        <v>35</v>
      </c>
      <c r="Z89" s="133" t="s">
        <v>340</v>
      </c>
      <c r="AF89" s="133">
        <v>9950974</v>
      </c>
      <c r="AG89" s="133" t="s">
        <v>121</v>
      </c>
      <c r="AI89" s="133" t="s">
        <v>342</v>
      </c>
    </row>
    <row r="90" spans="1:35" x14ac:dyDescent="0.2">
      <c r="A90" s="139">
        <f>Table1[[#This Row],[Qual a Numeração da Nota Fiscal com divergência ?]]</f>
        <v>1541469</v>
      </c>
      <c r="B90" s="146" t="s">
        <v>33</v>
      </c>
      <c r="C90" s="147" t="s">
        <v>111</v>
      </c>
      <c r="D90" s="147" t="s">
        <v>40</v>
      </c>
      <c r="E90" s="148">
        <f>WEEKNUM(Table1[[#This Row],[Dt da abertura]],1)</f>
        <v>11</v>
      </c>
      <c r="F90" s="147">
        <v>46093</v>
      </c>
      <c r="G90" s="147">
        <v>46093</v>
      </c>
      <c r="H90" s="147">
        <v>46097</v>
      </c>
      <c r="I90" s="147">
        <v>46094</v>
      </c>
      <c r="J90" s="147" t="s">
        <v>113</v>
      </c>
      <c r="K90" s="149" t="s">
        <v>114</v>
      </c>
      <c r="L90" s="149" t="str">
        <f>VLOOKUP(Table1[[#This Row],[Qual seu Carro de Entrega]],Hierarquia!A:K,11,0)</f>
        <v>TD Curitiba</v>
      </c>
      <c r="M90" s="149" t="str">
        <f>VLOOKUP(U90,Hierarquia!A:K,6,0)</f>
        <v>FADEL</v>
      </c>
      <c r="N90" s="149" t="s">
        <v>113</v>
      </c>
      <c r="O90" s="149" t="s">
        <v>115</v>
      </c>
      <c r="P90" s="133">
        <v>459</v>
      </c>
      <c r="Q90" s="135">
        <v>46093</v>
      </c>
      <c r="R90" s="133" t="s">
        <v>116</v>
      </c>
      <c r="S90" s="135" t="s">
        <v>133</v>
      </c>
      <c r="T90" s="133" t="s">
        <v>26</v>
      </c>
      <c r="U90" s="133" t="s">
        <v>273</v>
      </c>
      <c r="V90" s="135">
        <v>46093</v>
      </c>
      <c r="W90" s="133">
        <v>1541469</v>
      </c>
      <c r="X90" s="133">
        <v>6876165220</v>
      </c>
      <c r="Y90" s="133" t="s">
        <v>35</v>
      </c>
      <c r="Z90" s="133" t="s">
        <v>343</v>
      </c>
      <c r="AF90" s="133">
        <v>9950765</v>
      </c>
      <c r="AG90" s="133" t="s">
        <v>131</v>
      </c>
      <c r="AI90" s="133" t="s">
        <v>344</v>
      </c>
    </row>
    <row r="91" spans="1:35" x14ac:dyDescent="0.2">
      <c r="A91" s="139">
        <f>Table1[[#This Row],[Qual a Numeração da Nota Fiscal com divergência ?]]</f>
        <v>1540358</v>
      </c>
      <c r="B91" s="146" t="s">
        <v>30</v>
      </c>
      <c r="C91" s="147" t="s">
        <v>111</v>
      </c>
      <c r="D91" s="147" t="s">
        <v>40</v>
      </c>
      <c r="E91" s="148">
        <f>WEEKNUM(Table1[[#This Row],[Dt da abertura]],1)</f>
        <v>12</v>
      </c>
      <c r="F91" s="147">
        <v>46097</v>
      </c>
      <c r="G91" s="147">
        <v>46097</v>
      </c>
      <c r="H91" s="147">
        <v>46099</v>
      </c>
      <c r="I91" s="147">
        <v>46099</v>
      </c>
      <c r="J91" s="147" t="s">
        <v>113</v>
      </c>
      <c r="K91" s="149" t="s">
        <v>114</v>
      </c>
      <c r="L91" s="149" t="str">
        <f>VLOOKUP(Table1[[#This Row],[Qual seu Carro de Entrega]],Hierarquia!A:K,11,0)</f>
        <v>TD Curitiba</v>
      </c>
      <c r="M91" s="149" t="str">
        <f>VLOOKUP(U91,Hierarquia!A:K,6,0)</f>
        <v>FADEL</v>
      </c>
      <c r="N91" s="149" t="s">
        <v>113</v>
      </c>
      <c r="O91" s="149" t="s">
        <v>115</v>
      </c>
      <c r="P91" s="133">
        <v>460</v>
      </c>
      <c r="Q91" s="135">
        <v>46097</v>
      </c>
      <c r="R91" s="133" t="s">
        <v>116</v>
      </c>
      <c r="S91" s="135" t="s">
        <v>133</v>
      </c>
      <c r="T91" s="133" t="s">
        <v>26</v>
      </c>
      <c r="U91" s="133" t="s">
        <v>179</v>
      </c>
      <c r="V91" s="135">
        <v>46091</v>
      </c>
      <c r="W91" s="133">
        <v>1540358</v>
      </c>
      <c r="X91" s="133">
        <v>6876001496</v>
      </c>
      <c r="Y91" s="133" t="s">
        <v>35</v>
      </c>
      <c r="Z91" s="133" t="s">
        <v>345</v>
      </c>
      <c r="AF91" s="133" t="s">
        <v>346</v>
      </c>
      <c r="AG91" s="133" t="s">
        <v>131</v>
      </c>
      <c r="AI91" s="133" t="s">
        <v>347</v>
      </c>
    </row>
    <row r="92" spans="1:35" x14ac:dyDescent="0.2">
      <c r="A92" s="139">
        <f>Table1[[#This Row],[Qual a Numeração da Nota Fiscal com divergência ?]]</f>
        <v>1542763</v>
      </c>
      <c r="B92" s="146" t="s">
        <v>25</v>
      </c>
      <c r="C92" s="147" t="s">
        <v>111</v>
      </c>
      <c r="D92" s="147" t="s">
        <v>40</v>
      </c>
      <c r="E92" s="148">
        <f>WEEKNUM(Table1[[#This Row],[Dt da abertura]],1)</f>
        <v>12</v>
      </c>
      <c r="F92" s="147">
        <v>46097</v>
      </c>
      <c r="G92" s="147">
        <v>46097</v>
      </c>
      <c r="H92" s="147">
        <v>46099</v>
      </c>
      <c r="I92" s="147">
        <v>46098</v>
      </c>
      <c r="J92" s="147" t="s">
        <v>113</v>
      </c>
      <c r="K92" s="149" t="s">
        <v>114</v>
      </c>
      <c r="L92" s="149" t="str">
        <f>VLOOKUP(Table1[[#This Row],[Qual seu Carro de Entrega]],Hierarquia!A:K,11,0)</f>
        <v>TD Curitiba</v>
      </c>
      <c r="M92" s="149" t="str">
        <f>VLOOKUP(U92,Hierarquia!A:K,6,0)</f>
        <v>FADEL</v>
      </c>
      <c r="N92" s="149" t="s">
        <v>113</v>
      </c>
      <c r="O92" s="149" t="s">
        <v>115</v>
      </c>
      <c r="P92" s="133">
        <v>461</v>
      </c>
      <c r="Q92" s="135">
        <v>46097</v>
      </c>
      <c r="R92" s="133" t="s">
        <v>116</v>
      </c>
      <c r="S92" s="135" t="s">
        <v>348</v>
      </c>
      <c r="T92" s="133" t="s">
        <v>26</v>
      </c>
      <c r="U92" s="133" t="s">
        <v>349</v>
      </c>
      <c r="V92" s="135">
        <v>46097</v>
      </c>
      <c r="W92" s="133">
        <v>1542763</v>
      </c>
      <c r="X92" s="133">
        <v>6876215578</v>
      </c>
      <c r="Y92" s="133" t="s">
        <v>35</v>
      </c>
      <c r="Z92" s="133" t="s">
        <v>350</v>
      </c>
      <c r="AF92" s="133">
        <v>9969334</v>
      </c>
      <c r="AG92" s="133" t="s">
        <v>121</v>
      </c>
      <c r="AI92" s="133" t="s">
        <v>351</v>
      </c>
    </row>
    <row r="93" spans="1:35" x14ac:dyDescent="0.2">
      <c r="A93" s="139">
        <f>Table1[[#This Row],[Qual a Numeração da Nota Fiscal com divergência ?]]</f>
        <v>1543648</v>
      </c>
      <c r="B93" s="146" t="s">
        <v>33</v>
      </c>
      <c r="C93" s="147" t="s">
        <v>111</v>
      </c>
      <c r="D93" s="147" t="s">
        <v>40</v>
      </c>
      <c r="E93" s="148">
        <f>WEEKNUM(Table1[[#This Row],[Dt da abertura]],1)</f>
        <v>12</v>
      </c>
      <c r="F93" s="147">
        <v>46099</v>
      </c>
      <c r="G93" s="147">
        <v>46099</v>
      </c>
      <c r="H93" s="147">
        <v>46101</v>
      </c>
      <c r="I93" s="147">
        <v>46104</v>
      </c>
      <c r="J93" s="147" t="s">
        <v>113</v>
      </c>
      <c r="K93" s="149" t="s">
        <v>114</v>
      </c>
      <c r="L93" s="149" t="str">
        <f>VLOOKUP(Table1[[#This Row],[Qual seu Carro de Entrega]],Hierarquia!A:K,11,0)</f>
        <v>TD Curitiba</v>
      </c>
      <c r="M93" s="149" t="str">
        <f>VLOOKUP(U93,Hierarquia!A:K,6,0)</f>
        <v>FADEL</v>
      </c>
      <c r="N93" s="149" t="s">
        <v>113</v>
      </c>
      <c r="O93" s="149" t="s">
        <v>115</v>
      </c>
      <c r="P93" s="133">
        <v>462</v>
      </c>
      <c r="Q93" s="135">
        <v>46099</v>
      </c>
      <c r="R93" s="133" t="s">
        <v>116</v>
      </c>
      <c r="S93" s="135" t="s">
        <v>133</v>
      </c>
      <c r="T93" s="133" t="s">
        <v>26</v>
      </c>
      <c r="U93" s="133" t="s">
        <v>227</v>
      </c>
      <c r="V93" s="135">
        <v>46099</v>
      </c>
      <c r="W93" s="133">
        <v>1543648</v>
      </c>
      <c r="X93" s="133">
        <v>6876265562</v>
      </c>
      <c r="Y93" s="133" t="s">
        <v>34</v>
      </c>
      <c r="Z93" s="133" t="s">
        <v>352</v>
      </c>
      <c r="AF93" s="133">
        <v>9985545</v>
      </c>
      <c r="AG93" s="133" t="s">
        <v>121</v>
      </c>
      <c r="AI93" s="133" t="s">
        <v>352</v>
      </c>
    </row>
    <row r="94" spans="1:35" x14ac:dyDescent="0.2">
      <c r="A94" s="139">
        <f>Table1[[#This Row],[Qual a Numeração da Nota Fiscal com divergência ?]]</f>
        <v>1543868</v>
      </c>
      <c r="B94" s="146" t="s">
        <v>33</v>
      </c>
      <c r="C94" s="147" t="s">
        <v>111</v>
      </c>
      <c r="D94" s="147" t="s">
        <v>40</v>
      </c>
      <c r="E94" s="148">
        <f>WEEKNUM(Table1[[#This Row],[Dt da abertura]],1)</f>
        <v>12</v>
      </c>
      <c r="F94" s="147">
        <v>46099</v>
      </c>
      <c r="G94" s="147">
        <v>46099</v>
      </c>
      <c r="H94" s="147">
        <v>46101</v>
      </c>
      <c r="I94" s="147">
        <v>46104</v>
      </c>
      <c r="J94" s="147" t="s">
        <v>113</v>
      </c>
      <c r="K94" s="149" t="s">
        <v>114</v>
      </c>
      <c r="L94" s="149" t="str">
        <f>VLOOKUP(Table1[[#This Row],[Qual seu Carro de Entrega]],Hierarquia!A:K,11,0)</f>
        <v>TD Curitiba</v>
      </c>
      <c r="M94" s="149" t="str">
        <f>VLOOKUP(U94,Hierarquia!A:K,6,0)</f>
        <v>FADEL</v>
      </c>
      <c r="N94" s="149" t="s">
        <v>113</v>
      </c>
      <c r="O94" s="149" t="s">
        <v>115</v>
      </c>
      <c r="P94" s="133">
        <v>463</v>
      </c>
      <c r="Q94" s="135">
        <v>46099</v>
      </c>
      <c r="R94" s="133" t="s">
        <v>116</v>
      </c>
      <c r="S94" s="135" t="s">
        <v>353</v>
      </c>
      <c r="T94" s="133" t="s">
        <v>26</v>
      </c>
      <c r="U94" s="133" t="s">
        <v>152</v>
      </c>
      <c r="V94" s="135">
        <v>46099</v>
      </c>
      <c r="W94" s="133">
        <v>1543868</v>
      </c>
      <c r="X94" s="133">
        <v>6876265943</v>
      </c>
      <c r="Y94" s="133" t="s">
        <v>35</v>
      </c>
      <c r="Z94" s="133" t="s">
        <v>354</v>
      </c>
      <c r="AF94" s="133">
        <v>9985182</v>
      </c>
      <c r="AG94" s="133" t="s">
        <v>121</v>
      </c>
      <c r="AI94" s="133" t="s">
        <v>355</v>
      </c>
    </row>
    <row r="95" spans="1:35" x14ac:dyDescent="0.2">
      <c r="A95" s="139">
        <f>Table1[[#This Row],[Qual a Numeração da Nota Fiscal com divergência ?]]</f>
        <v>1543847</v>
      </c>
      <c r="B95" s="146" t="s">
        <v>33</v>
      </c>
      <c r="C95" s="147" t="s">
        <v>111</v>
      </c>
      <c r="D95" s="147" t="s">
        <v>40</v>
      </c>
      <c r="E95" s="148">
        <f>WEEKNUM(Table1[[#This Row],[Dt da abertura]],1)</f>
        <v>12</v>
      </c>
      <c r="F95" s="147">
        <v>46099</v>
      </c>
      <c r="G95" s="147">
        <v>46099</v>
      </c>
      <c r="H95" s="147">
        <v>46101</v>
      </c>
      <c r="I95" s="147">
        <v>46104</v>
      </c>
      <c r="J95" s="147" t="s">
        <v>113</v>
      </c>
      <c r="K95" s="149" t="s">
        <v>114</v>
      </c>
      <c r="L95" s="149" t="str">
        <f>VLOOKUP(Table1[[#This Row],[Qual seu Carro de Entrega]],Hierarquia!A:K,11,0)</f>
        <v>TD Curitiba</v>
      </c>
      <c r="M95" s="149" t="str">
        <f>VLOOKUP(U95,Hierarquia!A:K,6,0)</f>
        <v>FADEL</v>
      </c>
      <c r="N95" s="149" t="s">
        <v>113</v>
      </c>
      <c r="O95" s="149" t="s">
        <v>115</v>
      </c>
      <c r="P95" s="133">
        <v>464</v>
      </c>
      <c r="Q95" s="135">
        <v>46099</v>
      </c>
      <c r="R95" s="133" t="s">
        <v>116</v>
      </c>
      <c r="S95" s="135" t="s">
        <v>353</v>
      </c>
      <c r="T95" s="133" t="s">
        <v>26</v>
      </c>
      <c r="U95" s="133" t="s">
        <v>179</v>
      </c>
      <c r="V95" s="135">
        <v>46099</v>
      </c>
      <c r="W95" s="133">
        <v>1543847</v>
      </c>
      <c r="X95" s="133">
        <v>6876213527</v>
      </c>
      <c r="Y95" s="133" t="s">
        <v>35</v>
      </c>
      <c r="Z95" s="133" t="s">
        <v>356</v>
      </c>
      <c r="AF95" s="133">
        <v>9985322</v>
      </c>
      <c r="AG95" s="133" t="s">
        <v>121</v>
      </c>
      <c r="AI95" s="133" t="s">
        <v>357</v>
      </c>
    </row>
    <row r="96" spans="1:35" x14ac:dyDescent="0.2">
      <c r="A96" s="139">
        <f>Table1[[#This Row],[Qual a Numeração da Nota Fiscal com divergência ?]]</f>
        <v>1543555</v>
      </c>
      <c r="B96" s="146" t="s">
        <v>33</v>
      </c>
      <c r="C96" s="147" t="s">
        <v>111</v>
      </c>
      <c r="D96" s="147" t="s">
        <v>40</v>
      </c>
      <c r="E96" s="148">
        <f>WEEKNUM(Table1[[#This Row],[Dt da abertura]],1)</f>
        <v>12</v>
      </c>
      <c r="F96" s="147">
        <v>46099</v>
      </c>
      <c r="G96" s="147">
        <v>46099</v>
      </c>
      <c r="H96" s="147">
        <v>46101</v>
      </c>
      <c r="I96" s="147">
        <v>46104</v>
      </c>
      <c r="J96" s="147" t="s">
        <v>113</v>
      </c>
      <c r="K96" s="149" t="s">
        <v>114</v>
      </c>
      <c r="L96" s="149" t="str">
        <f>VLOOKUP(Table1[[#This Row],[Qual seu Carro de Entrega]],Hierarquia!A:K,11,0)</f>
        <v>TD Curitiba</v>
      </c>
      <c r="M96" s="149" t="str">
        <f>VLOOKUP(U96,Hierarquia!A:K,6,0)</f>
        <v>FADEL</v>
      </c>
      <c r="N96" s="149" t="s">
        <v>113</v>
      </c>
      <c r="O96" s="149" t="s">
        <v>115</v>
      </c>
      <c r="P96" s="133">
        <v>465</v>
      </c>
      <c r="Q96" s="135">
        <v>46099</v>
      </c>
      <c r="R96" s="133" t="s">
        <v>116</v>
      </c>
      <c r="S96" s="135" t="s">
        <v>353</v>
      </c>
      <c r="T96" s="133" t="s">
        <v>26</v>
      </c>
      <c r="U96" s="133" t="s">
        <v>179</v>
      </c>
      <c r="V96" s="135">
        <v>46099</v>
      </c>
      <c r="W96" s="133">
        <v>1543555</v>
      </c>
      <c r="X96" s="133">
        <v>6876179267</v>
      </c>
      <c r="Y96" s="133" t="s">
        <v>35</v>
      </c>
      <c r="Z96" s="133" t="s">
        <v>358</v>
      </c>
      <c r="AF96" s="133">
        <v>9985301</v>
      </c>
      <c r="AG96" s="133" t="s">
        <v>121</v>
      </c>
      <c r="AI96" s="133" t="s">
        <v>359</v>
      </c>
    </row>
    <row r="97" spans="1:35" x14ac:dyDescent="0.2">
      <c r="A97" s="139">
        <f>Table1[[#This Row],[Qual a Numeração da Nota Fiscal com divergência ?]]</f>
        <v>1543747</v>
      </c>
      <c r="B97" s="146" t="s">
        <v>33</v>
      </c>
      <c r="C97" s="147" t="s">
        <v>111</v>
      </c>
      <c r="D97" s="147" t="s">
        <v>40</v>
      </c>
      <c r="E97" s="148">
        <f>WEEKNUM(Table1[[#This Row],[Dt da abertura]],1)</f>
        <v>12</v>
      </c>
      <c r="F97" s="147">
        <v>46099</v>
      </c>
      <c r="G97" s="147">
        <v>46099</v>
      </c>
      <c r="H97" s="147">
        <v>46101</v>
      </c>
      <c r="I97" s="147">
        <v>46104</v>
      </c>
      <c r="J97" s="147" t="s">
        <v>113</v>
      </c>
      <c r="K97" s="149" t="s">
        <v>114</v>
      </c>
      <c r="L97" s="149" t="str">
        <f>VLOOKUP(Table1[[#This Row],[Qual seu Carro de Entrega]],Hierarquia!A:K,11,0)</f>
        <v>TD Curitiba</v>
      </c>
      <c r="M97" s="149" t="str">
        <f>VLOOKUP(U97,Hierarquia!A:K,6,0)</f>
        <v>FADEL</v>
      </c>
      <c r="N97" s="149" t="s">
        <v>113</v>
      </c>
      <c r="O97" s="149" t="s">
        <v>115</v>
      </c>
      <c r="P97" s="133">
        <v>466</v>
      </c>
      <c r="Q97" s="135">
        <v>46099</v>
      </c>
      <c r="R97" s="133" t="s">
        <v>116</v>
      </c>
      <c r="S97" s="135" t="s">
        <v>353</v>
      </c>
      <c r="T97" s="133" t="s">
        <v>26</v>
      </c>
      <c r="U97" s="133" t="s">
        <v>146</v>
      </c>
      <c r="V97" s="135">
        <v>46099</v>
      </c>
      <c r="W97" s="133">
        <v>1543747</v>
      </c>
      <c r="X97" s="133">
        <v>6876241386</v>
      </c>
      <c r="Y97" s="133" t="s">
        <v>35</v>
      </c>
      <c r="Z97" s="133" t="s">
        <v>360</v>
      </c>
      <c r="AF97" s="133">
        <v>9985586</v>
      </c>
      <c r="AG97" s="133" t="s">
        <v>121</v>
      </c>
      <c r="AI97" s="133" t="s">
        <v>361</v>
      </c>
    </row>
    <row r="98" spans="1:35" x14ac:dyDescent="0.2">
      <c r="A98" s="139">
        <f>Table1[[#This Row],[Qual a Numeração da Nota Fiscal com divergência ?]]</f>
        <v>1543000</v>
      </c>
      <c r="B98" s="146" t="s">
        <v>33</v>
      </c>
      <c r="C98" s="147" t="s">
        <v>111</v>
      </c>
      <c r="D98" s="147" t="s">
        <v>40</v>
      </c>
      <c r="E98" s="148">
        <f>WEEKNUM(Table1[[#This Row],[Dt da abertura]],1)</f>
        <v>12</v>
      </c>
      <c r="F98" s="147">
        <v>46099</v>
      </c>
      <c r="G98" s="147">
        <v>46099</v>
      </c>
      <c r="H98" s="147">
        <v>46101</v>
      </c>
      <c r="I98" s="147">
        <v>46104</v>
      </c>
      <c r="J98" s="147" t="s">
        <v>113</v>
      </c>
      <c r="K98" s="149" t="s">
        <v>114</v>
      </c>
      <c r="L98" s="149" t="str">
        <f>VLOOKUP(Table1[[#This Row],[Qual seu Carro de Entrega]],Hierarquia!A:K,11,0)</f>
        <v>TD Curitiba</v>
      </c>
      <c r="M98" s="149" t="str">
        <f>VLOOKUP(U98,Hierarquia!A:K,6,0)</f>
        <v>FADEL</v>
      </c>
      <c r="N98" s="149" t="s">
        <v>113</v>
      </c>
      <c r="O98" s="149" t="s">
        <v>115</v>
      </c>
      <c r="P98" s="133">
        <v>467</v>
      </c>
      <c r="Q98" s="135">
        <v>46099</v>
      </c>
      <c r="R98" s="133" t="s">
        <v>116</v>
      </c>
      <c r="S98" s="135" t="s">
        <v>353</v>
      </c>
      <c r="T98" s="133" t="s">
        <v>26</v>
      </c>
      <c r="U98" s="133" t="s">
        <v>273</v>
      </c>
      <c r="V98" s="135">
        <v>46098</v>
      </c>
      <c r="W98" s="133">
        <v>1543000</v>
      </c>
      <c r="X98" s="133">
        <v>6876237550</v>
      </c>
      <c r="Y98" s="133" t="s">
        <v>35</v>
      </c>
      <c r="Z98" s="133" t="s">
        <v>362</v>
      </c>
      <c r="AF98" s="133" t="s">
        <v>363</v>
      </c>
      <c r="AG98" s="133" t="s">
        <v>121</v>
      </c>
      <c r="AI98" s="133" t="s">
        <v>364</v>
      </c>
    </row>
    <row r="99" spans="1:35" hidden="1" x14ac:dyDescent="0.2">
      <c r="A99" s="139">
        <f>Table1[[#This Row],[Qual a Numeração da Nota Fiscal com divergência ?]]</f>
        <v>1541996</v>
      </c>
      <c r="B99" s="146" t="s">
        <v>30</v>
      </c>
      <c r="C99" s="147" t="s">
        <v>111</v>
      </c>
      <c r="D99" s="147" t="s">
        <v>40</v>
      </c>
      <c r="E99" s="148">
        <f>WEEKNUM(Table1[[#This Row],[Dt da abertura]],1)</f>
        <v>12</v>
      </c>
      <c r="F99" s="147">
        <v>46100</v>
      </c>
      <c r="G99" s="147">
        <v>46100</v>
      </c>
      <c r="H99" s="147">
        <v>46104</v>
      </c>
      <c r="I99" s="147">
        <v>46104</v>
      </c>
      <c r="J99" s="147" t="s">
        <v>113</v>
      </c>
      <c r="K99" s="149" t="s">
        <v>114</v>
      </c>
      <c r="L99" s="149" t="str">
        <f>VLOOKUP(Table1[[#This Row],[Qual seu Carro de Entrega]],Hierarquia!A:K,11,0)</f>
        <v>TV Curitiba 2</v>
      </c>
      <c r="M99" s="149" t="str">
        <f>VLOOKUP(U99,Hierarquia!A:K,6,0)</f>
        <v>BAT</v>
      </c>
      <c r="N99" s="149" t="s">
        <v>113</v>
      </c>
      <c r="O99" s="149" t="s">
        <v>115</v>
      </c>
      <c r="P99" s="133">
        <v>468</v>
      </c>
      <c r="Q99" s="135">
        <v>46100</v>
      </c>
      <c r="R99" s="133" t="s">
        <v>116</v>
      </c>
      <c r="S99" s="135" t="s">
        <v>365</v>
      </c>
      <c r="T99" s="133" t="s">
        <v>28</v>
      </c>
      <c r="U99" s="133" t="s">
        <v>259</v>
      </c>
      <c r="V99" s="135">
        <v>46097</v>
      </c>
      <c r="W99" s="133">
        <v>1541996</v>
      </c>
      <c r="X99" s="133">
        <v>6876184869</v>
      </c>
      <c r="Y99" s="133" t="s">
        <v>35</v>
      </c>
      <c r="Z99" s="133" t="s">
        <v>366</v>
      </c>
      <c r="AF99" s="133">
        <v>0</v>
      </c>
      <c r="AG99" s="133" t="s">
        <v>126</v>
      </c>
      <c r="AI99" s="133" t="s">
        <v>367</v>
      </c>
    </row>
    <row r="100" spans="1:35" hidden="1" x14ac:dyDescent="0.2">
      <c r="A100" s="139">
        <f>Table1[[#This Row],[Qual a Numeração da Nota Fiscal com divergência ?]]</f>
        <v>1541997</v>
      </c>
      <c r="B100" s="146" t="s">
        <v>30</v>
      </c>
      <c r="C100" s="147" t="s">
        <v>111</v>
      </c>
      <c r="D100" s="147" t="s">
        <v>40</v>
      </c>
      <c r="E100" s="148">
        <f>WEEKNUM(Table1[[#This Row],[Dt da abertura]],1)</f>
        <v>12</v>
      </c>
      <c r="F100" s="147">
        <v>46100</v>
      </c>
      <c r="G100" s="147">
        <v>46100</v>
      </c>
      <c r="H100" s="147">
        <v>46104</v>
      </c>
      <c r="I100" s="147">
        <v>46104</v>
      </c>
      <c r="J100" s="147" t="s">
        <v>113</v>
      </c>
      <c r="K100" s="149" t="s">
        <v>114</v>
      </c>
      <c r="L100" s="149" t="str">
        <f>VLOOKUP(Table1[[#This Row],[Qual seu Carro de Entrega]],Hierarquia!A:K,11,0)</f>
        <v>TV Curitiba 2</v>
      </c>
      <c r="M100" s="149" t="str">
        <f>VLOOKUP(U100,Hierarquia!A:K,6,0)</f>
        <v>BAT</v>
      </c>
      <c r="N100" s="149" t="s">
        <v>113</v>
      </c>
      <c r="O100" s="149" t="s">
        <v>115</v>
      </c>
      <c r="P100" s="133">
        <v>469</v>
      </c>
      <c r="Q100" s="135">
        <v>46100</v>
      </c>
      <c r="R100" s="133" t="s">
        <v>116</v>
      </c>
      <c r="S100" s="135" t="s">
        <v>365</v>
      </c>
      <c r="T100" s="133" t="s">
        <v>28</v>
      </c>
      <c r="U100" s="133" t="s">
        <v>259</v>
      </c>
      <c r="V100" s="135">
        <v>46094</v>
      </c>
      <c r="W100" s="133">
        <v>1541997</v>
      </c>
      <c r="X100" s="133">
        <v>6876187761</v>
      </c>
      <c r="Y100" s="133" t="s">
        <v>35</v>
      </c>
      <c r="Z100" s="133" t="s">
        <v>368</v>
      </c>
      <c r="AF100" s="133">
        <v>0</v>
      </c>
      <c r="AG100" s="133" t="s">
        <v>126</v>
      </c>
      <c r="AI100" s="133" t="s">
        <v>369</v>
      </c>
    </row>
    <row r="101" spans="1:35" ht="15.75" hidden="1" x14ac:dyDescent="0.25">
      <c r="A101" s="139">
        <f>Table1[[#This Row],[Qual a Numeração da Nota Fiscal com divergência ?]]</f>
        <v>1541998</v>
      </c>
      <c r="B101" s="146" t="s">
        <v>30</v>
      </c>
      <c r="C101" s="147" t="s">
        <v>111</v>
      </c>
      <c r="D101" s="147" t="s">
        <v>40</v>
      </c>
      <c r="E101" s="148">
        <f>WEEKNUM(Table1[[#This Row],[Dt da abertura]],1)</f>
        <v>12</v>
      </c>
      <c r="F101" s="147">
        <v>46100</v>
      </c>
      <c r="G101" s="147">
        <v>46100</v>
      </c>
      <c r="H101" s="147">
        <v>46104</v>
      </c>
      <c r="I101" s="147">
        <v>46104</v>
      </c>
      <c r="J101" s="147" t="s">
        <v>113</v>
      </c>
      <c r="K101" s="149" t="s">
        <v>114</v>
      </c>
      <c r="L101" s="149" t="str">
        <f>VLOOKUP(Table1[[#This Row],[Qual seu Carro de Entrega]],Hierarquia!A:K,11,0)</f>
        <v>TV Curitiba 2</v>
      </c>
      <c r="M101" s="149" t="str">
        <f>VLOOKUP(U101,Hierarquia!A:K,6,0)</f>
        <v>BAT</v>
      </c>
      <c r="N101" s="149" t="s">
        <v>113</v>
      </c>
      <c r="O101" s="149" t="s">
        <v>115</v>
      </c>
      <c r="P101" s="133">
        <v>470</v>
      </c>
      <c r="Q101" s="135">
        <v>46100</v>
      </c>
      <c r="R101" s="133" t="s">
        <v>116</v>
      </c>
      <c r="S101" s="151" t="s">
        <v>365</v>
      </c>
      <c r="T101" s="133" t="s">
        <v>28</v>
      </c>
      <c r="U101" s="133" t="s">
        <v>259</v>
      </c>
      <c r="V101" s="135">
        <v>46097</v>
      </c>
      <c r="W101" s="133">
        <v>1541998</v>
      </c>
      <c r="X101" s="133">
        <v>6876187790</v>
      </c>
      <c r="Y101" s="133" t="s">
        <v>35</v>
      </c>
      <c r="Z101" s="133" t="s">
        <v>370</v>
      </c>
      <c r="AF101" s="133">
        <v>0</v>
      </c>
      <c r="AG101" s="133" t="s">
        <v>126</v>
      </c>
      <c r="AI101" s="133" t="s">
        <v>369</v>
      </c>
    </row>
    <row r="102" spans="1:35" hidden="1" x14ac:dyDescent="0.2">
      <c r="A102" s="139">
        <f>Table1[[#This Row],[Qual a Numeração da Nota Fiscal com divergência ?]]</f>
        <v>1541992</v>
      </c>
      <c r="B102" s="146" t="s">
        <v>30</v>
      </c>
      <c r="C102" s="147" t="s">
        <v>111</v>
      </c>
      <c r="D102" s="147" t="s">
        <v>40</v>
      </c>
      <c r="E102" s="148">
        <f>WEEKNUM(Table1[[#This Row],[Dt da abertura]],1)</f>
        <v>12</v>
      </c>
      <c r="F102" s="147">
        <v>46100</v>
      </c>
      <c r="G102" s="147">
        <v>46100</v>
      </c>
      <c r="H102" s="147">
        <v>46104</v>
      </c>
      <c r="I102" s="147">
        <v>46104</v>
      </c>
      <c r="J102" s="147" t="s">
        <v>113</v>
      </c>
      <c r="K102" s="149" t="s">
        <v>114</v>
      </c>
      <c r="L102" s="149" t="str">
        <f>VLOOKUP(Table1[[#This Row],[Qual seu Carro de Entrega]],Hierarquia!A:K,11,0)</f>
        <v>TV Curitiba 2</v>
      </c>
      <c r="M102" s="149" t="str">
        <f>VLOOKUP(U102,Hierarquia!A:K,6,0)</f>
        <v>BAT</v>
      </c>
      <c r="N102" s="149" t="s">
        <v>113</v>
      </c>
      <c r="O102" s="149" t="s">
        <v>115</v>
      </c>
      <c r="P102" s="133">
        <v>471</v>
      </c>
      <c r="Q102" s="135">
        <v>46100</v>
      </c>
      <c r="R102" s="133" t="s">
        <v>116</v>
      </c>
      <c r="S102" s="135" t="s">
        <v>365</v>
      </c>
      <c r="T102" s="133" t="s">
        <v>28</v>
      </c>
      <c r="U102" s="133" t="s">
        <v>259</v>
      </c>
      <c r="V102" s="135">
        <v>46099</v>
      </c>
      <c r="W102" s="133">
        <v>1541992</v>
      </c>
      <c r="X102" s="133">
        <v>6876184143</v>
      </c>
      <c r="Y102" s="133" t="s">
        <v>35</v>
      </c>
      <c r="Z102" s="133" t="s">
        <v>371</v>
      </c>
      <c r="AF102" s="133">
        <v>0</v>
      </c>
      <c r="AG102" s="133" t="s">
        <v>126</v>
      </c>
      <c r="AI102" s="133" t="s">
        <v>369</v>
      </c>
    </row>
    <row r="103" spans="1:35" ht="15.75" hidden="1" x14ac:dyDescent="0.25">
      <c r="A103" s="139">
        <f>Table1[[#This Row],[Qual a Numeração da Nota Fiscal com divergência ?]]</f>
        <v>1541989</v>
      </c>
      <c r="B103" s="146" t="s">
        <v>30</v>
      </c>
      <c r="C103" s="147" t="s">
        <v>111</v>
      </c>
      <c r="D103" s="147" t="s">
        <v>40</v>
      </c>
      <c r="E103" s="148">
        <f>WEEKNUM(Table1[[#This Row],[Dt da abertura]],1)</f>
        <v>12</v>
      </c>
      <c r="F103" s="147">
        <v>46100</v>
      </c>
      <c r="G103" s="147">
        <v>46100</v>
      </c>
      <c r="H103" s="147">
        <v>46104</v>
      </c>
      <c r="I103" s="147">
        <v>46104</v>
      </c>
      <c r="J103" s="147" t="s">
        <v>113</v>
      </c>
      <c r="K103" s="149" t="s">
        <v>114</v>
      </c>
      <c r="L103" s="149" t="str">
        <f>VLOOKUP(Table1[[#This Row],[Qual seu Carro de Entrega]],Hierarquia!A:K,11,0)</f>
        <v>TV Curitiba 2</v>
      </c>
      <c r="M103" s="149" t="str">
        <f>VLOOKUP(U103,Hierarquia!A:K,6,0)</f>
        <v>BAT</v>
      </c>
      <c r="N103" s="149" t="s">
        <v>113</v>
      </c>
      <c r="O103" s="149" t="s">
        <v>115</v>
      </c>
      <c r="P103" s="133">
        <v>472</v>
      </c>
      <c r="Q103" s="135">
        <v>46100</v>
      </c>
      <c r="R103" s="133" t="s">
        <v>116</v>
      </c>
      <c r="S103" s="151" t="s">
        <v>174</v>
      </c>
      <c r="T103" s="133" t="s">
        <v>28</v>
      </c>
      <c r="U103" s="133" t="s">
        <v>175</v>
      </c>
      <c r="V103" s="135">
        <v>46100</v>
      </c>
      <c r="W103" s="133">
        <v>1541989</v>
      </c>
      <c r="X103" s="133">
        <v>6876160246</v>
      </c>
      <c r="Y103" s="133" t="s">
        <v>32</v>
      </c>
      <c r="Z103" s="133" t="s">
        <v>198</v>
      </c>
      <c r="AF103" s="133" t="s">
        <v>140</v>
      </c>
      <c r="AG103" s="133" t="s">
        <v>126</v>
      </c>
    </row>
    <row r="104" spans="1:35" ht="15.75" hidden="1" x14ac:dyDescent="0.25">
      <c r="A104" s="139">
        <f>Table1[[#This Row],[Qual a Numeração da Nota Fiscal com divergência ?]]</f>
        <v>1541987</v>
      </c>
      <c r="B104" s="146" t="s">
        <v>30</v>
      </c>
      <c r="C104" s="147" t="s">
        <v>111</v>
      </c>
      <c r="D104" s="147" t="s">
        <v>40</v>
      </c>
      <c r="E104" s="148">
        <f>WEEKNUM(Table1[[#This Row],[Dt da abertura]],1)</f>
        <v>12</v>
      </c>
      <c r="F104" s="147">
        <v>46100</v>
      </c>
      <c r="G104" s="147">
        <v>46100</v>
      </c>
      <c r="H104" s="147">
        <v>46104</v>
      </c>
      <c r="I104" s="147">
        <v>46104</v>
      </c>
      <c r="J104" s="147" t="s">
        <v>113</v>
      </c>
      <c r="K104" s="149" t="s">
        <v>114</v>
      </c>
      <c r="L104" s="149" t="str">
        <f>VLOOKUP(Table1[[#This Row],[Qual seu Carro de Entrega]],Hierarquia!A:K,11,0)</f>
        <v>TV Curitiba 2</v>
      </c>
      <c r="M104" s="149" t="str">
        <f>VLOOKUP(U104,Hierarquia!A:K,6,0)</f>
        <v>BAT</v>
      </c>
      <c r="N104" s="149" t="s">
        <v>113</v>
      </c>
      <c r="O104" s="149" t="s">
        <v>115</v>
      </c>
      <c r="P104" s="133">
        <v>473</v>
      </c>
      <c r="Q104" s="135">
        <v>46100</v>
      </c>
      <c r="R104" s="133" t="s">
        <v>116</v>
      </c>
      <c r="S104" s="151" t="s">
        <v>174</v>
      </c>
      <c r="T104" s="133" t="s">
        <v>28</v>
      </c>
      <c r="U104" s="133" t="s">
        <v>175</v>
      </c>
      <c r="V104" s="135">
        <v>46100</v>
      </c>
      <c r="W104" s="133">
        <v>1541987</v>
      </c>
      <c r="X104" s="133">
        <v>6876126442</v>
      </c>
      <c r="Y104" s="133" t="s">
        <v>32</v>
      </c>
      <c r="Z104" s="133" t="s">
        <v>198</v>
      </c>
      <c r="AF104" s="133" t="s">
        <v>140</v>
      </c>
      <c r="AG104" s="133" t="s">
        <v>126</v>
      </c>
    </row>
    <row r="105" spans="1:35" ht="15.75" hidden="1" x14ac:dyDescent="0.25">
      <c r="A105" s="139">
        <f>Table1[[#This Row],[Qual a Numeração da Nota Fiscal com divergência ?]]</f>
        <v>1541981</v>
      </c>
      <c r="B105" s="146" t="s">
        <v>30</v>
      </c>
      <c r="C105" s="147" t="s">
        <v>111</v>
      </c>
      <c r="D105" s="147" t="s">
        <v>40</v>
      </c>
      <c r="E105" s="148">
        <f>WEEKNUM(Table1[[#This Row],[Dt da abertura]],1)</f>
        <v>12</v>
      </c>
      <c r="F105" s="147">
        <v>46100</v>
      </c>
      <c r="G105" s="147">
        <v>46100</v>
      </c>
      <c r="H105" s="147">
        <v>46104</v>
      </c>
      <c r="I105" s="147">
        <v>46104</v>
      </c>
      <c r="J105" s="147" t="s">
        <v>113</v>
      </c>
      <c r="K105" s="149" t="s">
        <v>114</v>
      </c>
      <c r="L105" s="149" t="str">
        <f>VLOOKUP(Table1[[#This Row],[Qual seu Carro de Entrega]],Hierarquia!A:K,11,0)</f>
        <v>TV Curitiba 2</v>
      </c>
      <c r="M105" s="149" t="str">
        <f>VLOOKUP(U105,Hierarquia!A:K,6,0)</f>
        <v>BAT</v>
      </c>
      <c r="N105" s="149" t="s">
        <v>113</v>
      </c>
      <c r="O105" s="149" t="s">
        <v>115</v>
      </c>
      <c r="P105" s="133">
        <v>474</v>
      </c>
      <c r="Q105" s="135">
        <v>46100</v>
      </c>
      <c r="R105" s="133" t="s">
        <v>116</v>
      </c>
      <c r="S105" s="151" t="s">
        <v>174</v>
      </c>
      <c r="T105" s="133" t="s">
        <v>28</v>
      </c>
      <c r="U105" s="133" t="s">
        <v>175</v>
      </c>
      <c r="V105" s="135">
        <v>46100</v>
      </c>
      <c r="W105" s="133">
        <v>1541981</v>
      </c>
      <c r="X105" s="133">
        <v>6876072412</v>
      </c>
      <c r="Y105" s="133" t="s">
        <v>32</v>
      </c>
      <c r="Z105" s="133" t="s">
        <v>372</v>
      </c>
      <c r="AF105" s="133" t="s">
        <v>140</v>
      </c>
      <c r="AG105" s="133" t="s">
        <v>126</v>
      </c>
    </row>
    <row r="106" spans="1:35" ht="15.75" hidden="1" x14ac:dyDescent="0.25">
      <c r="A106" s="139">
        <f>Table1[[#This Row],[Qual a Numeração da Nota Fiscal com divergência ?]]</f>
        <v>1541994</v>
      </c>
      <c r="B106" s="146" t="s">
        <v>30</v>
      </c>
      <c r="C106" s="147" t="s">
        <v>111</v>
      </c>
      <c r="D106" s="147" t="s">
        <v>40</v>
      </c>
      <c r="E106" s="148">
        <f>WEEKNUM(Table1[[#This Row],[Dt da abertura]],1)</f>
        <v>12</v>
      </c>
      <c r="F106" s="147">
        <v>46100</v>
      </c>
      <c r="G106" s="147">
        <v>46100</v>
      </c>
      <c r="H106" s="147">
        <v>46104</v>
      </c>
      <c r="I106" s="147">
        <v>46104</v>
      </c>
      <c r="J106" s="147" t="s">
        <v>113</v>
      </c>
      <c r="K106" s="149" t="s">
        <v>114</v>
      </c>
      <c r="L106" s="149" t="str">
        <f>VLOOKUP(Table1[[#This Row],[Qual seu Carro de Entrega]],Hierarquia!A:K,11,0)</f>
        <v>TV Curitiba 2</v>
      </c>
      <c r="M106" s="149" t="str">
        <f>VLOOKUP(U106,Hierarquia!A:K,6,0)</f>
        <v>BAT</v>
      </c>
      <c r="N106" s="149" t="s">
        <v>113</v>
      </c>
      <c r="O106" s="149" t="s">
        <v>115</v>
      </c>
      <c r="P106" s="133">
        <v>475</v>
      </c>
      <c r="Q106" s="135">
        <v>46100</v>
      </c>
      <c r="R106" s="133" t="s">
        <v>116</v>
      </c>
      <c r="S106" s="151" t="s">
        <v>174</v>
      </c>
      <c r="T106" s="133" t="s">
        <v>28</v>
      </c>
      <c r="U106" s="133" t="s">
        <v>175</v>
      </c>
      <c r="V106" s="135">
        <v>46100</v>
      </c>
      <c r="W106" s="133">
        <v>1541994</v>
      </c>
      <c r="X106" s="133">
        <v>6876184865</v>
      </c>
      <c r="Y106" s="133" t="s">
        <v>32</v>
      </c>
      <c r="Z106" s="133" t="s">
        <v>372</v>
      </c>
      <c r="AF106" s="133" t="s">
        <v>140</v>
      </c>
      <c r="AG106" s="133" t="s">
        <v>126</v>
      </c>
    </row>
    <row r="107" spans="1:35" x14ac:dyDescent="0.2">
      <c r="A107" s="139">
        <f>Table1[[#This Row],[Qual a Numeração da Nota Fiscal com divergência ?]]</f>
        <v>1545523</v>
      </c>
      <c r="B107" s="146" t="s">
        <v>33</v>
      </c>
      <c r="C107" s="147" t="s">
        <v>111</v>
      </c>
      <c r="D107" s="147" t="s">
        <v>40</v>
      </c>
      <c r="E107" s="148">
        <f>WEEKNUM(Table1[[#This Row],[Dt da abertura]],1)</f>
        <v>13</v>
      </c>
      <c r="F107" s="147">
        <v>46105</v>
      </c>
      <c r="G107" s="147">
        <v>46105</v>
      </c>
      <c r="H107" s="147">
        <v>46106</v>
      </c>
      <c r="I107" s="147">
        <v>46105</v>
      </c>
      <c r="J107" s="147" t="s">
        <v>113</v>
      </c>
      <c r="K107" s="149" t="s">
        <v>114</v>
      </c>
      <c r="L107" s="149" t="str">
        <f>VLOOKUP(Table1[[#This Row],[Qual seu Carro de Entrega]],Hierarquia!A:K,11,0)</f>
        <v>TD Curitiba</v>
      </c>
      <c r="M107" s="149" t="str">
        <f>VLOOKUP(U107,Hierarquia!A:K,6,0)</f>
        <v>FADEL</v>
      </c>
      <c r="N107" s="149" t="s">
        <v>113</v>
      </c>
      <c r="O107" s="149" t="s">
        <v>115</v>
      </c>
      <c r="P107" s="133">
        <v>476</v>
      </c>
      <c r="Q107" s="135">
        <v>46104</v>
      </c>
      <c r="R107" s="133" t="s">
        <v>116</v>
      </c>
      <c r="S107" s="135" t="s">
        <v>353</v>
      </c>
      <c r="T107" s="133" t="s">
        <v>26</v>
      </c>
      <c r="U107" s="133" t="s">
        <v>215</v>
      </c>
      <c r="V107" s="135">
        <v>46104</v>
      </c>
      <c r="W107" s="133">
        <v>1545523</v>
      </c>
      <c r="X107" s="133">
        <v>6876333332</v>
      </c>
      <c r="Y107" s="133" t="s">
        <v>34</v>
      </c>
      <c r="Z107" s="133" t="s">
        <v>373</v>
      </c>
      <c r="AF107" s="133">
        <v>10014189</v>
      </c>
      <c r="AG107" s="133" t="s">
        <v>121</v>
      </c>
      <c r="AI107" s="133" t="s">
        <v>373</v>
      </c>
    </row>
    <row r="108" spans="1:35" x14ac:dyDescent="0.2">
      <c r="A108" s="139">
        <f>Table1[[#This Row],[Qual a Numeração da Nota Fiscal com divergência ?]]</f>
        <v>1546140</v>
      </c>
      <c r="B108" s="146" t="s">
        <v>33</v>
      </c>
      <c r="C108" s="147" t="s">
        <v>111</v>
      </c>
      <c r="D108" s="147" t="s">
        <v>40</v>
      </c>
      <c r="E108" s="148">
        <f>WEEKNUM(Table1[[#This Row],[Dt da abertura]],1)</f>
        <v>13</v>
      </c>
      <c r="F108" s="147">
        <v>46105</v>
      </c>
      <c r="G108" s="147">
        <v>46105</v>
      </c>
      <c r="H108" s="147">
        <v>46108</v>
      </c>
      <c r="I108" s="147">
        <v>46111</v>
      </c>
      <c r="J108" s="147" t="s">
        <v>113</v>
      </c>
      <c r="K108" s="149" t="s">
        <v>114</v>
      </c>
      <c r="L108" s="149" t="str">
        <f>VLOOKUP(Table1[[#This Row],[Qual seu Carro de Entrega]],Hierarquia!A:K,11,0)</f>
        <v>TD Curitiba</v>
      </c>
      <c r="M108" s="149" t="str">
        <f>VLOOKUP(U108,Hierarquia!A:K,6,0)</f>
        <v>FADEL</v>
      </c>
      <c r="N108" s="149" t="s">
        <v>113</v>
      </c>
      <c r="O108" s="149" t="s">
        <v>115</v>
      </c>
      <c r="P108" s="133">
        <v>477</v>
      </c>
      <c r="Q108" s="135">
        <v>46105</v>
      </c>
      <c r="R108" s="133" t="s">
        <v>116</v>
      </c>
      <c r="S108" s="135" t="s">
        <v>353</v>
      </c>
      <c r="T108" s="133" t="s">
        <v>26</v>
      </c>
      <c r="U108" s="133" t="s">
        <v>168</v>
      </c>
      <c r="V108" s="135">
        <v>46105</v>
      </c>
      <c r="W108" s="133">
        <v>1546140</v>
      </c>
      <c r="X108" s="133">
        <v>6876354817</v>
      </c>
      <c r="Y108" s="133" t="s">
        <v>34</v>
      </c>
      <c r="Z108" s="133" t="s">
        <v>374</v>
      </c>
      <c r="AF108" s="133">
        <v>10021458</v>
      </c>
      <c r="AG108" s="133" t="s">
        <v>121</v>
      </c>
      <c r="AI108" s="133" t="s">
        <v>374</v>
      </c>
    </row>
    <row r="109" spans="1:35" x14ac:dyDescent="0.2">
      <c r="A109" s="139">
        <f>Table1[[#This Row],[Qual a Numeração da Nota Fiscal com divergência ?]]</f>
        <v>1537148</v>
      </c>
      <c r="B109" s="146" t="s">
        <v>25</v>
      </c>
      <c r="C109" s="147" t="s">
        <v>111</v>
      </c>
      <c r="D109" s="147" t="s">
        <v>40</v>
      </c>
      <c r="E109" s="148">
        <f>WEEKNUM(Table1[[#This Row],[Dt da abertura]],1)</f>
        <v>13</v>
      </c>
      <c r="F109" s="147">
        <v>46105</v>
      </c>
      <c r="G109" s="147">
        <v>46105</v>
      </c>
      <c r="H109" s="147">
        <v>46108</v>
      </c>
      <c r="I109" s="147">
        <v>46111</v>
      </c>
      <c r="J109" s="147" t="s">
        <v>113</v>
      </c>
      <c r="K109" s="149" t="s">
        <v>114</v>
      </c>
      <c r="L109" s="149" t="str">
        <f>VLOOKUP(Table1[[#This Row],[Qual seu Carro de Entrega]],Hierarquia!A:K,11,0)</f>
        <v>TD Curitiba</v>
      </c>
      <c r="M109" s="149" t="str">
        <f>VLOOKUP(U109,Hierarquia!A:K,6,0)</f>
        <v>FADEL</v>
      </c>
      <c r="N109" s="149" t="s">
        <v>113</v>
      </c>
      <c r="O109" s="149" t="s">
        <v>115</v>
      </c>
      <c r="P109" s="133">
        <v>478</v>
      </c>
      <c r="Q109" s="135">
        <v>46105</v>
      </c>
      <c r="R109" s="133" t="s">
        <v>116</v>
      </c>
      <c r="S109" s="135" t="s">
        <v>133</v>
      </c>
      <c r="T109" s="133" t="s">
        <v>26</v>
      </c>
      <c r="U109" s="133" t="s">
        <v>227</v>
      </c>
      <c r="V109" s="135">
        <v>46080</v>
      </c>
      <c r="W109" s="133">
        <v>1537148</v>
      </c>
      <c r="X109" s="133">
        <v>6875988691</v>
      </c>
      <c r="Y109" s="133" t="s">
        <v>34</v>
      </c>
      <c r="Z109" s="133" t="s">
        <v>375</v>
      </c>
      <c r="AF109" s="133" t="s">
        <v>376</v>
      </c>
      <c r="AG109" s="133" t="s">
        <v>131</v>
      </c>
    </row>
    <row r="110" spans="1:35" x14ac:dyDescent="0.2">
      <c r="A110" s="139">
        <f>Table1[[#This Row],[Qual a Numeração da Nota Fiscal com divergência ?]]</f>
        <v>1545889</v>
      </c>
      <c r="B110" s="146" t="s">
        <v>33</v>
      </c>
      <c r="C110" s="147" t="s">
        <v>111</v>
      </c>
      <c r="D110" s="147" t="s">
        <v>40</v>
      </c>
      <c r="E110" s="148">
        <f>WEEKNUM(Table1[[#This Row],[Dt da abertura]],1)</f>
        <v>13</v>
      </c>
      <c r="F110" s="147">
        <v>46105</v>
      </c>
      <c r="G110" s="147">
        <v>46105</v>
      </c>
      <c r="H110" s="147">
        <v>46108</v>
      </c>
      <c r="I110" s="147">
        <v>46111</v>
      </c>
      <c r="J110" s="147" t="s">
        <v>113</v>
      </c>
      <c r="K110" s="149" t="s">
        <v>114</v>
      </c>
      <c r="L110" s="149" t="str">
        <f>VLOOKUP(Table1[[#This Row],[Qual seu Carro de Entrega]],Hierarquia!A:K,11,0)</f>
        <v>TD Curitiba</v>
      </c>
      <c r="M110" s="149" t="str">
        <f>VLOOKUP(U110,Hierarquia!A:K,6,0)</f>
        <v>FADEL</v>
      </c>
      <c r="N110" s="149" t="s">
        <v>113</v>
      </c>
      <c r="O110" s="149" t="s">
        <v>115</v>
      </c>
      <c r="P110" s="133">
        <v>479</v>
      </c>
      <c r="Q110" s="135">
        <v>46105</v>
      </c>
      <c r="R110" s="133" t="s">
        <v>116</v>
      </c>
      <c r="S110" s="135" t="s">
        <v>133</v>
      </c>
      <c r="T110" s="133" t="s">
        <v>26</v>
      </c>
      <c r="U110" s="133" t="s">
        <v>377</v>
      </c>
      <c r="V110" s="135">
        <v>46105</v>
      </c>
      <c r="W110" s="133">
        <v>1545889</v>
      </c>
      <c r="X110" s="133">
        <v>6876347975</v>
      </c>
      <c r="Y110" s="133" t="s">
        <v>34</v>
      </c>
      <c r="Z110" s="133" t="s">
        <v>378</v>
      </c>
      <c r="AF110" s="133">
        <v>10021543</v>
      </c>
      <c r="AG110" s="133" t="s">
        <v>131</v>
      </c>
    </row>
    <row r="111" spans="1:35" x14ac:dyDescent="0.2">
      <c r="A111" s="139">
        <f>Table1[[#This Row],[Qual a Numeração da Nota Fiscal com divergência ?]]</f>
        <v>1546075</v>
      </c>
      <c r="B111" s="146" t="s">
        <v>25</v>
      </c>
      <c r="C111" s="147" t="s">
        <v>111</v>
      </c>
      <c r="D111" s="147" t="s">
        <v>40</v>
      </c>
      <c r="E111" s="148">
        <f>WEEKNUM(Table1[[#This Row],[Dt da abertura]],1)</f>
        <v>13</v>
      </c>
      <c r="F111" s="147">
        <v>46105</v>
      </c>
      <c r="G111" s="147">
        <v>46105</v>
      </c>
      <c r="H111" s="147">
        <v>46108</v>
      </c>
      <c r="I111" s="147">
        <v>46111</v>
      </c>
      <c r="J111" s="147" t="s">
        <v>113</v>
      </c>
      <c r="K111" s="149" t="s">
        <v>114</v>
      </c>
      <c r="L111" s="149" t="str">
        <f>VLOOKUP(Table1[[#This Row],[Qual seu Carro de Entrega]],Hierarquia!A:K,11,0)</f>
        <v>TD Curitiba</v>
      </c>
      <c r="M111" s="149" t="str">
        <f>VLOOKUP(U111,Hierarquia!A:K,6,0)</f>
        <v>FADEL</v>
      </c>
      <c r="N111" s="149" t="s">
        <v>113</v>
      </c>
      <c r="O111" s="149" t="s">
        <v>115</v>
      </c>
      <c r="P111" s="133">
        <v>480</v>
      </c>
      <c r="Q111" s="135">
        <v>46105</v>
      </c>
      <c r="R111" s="133" t="s">
        <v>116</v>
      </c>
      <c r="S111" s="135" t="s">
        <v>353</v>
      </c>
      <c r="T111" s="133" t="s">
        <v>26</v>
      </c>
      <c r="U111" s="133" t="s">
        <v>142</v>
      </c>
      <c r="V111" s="135">
        <v>46105</v>
      </c>
      <c r="W111" s="133">
        <v>1546075</v>
      </c>
      <c r="X111" s="133">
        <v>6876362365</v>
      </c>
      <c r="Y111" s="133" t="s">
        <v>16</v>
      </c>
      <c r="AA111" s="133">
        <v>10224399</v>
      </c>
      <c r="AF111" s="133">
        <v>10021372</v>
      </c>
      <c r="AG111" s="133" t="s">
        <v>121</v>
      </c>
      <c r="AI111" s="133" t="s">
        <v>379</v>
      </c>
    </row>
    <row r="112" spans="1:35" x14ac:dyDescent="0.2">
      <c r="A112" s="139">
        <f>Table1[[#This Row],[Qual a Numeração da Nota Fiscal com divergência ?]]</f>
        <v>1545765</v>
      </c>
      <c r="B112" s="146" t="s">
        <v>33</v>
      </c>
      <c r="C112" s="147" t="s">
        <v>111</v>
      </c>
      <c r="D112" s="147" t="s">
        <v>40</v>
      </c>
      <c r="E112" s="148">
        <f>WEEKNUM(Table1[[#This Row],[Dt da abertura]],1)</f>
        <v>13</v>
      </c>
      <c r="F112" s="147">
        <v>46105</v>
      </c>
      <c r="G112" s="147">
        <v>46105</v>
      </c>
      <c r="H112" s="147">
        <v>46108</v>
      </c>
      <c r="I112" s="147">
        <v>46111</v>
      </c>
      <c r="J112" s="147" t="s">
        <v>113</v>
      </c>
      <c r="K112" s="149" t="s">
        <v>114</v>
      </c>
      <c r="L112" s="149" t="str">
        <f>VLOOKUP(Table1[[#This Row],[Qual seu Carro de Entrega]],Hierarquia!A:K,11,0)</f>
        <v>TD Curitiba</v>
      </c>
      <c r="M112" s="149" t="str">
        <f>VLOOKUP(U112,Hierarquia!A:K,6,0)</f>
        <v>FADEL</v>
      </c>
      <c r="N112" s="149" t="s">
        <v>113</v>
      </c>
      <c r="O112" s="149" t="s">
        <v>115</v>
      </c>
      <c r="P112" s="133">
        <v>481</v>
      </c>
      <c r="Q112" s="135">
        <v>46105</v>
      </c>
      <c r="R112" s="133" t="s">
        <v>116</v>
      </c>
      <c r="S112" s="135" t="s">
        <v>353</v>
      </c>
      <c r="T112" s="133" t="s">
        <v>26</v>
      </c>
      <c r="U112" s="133" t="s">
        <v>182</v>
      </c>
      <c r="V112" s="135">
        <v>46105</v>
      </c>
      <c r="W112" s="133">
        <v>1545765</v>
      </c>
      <c r="X112" s="133">
        <v>6876322208</v>
      </c>
      <c r="Y112" s="133" t="s">
        <v>34</v>
      </c>
      <c r="Z112" s="133" t="s">
        <v>380</v>
      </c>
      <c r="AF112" s="133">
        <v>10020898</v>
      </c>
      <c r="AG112" s="133" t="s">
        <v>121</v>
      </c>
      <c r="AI112" s="133" t="s">
        <v>380</v>
      </c>
    </row>
    <row r="113" spans="1:35" x14ac:dyDescent="0.2">
      <c r="A113" s="139">
        <f>Table1[[#This Row],[Qual a Numeração da Nota Fiscal com divergência ?]]</f>
        <v>1545718</v>
      </c>
      <c r="B113" s="146" t="s">
        <v>33</v>
      </c>
      <c r="C113" s="147" t="s">
        <v>111</v>
      </c>
      <c r="D113" s="147" t="s">
        <v>40</v>
      </c>
      <c r="E113" s="148">
        <f>WEEKNUM(Table1[[#This Row],[Dt da abertura]],1)</f>
        <v>13</v>
      </c>
      <c r="F113" s="147">
        <v>46105</v>
      </c>
      <c r="G113" s="147">
        <v>46105</v>
      </c>
      <c r="H113" s="147">
        <v>46108</v>
      </c>
      <c r="I113" s="147">
        <v>46111</v>
      </c>
      <c r="J113" s="147" t="s">
        <v>113</v>
      </c>
      <c r="K113" s="149" t="s">
        <v>114</v>
      </c>
      <c r="L113" s="149" t="str">
        <f>VLOOKUP(Table1[[#This Row],[Qual seu Carro de Entrega]],Hierarquia!A:K,11,0)</f>
        <v>TD Curitiba</v>
      </c>
      <c r="M113" s="149" t="str">
        <f>VLOOKUP(U113,Hierarquia!A:K,6,0)</f>
        <v>FADEL</v>
      </c>
      <c r="N113" s="149" t="s">
        <v>113</v>
      </c>
      <c r="O113" s="149" t="s">
        <v>115</v>
      </c>
      <c r="P113" s="133">
        <v>482</v>
      </c>
      <c r="Q113" s="135">
        <v>46105</v>
      </c>
      <c r="R113" s="133" t="s">
        <v>116</v>
      </c>
      <c r="S113" s="135" t="s">
        <v>353</v>
      </c>
      <c r="T113" s="133" t="s">
        <v>26</v>
      </c>
      <c r="U113" s="133" t="s">
        <v>182</v>
      </c>
      <c r="V113" s="135">
        <v>46105</v>
      </c>
      <c r="W113" s="133">
        <v>1545718</v>
      </c>
      <c r="X113" s="133">
        <v>6876343448</v>
      </c>
      <c r="Y113" s="133" t="s">
        <v>34</v>
      </c>
      <c r="Z113" s="133" t="s">
        <v>381</v>
      </c>
      <c r="AF113" s="133">
        <v>10020913</v>
      </c>
      <c r="AG113" s="133" t="s">
        <v>121</v>
      </c>
      <c r="AI113" s="133" t="s">
        <v>381</v>
      </c>
    </row>
    <row r="114" spans="1:35" x14ac:dyDescent="0.2">
      <c r="A114" s="139">
        <f>Table1[[#This Row],[Qual a Numeração da Nota Fiscal com divergência ?]]</f>
        <v>1545714</v>
      </c>
      <c r="B114" s="146" t="s">
        <v>33</v>
      </c>
      <c r="C114" s="147" t="s">
        <v>111</v>
      </c>
      <c r="D114" s="147" t="s">
        <v>40</v>
      </c>
      <c r="E114" s="148">
        <f>WEEKNUM(Table1[[#This Row],[Dt da abertura]],1)</f>
        <v>13</v>
      </c>
      <c r="F114" s="147">
        <v>46105</v>
      </c>
      <c r="G114" s="147">
        <v>46105</v>
      </c>
      <c r="H114" s="147">
        <v>46108</v>
      </c>
      <c r="I114" s="147">
        <v>46111</v>
      </c>
      <c r="J114" s="147" t="s">
        <v>113</v>
      </c>
      <c r="K114" s="149" t="s">
        <v>114</v>
      </c>
      <c r="L114" s="149" t="str">
        <f>VLOOKUP(Table1[[#This Row],[Qual seu Carro de Entrega]],Hierarquia!A:K,11,0)</f>
        <v>TD Curitiba</v>
      </c>
      <c r="M114" s="149" t="str">
        <f>VLOOKUP(U114,Hierarquia!A:K,6,0)</f>
        <v>FADEL</v>
      </c>
      <c r="N114" s="149" t="s">
        <v>113</v>
      </c>
      <c r="O114" s="149" t="s">
        <v>115</v>
      </c>
      <c r="P114" s="133">
        <v>483</v>
      </c>
      <c r="Q114" s="135">
        <v>46105</v>
      </c>
      <c r="R114" s="133" t="s">
        <v>116</v>
      </c>
      <c r="S114" s="135" t="s">
        <v>353</v>
      </c>
      <c r="T114" s="133" t="s">
        <v>26</v>
      </c>
      <c r="U114" s="133" t="s">
        <v>182</v>
      </c>
      <c r="V114" s="135">
        <v>46105</v>
      </c>
      <c r="W114" s="133">
        <v>1545714</v>
      </c>
      <c r="X114" s="133">
        <v>6876316269</v>
      </c>
      <c r="Y114" s="133" t="s">
        <v>34</v>
      </c>
      <c r="Z114" s="133" t="s">
        <v>381</v>
      </c>
      <c r="AF114" s="133">
        <v>10020906</v>
      </c>
      <c r="AG114" s="133" t="s">
        <v>121</v>
      </c>
      <c r="AI114" s="133" t="s">
        <v>381</v>
      </c>
    </row>
    <row r="115" spans="1:35" x14ac:dyDescent="0.2">
      <c r="A115" s="139">
        <f>Table1[[#This Row],[Qual a Numeração da Nota Fiscal com divergência ?]]</f>
        <v>1545988</v>
      </c>
      <c r="B115" s="146" t="s">
        <v>33</v>
      </c>
      <c r="C115" s="147" t="s">
        <v>111</v>
      </c>
      <c r="D115" s="147" t="s">
        <v>40</v>
      </c>
      <c r="E115" s="148">
        <f>WEEKNUM(Table1[[#This Row],[Dt da abertura]],1)</f>
        <v>13</v>
      </c>
      <c r="F115" s="147">
        <v>46105</v>
      </c>
      <c r="G115" s="147">
        <v>46105</v>
      </c>
      <c r="H115" s="147">
        <v>46108</v>
      </c>
      <c r="I115" s="147">
        <v>46111</v>
      </c>
      <c r="J115" s="147" t="s">
        <v>113</v>
      </c>
      <c r="K115" s="149" t="s">
        <v>114</v>
      </c>
      <c r="L115" s="149" t="str">
        <f>VLOOKUP(Table1[[#This Row],[Qual seu Carro de Entrega]],Hierarquia!A:K,11,0)</f>
        <v>TD Curitiba</v>
      </c>
      <c r="M115" s="149" t="str">
        <f>VLOOKUP(U115,Hierarquia!A:K,6,0)</f>
        <v>FADEL</v>
      </c>
      <c r="N115" s="149" t="s">
        <v>113</v>
      </c>
      <c r="O115" s="149" t="s">
        <v>115</v>
      </c>
      <c r="P115" s="133">
        <v>484</v>
      </c>
      <c r="Q115" s="135">
        <v>46105</v>
      </c>
      <c r="R115" s="133" t="s">
        <v>116</v>
      </c>
      <c r="S115" s="135" t="s">
        <v>353</v>
      </c>
      <c r="T115" s="133" t="s">
        <v>26</v>
      </c>
      <c r="U115" s="133" t="s">
        <v>182</v>
      </c>
      <c r="V115" s="135">
        <v>46105</v>
      </c>
      <c r="W115" s="133">
        <v>1545988</v>
      </c>
      <c r="X115" s="133">
        <v>6876353891</v>
      </c>
      <c r="Y115" s="133" t="s">
        <v>34</v>
      </c>
      <c r="Z115" s="133" t="s">
        <v>381</v>
      </c>
      <c r="AF115" s="133">
        <v>10020897</v>
      </c>
      <c r="AG115" s="133" t="s">
        <v>121</v>
      </c>
      <c r="AI115" s="133" t="s">
        <v>381</v>
      </c>
    </row>
    <row r="116" spans="1:35" x14ac:dyDescent="0.2">
      <c r="A116" s="139">
        <f>Table1[[#This Row],[Qual a Numeração da Nota Fiscal com divergência ?]]</f>
        <v>1545798</v>
      </c>
      <c r="B116" s="146" t="s">
        <v>33</v>
      </c>
      <c r="C116" s="147" t="s">
        <v>111</v>
      </c>
      <c r="D116" s="147" t="s">
        <v>40</v>
      </c>
      <c r="E116" s="148">
        <f>WEEKNUM(Table1[[#This Row],[Dt da abertura]],1)</f>
        <v>13</v>
      </c>
      <c r="F116" s="147">
        <v>46105</v>
      </c>
      <c r="G116" s="147">
        <v>46105</v>
      </c>
      <c r="H116" s="147">
        <v>46108</v>
      </c>
      <c r="I116" s="147">
        <v>46111</v>
      </c>
      <c r="J116" s="147" t="s">
        <v>113</v>
      </c>
      <c r="K116" s="149" t="s">
        <v>114</v>
      </c>
      <c r="L116" s="149" t="str">
        <f>VLOOKUP(Table1[[#This Row],[Qual seu Carro de Entrega]],Hierarquia!A:K,11,0)</f>
        <v>TD Curitiba</v>
      </c>
      <c r="M116" s="149" t="str">
        <f>VLOOKUP(U116,Hierarquia!A:K,6,0)</f>
        <v>FADEL</v>
      </c>
      <c r="N116" s="149" t="s">
        <v>113</v>
      </c>
      <c r="O116" s="149" t="s">
        <v>115</v>
      </c>
      <c r="P116" s="133">
        <v>485</v>
      </c>
      <c r="Q116" s="135">
        <v>46105</v>
      </c>
      <c r="R116" s="133" t="s">
        <v>116</v>
      </c>
      <c r="S116" s="135" t="s">
        <v>353</v>
      </c>
      <c r="T116" s="133" t="s">
        <v>26</v>
      </c>
      <c r="U116" s="133" t="s">
        <v>182</v>
      </c>
      <c r="V116" s="135">
        <v>46105</v>
      </c>
      <c r="W116" s="133">
        <v>1545798</v>
      </c>
      <c r="X116" s="133">
        <v>6876360518</v>
      </c>
      <c r="Y116" s="133" t="s">
        <v>34</v>
      </c>
      <c r="Z116" s="133" t="s">
        <v>381</v>
      </c>
      <c r="AF116" s="133">
        <v>10020926</v>
      </c>
      <c r="AG116" s="133" t="s">
        <v>121</v>
      </c>
      <c r="AI116" s="133" t="s">
        <v>381</v>
      </c>
    </row>
    <row r="117" spans="1:35" x14ac:dyDescent="0.2">
      <c r="A117" s="139">
        <f>Table1[[#This Row],[Qual a Numeração da Nota Fiscal com divergência ?]]</f>
        <v>1545865</v>
      </c>
      <c r="B117" s="146" t="s">
        <v>33</v>
      </c>
      <c r="C117" s="147" t="s">
        <v>111</v>
      </c>
      <c r="D117" s="147" t="s">
        <v>40</v>
      </c>
      <c r="E117" s="148">
        <f>WEEKNUM(Table1[[#This Row],[Dt da abertura]],1)</f>
        <v>13</v>
      </c>
      <c r="F117" s="147">
        <v>46105</v>
      </c>
      <c r="G117" s="147">
        <v>46105</v>
      </c>
      <c r="H117" s="147">
        <v>46108</v>
      </c>
      <c r="I117" s="147">
        <v>46111</v>
      </c>
      <c r="J117" s="147" t="s">
        <v>113</v>
      </c>
      <c r="K117" s="149" t="s">
        <v>114</v>
      </c>
      <c r="L117" s="149" t="str">
        <f>VLOOKUP(Table1[[#This Row],[Qual seu Carro de Entrega]],Hierarquia!A:K,11,0)</f>
        <v>TD Curitiba</v>
      </c>
      <c r="M117" s="149" t="str">
        <f>VLOOKUP(U117,Hierarquia!A:K,6,0)</f>
        <v>FADEL</v>
      </c>
      <c r="N117" s="149" t="s">
        <v>113</v>
      </c>
      <c r="O117" s="149" t="s">
        <v>115</v>
      </c>
      <c r="P117" s="133">
        <v>486</v>
      </c>
      <c r="Q117" s="135">
        <v>46105</v>
      </c>
      <c r="R117" s="133" t="s">
        <v>116</v>
      </c>
      <c r="S117" s="135" t="s">
        <v>353</v>
      </c>
      <c r="T117" s="133" t="s">
        <v>26</v>
      </c>
      <c r="U117" s="133" t="s">
        <v>182</v>
      </c>
      <c r="V117" s="135">
        <v>46105</v>
      </c>
      <c r="W117" s="133">
        <v>1545865</v>
      </c>
      <c r="X117" s="133">
        <v>6876361883</v>
      </c>
      <c r="Y117" s="133" t="s">
        <v>34</v>
      </c>
      <c r="Z117" s="133" t="s">
        <v>381</v>
      </c>
      <c r="AF117" s="133">
        <v>0</v>
      </c>
      <c r="AG117" s="133" t="s">
        <v>121</v>
      </c>
      <c r="AI117" s="133" t="s">
        <v>381</v>
      </c>
    </row>
    <row r="118" spans="1:35" x14ac:dyDescent="0.2">
      <c r="A118" s="139">
        <f>Table1[[#This Row],[Qual a Numeração da Nota Fiscal com divergência ?]]</f>
        <v>1546110</v>
      </c>
      <c r="B118" s="146" t="s">
        <v>33</v>
      </c>
      <c r="C118" s="147" t="s">
        <v>111</v>
      </c>
      <c r="D118" s="147" t="s">
        <v>40</v>
      </c>
      <c r="E118" s="148">
        <f>WEEKNUM(Table1[[#This Row],[Dt da abertura]],1)</f>
        <v>13</v>
      </c>
      <c r="F118" s="147">
        <v>46105</v>
      </c>
      <c r="G118" s="147">
        <v>46105</v>
      </c>
      <c r="H118" s="147">
        <v>46108</v>
      </c>
      <c r="I118" s="147">
        <v>46111</v>
      </c>
      <c r="J118" s="147" t="s">
        <v>113</v>
      </c>
      <c r="K118" s="149" t="s">
        <v>114</v>
      </c>
      <c r="L118" s="149" t="str">
        <f>VLOOKUP(Table1[[#This Row],[Qual seu Carro de Entrega]],Hierarquia!A:K,11,0)</f>
        <v>TD Curitiba</v>
      </c>
      <c r="M118" s="149" t="str">
        <f>VLOOKUP(U118,Hierarquia!A:K,6,0)</f>
        <v>FADEL</v>
      </c>
      <c r="N118" s="149" t="s">
        <v>113</v>
      </c>
      <c r="O118" s="149" t="s">
        <v>115</v>
      </c>
      <c r="P118" s="133">
        <v>487</v>
      </c>
      <c r="Q118" s="135">
        <v>46105</v>
      </c>
      <c r="R118" s="133" t="s">
        <v>116</v>
      </c>
      <c r="S118" s="135" t="s">
        <v>353</v>
      </c>
      <c r="T118" s="133" t="s">
        <v>26</v>
      </c>
      <c r="U118" s="133" t="s">
        <v>316</v>
      </c>
      <c r="V118" s="135">
        <v>46105</v>
      </c>
      <c r="W118" s="133">
        <v>1546110</v>
      </c>
      <c r="X118" s="133">
        <v>6876367963</v>
      </c>
      <c r="Y118" s="133" t="s">
        <v>34</v>
      </c>
      <c r="Z118" s="133" t="s">
        <v>381</v>
      </c>
      <c r="AF118" s="133">
        <v>0</v>
      </c>
      <c r="AG118" s="133" t="s">
        <v>121</v>
      </c>
      <c r="AI118" s="133" t="s">
        <v>381</v>
      </c>
    </row>
    <row r="119" spans="1:35" x14ac:dyDescent="0.2">
      <c r="A119" s="139">
        <f>Table1[[#This Row],[Qual a Numeração da Nota Fiscal com divergência ?]]</f>
        <v>1546335</v>
      </c>
      <c r="B119" s="146" t="s">
        <v>33</v>
      </c>
      <c r="C119" s="147" t="s">
        <v>111</v>
      </c>
      <c r="D119" s="147" t="s">
        <v>40</v>
      </c>
      <c r="E119" s="148">
        <f>WEEKNUM(Table1[[#This Row],[Dt da abertura]],1)</f>
        <v>13</v>
      </c>
      <c r="F119" s="147">
        <v>46105</v>
      </c>
      <c r="G119" s="147">
        <v>46105</v>
      </c>
      <c r="H119" s="147">
        <v>46108</v>
      </c>
      <c r="I119" s="147">
        <v>46111</v>
      </c>
      <c r="J119" s="147" t="s">
        <v>113</v>
      </c>
      <c r="K119" s="149" t="s">
        <v>114</v>
      </c>
      <c r="L119" s="149" t="str">
        <f>VLOOKUP(Table1[[#This Row],[Qual seu Carro de Entrega]],Hierarquia!A:K,11,0)</f>
        <v>TD Curitiba</v>
      </c>
      <c r="M119" s="149" t="str">
        <f>VLOOKUP(U119,Hierarquia!A:K,6,0)</f>
        <v>FADEL</v>
      </c>
      <c r="N119" s="149" t="s">
        <v>113</v>
      </c>
      <c r="O119" s="149" t="s">
        <v>115</v>
      </c>
      <c r="P119" s="133">
        <v>488</v>
      </c>
      <c r="Q119" s="135">
        <v>46105</v>
      </c>
      <c r="R119" s="133" t="s">
        <v>116</v>
      </c>
      <c r="S119" s="135" t="s">
        <v>353</v>
      </c>
      <c r="T119" s="133" t="s">
        <v>26</v>
      </c>
      <c r="U119" s="133" t="s">
        <v>316</v>
      </c>
      <c r="V119" s="135">
        <v>46105</v>
      </c>
      <c r="W119" s="133">
        <v>1546335</v>
      </c>
      <c r="X119" s="133">
        <v>6876358469</v>
      </c>
      <c r="Y119" s="133" t="s">
        <v>34</v>
      </c>
      <c r="Z119" s="133" t="s">
        <v>381</v>
      </c>
      <c r="AF119" s="133">
        <v>0</v>
      </c>
      <c r="AG119" s="133" t="s">
        <v>121</v>
      </c>
      <c r="AI119" s="133" t="s">
        <v>381</v>
      </c>
    </row>
    <row r="120" spans="1:35" x14ac:dyDescent="0.2">
      <c r="A120" s="139">
        <f>Table1[[#This Row],[Qual a Numeração da Nota Fiscal com divergência ?]]</f>
        <v>1545927</v>
      </c>
      <c r="B120" s="146" t="s">
        <v>33</v>
      </c>
      <c r="C120" s="147" t="s">
        <v>111</v>
      </c>
      <c r="D120" s="147" t="s">
        <v>40</v>
      </c>
      <c r="E120" s="148">
        <f>WEEKNUM(Table1[[#This Row],[Dt da abertura]],1)</f>
        <v>13</v>
      </c>
      <c r="F120" s="147">
        <v>46105</v>
      </c>
      <c r="G120" s="147">
        <v>46105</v>
      </c>
      <c r="H120" s="147">
        <v>46108</v>
      </c>
      <c r="I120" s="147">
        <v>46111</v>
      </c>
      <c r="J120" s="147" t="s">
        <v>113</v>
      </c>
      <c r="K120" s="149" t="s">
        <v>114</v>
      </c>
      <c r="L120" s="149" t="str">
        <f>VLOOKUP(Table1[[#This Row],[Qual seu Carro de Entrega]],Hierarquia!A:K,11,0)</f>
        <v>TD Curitiba</v>
      </c>
      <c r="M120" s="149" t="str">
        <f>VLOOKUP(U120,Hierarquia!A:K,6,0)</f>
        <v>FADEL</v>
      </c>
      <c r="N120" s="149" t="s">
        <v>113</v>
      </c>
      <c r="O120" s="149" t="s">
        <v>115</v>
      </c>
      <c r="P120" s="133">
        <v>489</v>
      </c>
      <c r="Q120" s="135">
        <v>46105</v>
      </c>
      <c r="R120" s="133" t="s">
        <v>116</v>
      </c>
      <c r="S120" s="135" t="s">
        <v>353</v>
      </c>
      <c r="T120" s="133" t="s">
        <v>26</v>
      </c>
      <c r="U120" s="133" t="s">
        <v>316</v>
      </c>
      <c r="V120" s="135">
        <v>46105</v>
      </c>
      <c r="W120" s="133">
        <v>1545927</v>
      </c>
      <c r="X120" s="133">
        <v>6876357632</v>
      </c>
      <c r="Y120" s="133" t="s">
        <v>34</v>
      </c>
      <c r="Z120" s="133" t="s">
        <v>381</v>
      </c>
      <c r="AF120" s="133">
        <v>0</v>
      </c>
      <c r="AG120" s="133" t="s">
        <v>121</v>
      </c>
      <c r="AI120" s="133" t="s">
        <v>381</v>
      </c>
    </row>
    <row r="121" spans="1:35" x14ac:dyDescent="0.2">
      <c r="A121" s="139">
        <f>Table1[[#This Row],[Qual a Numeração da Nota Fiscal com divergência ?]]</f>
        <v>1545835</v>
      </c>
      <c r="B121" s="146" t="s">
        <v>33</v>
      </c>
      <c r="C121" s="147" t="s">
        <v>111</v>
      </c>
      <c r="D121" s="147" t="s">
        <v>40</v>
      </c>
      <c r="E121" s="148">
        <f>WEEKNUM(Table1[[#This Row],[Dt da abertura]],1)</f>
        <v>13</v>
      </c>
      <c r="F121" s="147">
        <v>46105</v>
      </c>
      <c r="G121" s="147">
        <v>46105</v>
      </c>
      <c r="H121" s="147">
        <v>46108</v>
      </c>
      <c r="I121" s="147">
        <v>46111</v>
      </c>
      <c r="J121" s="147" t="s">
        <v>113</v>
      </c>
      <c r="K121" s="149" t="s">
        <v>114</v>
      </c>
      <c r="L121" s="149" t="str">
        <f>VLOOKUP(Table1[[#This Row],[Qual seu Carro de Entrega]],Hierarquia!A:K,11,0)</f>
        <v>TD Curitiba</v>
      </c>
      <c r="M121" s="149" t="str">
        <f>VLOOKUP(U121,Hierarquia!A:K,6,0)</f>
        <v>FADEL</v>
      </c>
      <c r="N121" s="149" t="s">
        <v>113</v>
      </c>
      <c r="O121" s="149" t="s">
        <v>115</v>
      </c>
      <c r="P121" s="133">
        <v>490</v>
      </c>
      <c r="Q121" s="135">
        <v>46105</v>
      </c>
      <c r="R121" s="133" t="s">
        <v>116</v>
      </c>
      <c r="S121" s="135" t="s">
        <v>353</v>
      </c>
      <c r="T121" s="133" t="s">
        <v>26</v>
      </c>
      <c r="U121" s="133" t="s">
        <v>316</v>
      </c>
      <c r="V121" s="135">
        <v>46105</v>
      </c>
      <c r="W121" s="133">
        <v>1545835</v>
      </c>
      <c r="X121" s="133">
        <v>6876356832</v>
      </c>
      <c r="Y121" s="133" t="s">
        <v>34</v>
      </c>
      <c r="Z121" s="133" t="s">
        <v>381</v>
      </c>
      <c r="AF121" s="133">
        <v>0</v>
      </c>
      <c r="AG121" s="133" t="s">
        <v>121</v>
      </c>
      <c r="AI121" s="133" t="s">
        <v>381</v>
      </c>
    </row>
    <row r="122" spans="1:35" x14ac:dyDescent="0.2">
      <c r="A122" s="139">
        <f>Table1[[#This Row],[Qual a Numeração da Nota Fiscal com divergência ?]]</f>
        <v>1546174</v>
      </c>
      <c r="B122" s="146" t="s">
        <v>33</v>
      </c>
      <c r="C122" s="147" t="s">
        <v>111</v>
      </c>
      <c r="D122" s="147" t="s">
        <v>40</v>
      </c>
      <c r="E122" s="148">
        <f>WEEKNUM(Table1[[#This Row],[Dt da abertura]],1)</f>
        <v>13</v>
      </c>
      <c r="F122" s="147">
        <v>46105</v>
      </c>
      <c r="G122" s="147">
        <v>46105</v>
      </c>
      <c r="H122" s="147">
        <v>46108</v>
      </c>
      <c r="I122" s="147">
        <v>46111</v>
      </c>
      <c r="J122" s="147" t="s">
        <v>113</v>
      </c>
      <c r="K122" s="149" t="s">
        <v>114</v>
      </c>
      <c r="L122" s="149" t="str">
        <f>VLOOKUP(Table1[[#This Row],[Qual seu Carro de Entrega]],Hierarquia!A:K,11,0)</f>
        <v>TD Curitiba</v>
      </c>
      <c r="M122" s="149" t="str">
        <f>VLOOKUP(U122,Hierarquia!A:K,6,0)</f>
        <v>FADEL</v>
      </c>
      <c r="N122" s="149" t="s">
        <v>113</v>
      </c>
      <c r="O122" s="149" t="s">
        <v>115</v>
      </c>
      <c r="P122" s="133">
        <v>491</v>
      </c>
      <c r="Q122" s="135">
        <v>46105</v>
      </c>
      <c r="R122" s="133" t="s">
        <v>116</v>
      </c>
      <c r="S122" s="135" t="s">
        <v>353</v>
      </c>
      <c r="T122" s="133" t="s">
        <v>26</v>
      </c>
      <c r="U122" s="133" t="s">
        <v>316</v>
      </c>
      <c r="V122" s="135">
        <v>46105</v>
      </c>
      <c r="W122" s="133">
        <v>1546174</v>
      </c>
      <c r="X122" s="133">
        <v>6876364344</v>
      </c>
      <c r="Y122" s="133" t="s">
        <v>34</v>
      </c>
      <c r="Z122" s="133" t="s">
        <v>382</v>
      </c>
      <c r="AF122" s="133">
        <v>0</v>
      </c>
      <c r="AG122" s="133" t="s">
        <v>121</v>
      </c>
      <c r="AI122" s="133" t="s">
        <v>382</v>
      </c>
    </row>
    <row r="123" spans="1:35" x14ac:dyDescent="0.2">
      <c r="A123" s="139">
        <f>Table1[[#This Row],[Qual a Numeração da Nota Fiscal com divergência ?]]</f>
        <v>1546126</v>
      </c>
      <c r="B123" s="146" t="s">
        <v>33</v>
      </c>
      <c r="C123" s="147" t="s">
        <v>111</v>
      </c>
      <c r="D123" s="147" t="s">
        <v>40</v>
      </c>
      <c r="E123" s="148">
        <f>WEEKNUM(Table1[[#This Row],[Dt da abertura]],1)</f>
        <v>13</v>
      </c>
      <c r="F123" s="147">
        <v>46105</v>
      </c>
      <c r="G123" s="147">
        <v>46105</v>
      </c>
      <c r="H123" s="147">
        <v>46108</v>
      </c>
      <c r="I123" s="147">
        <v>46111</v>
      </c>
      <c r="J123" s="147" t="s">
        <v>113</v>
      </c>
      <c r="K123" s="149" t="s">
        <v>114</v>
      </c>
      <c r="L123" s="149" t="str">
        <f>VLOOKUP(Table1[[#This Row],[Qual seu Carro de Entrega]],Hierarquia!A:K,11,0)</f>
        <v>TD Curitiba</v>
      </c>
      <c r="M123" s="149" t="str">
        <f>VLOOKUP(U123,Hierarquia!A:K,6,0)</f>
        <v>FADEL</v>
      </c>
      <c r="N123" s="149" t="s">
        <v>113</v>
      </c>
      <c r="O123" s="149" t="s">
        <v>115</v>
      </c>
      <c r="P123" s="133">
        <v>492</v>
      </c>
      <c r="Q123" s="135">
        <v>46105</v>
      </c>
      <c r="R123" s="133" t="s">
        <v>116</v>
      </c>
      <c r="S123" s="135" t="s">
        <v>353</v>
      </c>
      <c r="T123" s="133" t="s">
        <v>26</v>
      </c>
      <c r="U123" s="133" t="s">
        <v>316</v>
      </c>
      <c r="V123" s="135">
        <v>46105</v>
      </c>
      <c r="W123" s="133">
        <v>1546126</v>
      </c>
      <c r="X123" s="133">
        <v>6876353065</v>
      </c>
      <c r="Y123" s="133" t="s">
        <v>34</v>
      </c>
      <c r="Z123" s="133" t="s">
        <v>381</v>
      </c>
      <c r="AF123" s="133">
        <v>0</v>
      </c>
      <c r="AG123" s="133" t="s">
        <v>121</v>
      </c>
      <c r="AI123" s="133" t="s">
        <v>381</v>
      </c>
    </row>
    <row r="124" spans="1:35" x14ac:dyDescent="0.2">
      <c r="A124" s="139">
        <f>Table1[[#This Row],[Qual a Numeração da Nota Fiscal com divergência ?]]</f>
        <v>1546104</v>
      </c>
      <c r="B124" s="146" t="s">
        <v>33</v>
      </c>
      <c r="C124" s="147" t="s">
        <v>111</v>
      </c>
      <c r="D124" s="147" t="s">
        <v>40</v>
      </c>
      <c r="E124" s="148">
        <f>WEEKNUM(Table1[[#This Row],[Dt da abertura]],1)</f>
        <v>13</v>
      </c>
      <c r="F124" s="147">
        <v>46105</v>
      </c>
      <c r="G124" s="147">
        <v>46105</v>
      </c>
      <c r="H124" s="147">
        <v>46108</v>
      </c>
      <c r="I124" s="147">
        <v>46111</v>
      </c>
      <c r="J124" s="147" t="s">
        <v>113</v>
      </c>
      <c r="K124" s="149" t="s">
        <v>114</v>
      </c>
      <c r="L124" s="149" t="str">
        <f>VLOOKUP(Table1[[#This Row],[Qual seu Carro de Entrega]],Hierarquia!A:K,11,0)</f>
        <v>TD Curitiba</v>
      </c>
      <c r="M124" s="149" t="str">
        <f>VLOOKUP(U124,Hierarquia!A:K,6,0)</f>
        <v>FADEL</v>
      </c>
      <c r="N124" s="149" t="s">
        <v>113</v>
      </c>
      <c r="O124" s="149" t="s">
        <v>115</v>
      </c>
      <c r="P124" s="133">
        <v>493</v>
      </c>
      <c r="Q124" s="135">
        <v>46105</v>
      </c>
      <c r="R124" s="133" t="s">
        <v>116</v>
      </c>
      <c r="S124" s="135" t="s">
        <v>353</v>
      </c>
      <c r="T124" s="133" t="s">
        <v>26</v>
      </c>
      <c r="U124" s="133" t="s">
        <v>316</v>
      </c>
      <c r="V124" s="135">
        <v>46105</v>
      </c>
      <c r="W124" s="133">
        <v>1546104</v>
      </c>
      <c r="X124" s="133">
        <v>6876367674</v>
      </c>
      <c r="Y124" s="133" t="s">
        <v>34</v>
      </c>
      <c r="Z124" s="133" t="s">
        <v>381</v>
      </c>
      <c r="AF124" s="133">
        <v>0</v>
      </c>
      <c r="AG124" s="133" t="s">
        <v>121</v>
      </c>
      <c r="AI124" s="133" t="s">
        <v>381</v>
      </c>
    </row>
    <row r="125" spans="1:35" x14ac:dyDescent="0.2">
      <c r="A125" s="139">
        <f>Table1[[#This Row],[Qual a Numeração da Nota Fiscal com divergência ?]]</f>
        <v>1546322</v>
      </c>
      <c r="B125" s="146" t="s">
        <v>33</v>
      </c>
      <c r="C125" s="147" t="s">
        <v>111</v>
      </c>
      <c r="D125" s="147" t="s">
        <v>40</v>
      </c>
      <c r="E125" s="148">
        <f>WEEKNUM(Table1[[#This Row],[Dt da abertura]],1)</f>
        <v>13</v>
      </c>
      <c r="F125" s="147">
        <v>46105</v>
      </c>
      <c r="G125" s="147">
        <v>46105</v>
      </c>
      <c r="H125" s="147">
        <v>46108</v>
      </c>
      <c r="I125" s="147">
        <v>46111</v>
      </c>
      <c r="J125" s="147" t="s">
        <v>113</v>
      </c>
      <c r="K125" s="149" t="s">
        <v>114</v>
      </c>
      <c r="L125" s="149" t="str">
        <f>VLOOKUP(Table1[[#This Row],[Qual seu Carro de Entrega]],Hierarquia!A:K,11,0)</f>
        <v>TD Curitiba</v>
      </c>
      <c r="M125" s="149" t="str">
        <f>VLOOKUP(U125,Hierarquia!A:K,6,0)</f>
        <v>FADEL</v>
      </c>
      <c r="N125" s="149" t="s">
        <v>113</v>
      </c>
      <c r="O125" s="149" t="s">
        <v>115</v>
      </c>
      <c r="P125" s="133">
        <v>494</v>
      </c>
      <c r="Q125" s="135">
        <v>46105</v>
      </c>
      <c r="R125" s="133" t="s">
        <v>116</v>
      </c>
      <c r="S125" s="135" t="s">
        <v>353</v>
      </c>
      <c r="T125" s="133" t="s">
        <v>26</v>
      </c>
      <c r="U125" s="133" t="s">
        <v>316</v>
      </c>
      <c r="V125" s="135">
        <v>46105</v>
      </c>
      <c r="W125" s="133">
        <v>1546322</v>
      </c>
      <c r="X125" s="133">
        <v>6876351377</v>
      </c>
      <c r="Y125" s="133" t="s">
        <v>34</v>
      </c>
      <c r="Z125" s="133" t="s">
        <v>381</v>
      </c>
      <c r="AF125" s="133">
        <v>0</v>
      </c>
      <c r="AG125" s="133" t="s">
        <v>121</v>
      </c>
      <c r="AI125" s="133" t="s">
        <v>381</v>
      </c>
    </row>
    <row r="126" spans="1:35" x14ac:dyDescent="0.2">
      <c r="A126" s="139">
        <f>Table1[[#This Row],[Qual a Numeração da Nota Fiscal com divergência ?]]</f>
        <v>1545827</v>
      </c>
      <c r="B126" s="146" t="s">
        <v>33</v>
      </c>
      <c r="C126" s="147" t="s">
        <v>111</v>
      </c>
      <c r="D126" s="147" t="s">
        <v>40</v>
      </c>
      <c r="E126" s="148">
        <f>WEEKNUM(Table1[[#This Row],[Dt da abertura]],1)</f>
        <v>13</v>
      </c>
      <c r="F126" s="147">
        <v>46105</v>
      </c>
      <c r="G126" s="147">
        <v>46105</v>
      </c>
      <c r="H126" s="147">
        <v>46108</v>
      </c>
      <c r="I126" s="147">
        <v>46111</v>
      </c>
      <c r="J126" s="147" t="s">
        <v>113</v>
      </c>
      <c r="K126" s="149" t="s">
        <v>114</v>
      </c>
      <c r="L126" s="149" t="str">
        <f>VLOOKUP(Table1[[#This Row],[Qual seu Carro de Entrega]],Hierarquia!A:K,11,0)</f>
        <v>TD Curitiba</v>
      </c>
      <c r="M126" s="149" t="str">
        <f>VLOOKUP(U126,Hierarquia!A:K,6,0)</f>
        <v>FADEL</v>
      </c>
      <c r="N126" s="149" t="s">
        <v>113</v>
      </c>
      <c r="O126" s="149" t="s">
        <v>115</v>
      </c>
      <c r="P126" s="133">
        <v>495</v>
      </c>
      <c r="Q126" s="135">
        <v>46105</v>
      </c>
      <c r="R126" s="133" t="s">
        <v>116</v>
      </c>
      <c r="S126" s="135" t="s">
        <v>353</v>
      </c>
      <c r="T126" s="133" t="s">
        <v>26</v>
      </c>
      <c r="U126" s="133" t="s">
        <v>316</v>
      </c>
      <c r="V126" s="135">
        <v>46105</v>
      </c>
      <c r="W126" s="133">
        <v>1545827</v>
      </c>
      <c r="X126" s="133">
        <v>6876365181</v>
      </c>
      <c r="Y126" s="133" t="s">
        <v>34</v>
      </c>
      <c r="Z126" s="133" t="s">
        <v>381</v>
      </c>
      <c r="AF126" s="133">
        <v>0</v>
      </c>
      <c r="AG126" s="133" t="s">
        <v>121</v>
      </c>
      <c r="AI126" s="133" t="s">
        <v>382</v>
      </c>
    </row>
    <row r="127" spans="1:35" x14ac:dyDescent="0.2">
      <c r="A127" s="139">
        <f>Table1[[#This Row],[Qual a Numeração da Nota Fiscal com divergência ?]]</f>
        <v>1545973</v>
      </c>
      <c r="B127" s="146" t="s">
        <v>33</v>
      </c>
      <c r="C127" s="147" t="s">
        <v>111</v>
      </c>
      <c r="D127" s="147" t="s">
        <v>40</v>
      </c>
      <c r="E127" s="148">
        <f>WEEKNUM(Table1[[#This Row],[Dt da abertura]],1)</f>
        <v>13</v>
      </c>
      <c r="F127" s="147">
        <v>46105</v>
      </c>
      <c r="G127" s="147">
        <v>46105</v>
      </c>
      <c r="H127" s="147">
        <v>46108</v>
      </c>
      <c r="I127" s="147">
        <v>46111</v>
      </c>
      <c r="J127" s="147" t="s">
        <v>113</v>
      </c>
      <c r="K127" s="149" t="s">
        <v>114</v>
      </c>
      <c r="L127" s="149" t="str">
        <f>VLOOKUP(Table1[[#This Row],[Qual seu Carro de Entrega]],Hierarquia!A:K,11,0)</f>
        <v>TD Curitiba</v>
      </c>
      <c r="M127" s="149" t="str">
        <f>VLOOKUP(U127,Hierarquia!A:K,6,0)</f>
        <v>FADEL</v>
      </c>
      <c r="N127" s="149" t="s">
        <v>113</v>
      </c>
      <c r="O127" s="149" t="s">
        <v>115</v>
      </c>
      <c r="P127" s="133">
        <v>496</v>
      </c>
      <c r="Q127" s="135">
        <v>46105</v>
      </c>
      <c r="R127" s="133" t="s">
        <v>116</v>
      </c>
      <c r="S127" s="135" t="s">
        <v>353</v>
      </c>
      <c r="T127" s="133" t="s">
        <v>26</v>
      </c>
      <c r="U127" s="133" t="s">
        <v>182</v>
      </c>
      <c r="V127" s="135">
        <v>46105</v>
      </c>
      <c r="W127" s="133">
        <v>1545973</v>
      </c>
      <c r="X127" s="133">
        <v>6876341788</v>
      </c>
      <c r="Y127" s="133" t="s">
        <v>34</v>
      </c>
      <c r="Z127" s="133" t="s">
        <v>381</v>
      </c>
      <c r="AF127" s="133">
        <v>10020885</v>
      </c>
      <c r="AG127" s="133" t="s">
        <v>131</v>
      </c>
      <c r="AI127" s="133" t="s">
        <v>381</v>
      </c>
    </row>
    <row r="128" spans="1:35" x14ac:dyDescent="0.2">
      <c r="A128" s="139">
        <f>Table1[[#This Row],[Qual a Numeração da Nota Fiscal com divergência ?]]</f>
        <v>1547823</v>
      </c>
      <c r="B128" s="146" t="s">
        <v>33</v>
      </c>
      <c r="C128" s="147" t="s">
        <v>111</v>
      </c>
      <c r="D128" s="147" t="s">
        <v>40</v>
      </c>
      <c r="E128" s="148">
        <f>WEEKNUM(Table1[[#This Row],[Dt da abertura]],1)</f>
        <v>13</v>
      </c>
      <c r="F128" s="147">
        <v>46108</v>
      </c>
      <c r="G128" s="147">
        <v>46108</v>
      </c>
      <c r="H128" s="147">
        <v>46113</v>
      </c>
      <c r="I128" s="147">
        <v>46120</v>
      </c>
      <c r="J128" s="147" t="s">
        <v>113</v>
      </c>
      <c r="K128" s="149" t="s">
        <v>114</v>
      </c>
      <c r="L128" s="149" t="s">
        <v>11</v>
      </c>
      <c r="M128" s="149" t="str">
        <f>VLOOKUP(U128,Hierarquia!A:K,6,0)</f>
        <v>FADEL</v>
      </c>
      <c r="N128" s="149" t="s">
        <v>113</v>
      </c>
      <c r="O128" s="149" t="s">
        <v>115</v>
      </c>
      <c r="P128" s="133">
        <v>497</v>
      </c>
      <c r="Q128" s="135">
        <v>46108</v>
      </c>
      <c r="R128" s="133" t="s">
        <v>116</v>
      </c>
      <c r="S128" s="135" t="s">
        <v>334</v>
      </c>
      <c r="T128" s="133" t="s">
        <v>26</v>
      </c>
      <c r="U128" s="133" t="s">
        <v>349</v>
      </c>
      <c r="V128" s="135">
        <v>46108</v>
      </c>
      <c r="W128" s="133">
        <v>1547823</v>
      </c>
      <c r="X128" s="133">
        <v>6876384119</v>
      </c>
      <c r="Y128" s="133" t="s">
        <v>35</v>
      </c>
      <c r="Z128" s="133" t="s">
        <v>383</v>
      </c>
      <c r="AF128" s="133">
        <v>10059858</v>
      </c>
      <c r="AG128" s="133" t="s">
        <v>121</v>
      </c>
      <c r="AI128" s="133" t="s">
        <v>383</v>
      </c>
    </row>
    <row r="129" spans="1:35" x14ac:dyDescent="0.2">
      <c r="A129" s="139">
        <f>Table1[[#This Row],[Qual a Numeração da Nota Fiscal com divergência ?]]</f>
        <v>1547815</v>
      </c>
      <c r="B129" s="146" t="s">
        <v>33</v>
      </c>
      <c r="C129" s="147" t="s">
        <v>111</v>
      </c>
      <c r="D129" s="147" t="s">
        <v>40</v>
      </c>
      <c r="E129" s="148">
        <f>WEEKNUM(Table1[[#This Row],[Dt da abertura]],1)</f>
        <v>13</v>
      </c>
      <c r="F129" s="147">
        <v>46108</v>
      </c>
      <c r="G129" s="147">
        <v>46108</v>
      </c>
      <c r="H129" s="147">
        <v>46113</v>
      </c>
      <c r="I129" s="147">
        <v>46120</v>
      </c>
      <c r="J129" s="147" t="s">
        <v>113</v>
      </c>
      <c r="K129" s="149" t="s">
        <v>114</v>
      </c>
      <c r="L129" s="149" t="s">
        <v>11</v>
      </c>
      <c r="M129" s="149" t="str">
        <f>VLOOKUP(U129,Hierarquia!A:K,6,0)</f>
        <v>FADEL</v>
      </c>
      <c r="N129" s="149" t="s">
        <v>113</v>
      </c>
      <c r="O129" s="149" t="s">
        <v>115</v>
      </c>
      <c r="P129" s="133">
        <v>498</v>
      </c>
      <c r="Q129" s="135">
        <v>46108</v>
      </c>
      <c r="R129" s="133" t="s">
        <v>116</v>
      </c>
      <c r="S129" s="135" t="s">
        <v>353</v>
      </c>
      <c r="T129" s="133" t="s">
        <v>26</v>
      </c>
      <c r="U129" s="133" t="s">
        <v>179</v>
      </c>
      <c r="V129" s="135">
        <v>46108</v>
      </c>
      <c r="W129" s="133">
        <v>1547815</v>
      </c>
      <c r="X129" s="133">
        <v>6876362935</v>
      </c>
      <c r="Y129" s="133" t="s">
        <v>35</v>
      </c>
      <c r="Z129" s="133" t="s">
        <v>384</v>
      </c>
      <c r="AF129" s="133">
        <v>10057894</v>
      </c>
      <c r="AG129" s="133" t="s">
        <v>121</v>
      </c>
      <c r="AI129" s="133" t="s">
        <v>384</v>
      </c>
    </row>
    <row r="130" spans="1:35" ht="15.75" hidden="1" x14ac:dyDescent="0.25">
      <c r="A130" s="139">
        <f>Table1[[#This Row],[Qual a Numeração da Nota Fiscal com divergência ?]]</f>
        <v>1547796</v>
      </c>
      <c r="B130" s="146" t="s">
        <v>33</v>
      </c>
      <c r="C130" s="147" t="s">
        <v>111</v>
      </c>
      <c r="D130" s="147" t="s">
        <v>40</v>
      </c>
      <c r="E130" s="148">
        <f>WEEKNUM(Table1[[#This Row],[Dt da abertura]],1)</f>
        <v>14</v>
      </c>
      <c r="F130" s="147">
        <v>46111</v>
      </c>
      <c r="G130" s="147">
        <v>46111</v>
      </c>
      <c r="H130" s="147">
        <v>46113</v>
      </c>
      <c r="I130" s="147">
        <v>46120</v>
      </c>
      <c r="J130" s="147" t="s">
        <v>113</v>
      </c>
      <c r="K130" s="149" t="s">
        <v>114</v>
      </c>
      <c r="L130" s="149" t="s">
        <v>13</v>
      </c>
      <c r="M130" s="149" t="str">
        <f>VLOOKUP(U130,Hierarquia!A:K,6,0)</f>
        <v>BAT</v>
      </c>
      <c r="N130" s="149" t="s">
        <v>113</v>
      </c>
      <c r="O130" s="149" t="s">
        <v>115</v>
      </c>
      <c r="P130" s="133">
        <v>499</v>
      </c>
      <c r="Q130" s="135">
        <v>46111</v>
      </c>
      <c r="R130" s="133" t="s">
        <v>116</v>
      </c>
      <c r="S130" s="151" t="s">
        <v>230</v>
      </c>
      <c r="T130" s="133" t="s">
        <v>28</v>
      </c>
      <c r="U130" s="133" t="s">
        <v>239</v>
      </c>
      <c r="V130" s="135">
        <v>46111</v>
      </c>
      <c r="W130" s="133">
        <v>1547796</v>
      </c>
      <c r="X130" s="133">
        <v>6876375547</v>
      </c>
      <c r="Y130" s="133" t="s">
        <v>35</v>
      </c>
      <c r="Z130" s="133" t="s">
        <v>385</v>
      </c>
      <c r="AF130" s="133" t="s">
        <v>386</v>
      </c>
      <c r="AG130" s="133" t="s">
        <v>131</v>
      </c>
      <c r="AI130" s="133" t="s">
        <v>35</v>
      </c>
    </row>
    <row r="131" spans="1:35" hidden="1" x14ac:dyDescent="0.2">
      <c r="A131" s="139">
        <f>Table1[[#This Row],[Qual a Numeração da Nota Fiscal com divergência ?]]</f>
        <v>1545706</v>
      </c>
      <c r="B131" s="146" t="s">
        <v>33</v>
      </c>
      <c r="C131" s="147" t="s">
        <v>111</v>
      </c>
      <c r="D131" s="147" t="s">
        <v>40</v>
      </c>
      <c r="E131" s="148">
        <f>WEEKNUM(Table1[[#This Row],[Dt da abertura]],1)</f>
        <v>14</v>
      </c>
      <c r="F131" s="147">
        <v>46111</v>
      </c>
      <c r="G131" s="147">
        <v>46111</v>
      </c>
      <c r="H131" s="147">
        <v>46113</v>
      </c>
      <c r="I131" s="147">
        <v>46120</v>
      </c>
      <c r="J131" s="147" t="s">
        <v>113</v>
      </c>
      <c r="K131" s="149" t="s">
        <v>114</v>
      </c>
      <c r="L131" s="149" t="s">
        <v>13</v>
      </c>
      <c r="M131" s="149" t="str">
        <f>VLOOKUP(U131,Hierarquia!A:K,6,0)</f>
        <v>BAT</v>
      </c>
      <c r="N131" s="149" t="s">
        <v>113</v>
      </c>
      <c r="O131" s="149" t="s">
        <v>115</v>
      </c>
      <c r="P131" s="133">
        <v>500</v>
      </c>
      <c r="Q131" s="135">
        <v>46111</v>
      </c>
      <c r="R131" s="133" t="s">
        <v>116</v>
      </c>
      <c r="S131" s="135" t="s">
        <v>387</v>
      </c>
      <c r="T131" s="133" t="s">
        <v>28</v>
      </c>
      <c r="U131" s="133" t="s">
        <v>239</v>
      </c>
      <c r="V131" s="135">
        <v>46106</v>
      </c>
      <c r="W131" s="133">
        <v>1545706</v>
      </c>
      <c r="X131" s="133">
        <v>6876358736</v>
      </c>
      <c r="Y131" s="133" t="s">
        <v>35</v>
      </c>
      <c r="Z131" s="133" t="s">
        <v>388</v>
      </c>
      <c r="AF131" s="133" t="s">
        <v>389</v>
      </c>
      <c r="AG131" s="133" t="s">
        <v>131</v>
      </c>
      <c r="AI131" s="133" t="s">
        <v>390</v>
      </c>
    </row>
    <row r="132" spans="1:35" x14ac:dyDescent="0.2">
      <c r="A132" s="139">
        <f>Table1[[#This Row],[Qual a Numeração da Nota Fiscal com divergência ?]]</f>
        <v>1549104</v>
      </c>
      <c r="B132" s="146" t="s">
        <v>33</v>
      </c>
      <c r="C132" s="147" t="s">
        <v>111</v>
      </c>
      <c r="D132" s="147" t="s">
        <v>40</v>
      </c>
      <c r="E132" s="148">
        <f>WEEKNUM(Table1[[#This Row],[Dt da abertura]],1)</f>
        <v>14</v>
      </c>
      <c r="F132" s="147">
        <v>46118</v>
      </c>
      <c r="G132" s="147">
        <v>46112</v>
      </c>
      <c r="H132" s="147">
        <v>46117</v>
      </c>
      <c r="I132" s="147">
        <v>46120</v>
      </c>
      <c r="J132" s="147"/>
      <c r="K132" s="149" t="s">
        <v>114</v>
      </c>
      <c r="L132" s="149" t="s">
        <v>11</v>
      </c>
      <c r="M132" s="149" t="str">
        <f>VLOOKUP(U132,Hierarquia!A:K,6,0)</f>
        <v>FADEL</v>
      </c>
      <c r="N132" s="149"/>
      <c r="O132" s="149" t="s">
        <v>115</v>
      </c>
      <c r="P132" s="133">
        <v>501</v>
      </c>
      <c r="Q132" s="135">
        <v>46112</v>
      </c>
      <c r="R132" s="133" t="s">
        <v>116</v>
      </c>
      <c r="S132" s="135" t="s">
        <v>334</v>
      </c>
      <c r="T132" s="133" t="s">
        <v>26</v>
      </c>
      <c r="U132" s="133" t="s">
        <v>391</v>
      </c>
      <c r="V132" s="135" t="s">
        <v>392</v>
      </c>
      <c r="W132" s="133">
        <v>1549104</v>
      </c>
      <c r="X132" s="133">
        <v>6876495922</v>
      </c>
      <c r="Y132" s="133" t="s">
        <v>35</v>
      </c>
      <c r="Z132" s="133" t="s">
        <v>393</v>
      </c>
      <c r="AF132" s="133" t="s">
        <v>140</v>
      </c>
      <c r="AG132" s="133" t="s">
        <v>131</v>
      </c>
      <c r="AI132" s="133" t="s">
        <v>35</v>
      </c>
    </row>
    <row r="133" spans="1:35" x14ac:dyDescent="0.2">
      <c r="A133" s="139">
        <f>Table1[[#This Row],[Qual a Numeração da Nota Fiscal com divergência ?]]</f>
        <v>1549258</v>
      </c>
      <c r="B133" s="146" t="s">
        <v>33</v>
      </c>
      <c r="C133" s="147" t="s">
        <v>111</v>
      </c>
      <c r="D133" s="147" t="s">
        <v>40</v>
      </c>
      <c r="E133" s="148">
        <f>WEEKNUM(Table1[[#This Row],[Dt da abertura]],1)</f>
        <v>14</v>
      </c>
      <c r="F133" s="147">
        <v>46118</v>
      </c>
      <c r="G133" s="147">
        <v>46112</v>
      </c>
      <c r="H133" s="147">
        <v>46117</v>
      </c>
      <c r="I133" s="147">
        <v>46120</v>
      </c>
      <c r="J133" s="147"/>
      <c r="K133" s="149" t="s">
        <v>114</v>
      </c>
      <c r="L133" s="149" t="s">
        <v>11</v>
      </c>
      <c r="M133" s="149" t="str">
        <f>VLOOKUP(U133,Hierarquia!A:K,6,0)</f>
        <v>FADEL</v>
      </c>
      <c r="N133" s="149"/>
      <c r="O133" s="149" t="s">
        <v>115</v>
      </c>
      <c r="P133" s="133">
        <v>502</v>
      </c>
      <c r="Q133" s="135">
        <v>46112</v>
      </c>
      <c r="R133" s="133" t="s">
        <v>116</v>
      </c>
      <c r="S133" s="135" t="s">
        <v>334</v>
      </c>
      <c r="T133" s="133" t="s">
        <v>26</v>
      </c>
      <c r="U133" s="133" t="s">
        <v>215</v>
      </c>
      <c r="V133" s="135" t="s">
        <v>392</v>
      </c>
      <c r="W133" s="133">
        <v>1549258</v>
      </c>
      <c r="X133" s="133">
        <v>6876492257</v>
      </c>
      <c r="Y133" s="133" t="s">
        <v>35</v>
      </c>
      <c r="Z133" s="133" t="s">
        <v>394</v>
      </c>
      <c r="AF133" s="133" t="s">
        <v>140</v>
      </c>
      <c r="AG133" s="133" t="s">
        <v>131</v>
      </c>
      <c r="AI133" s="133" t="s">
        <v>35</v>
      </c>
    </row>
    <row r="134" spans="1:35" hidden="1" x14ac:dyDescent="0.2">
      <c r="A134" s="139">
        <f>Table1[[#This Row],[Qual a Numeração da Nota Fiscal com divergência ?]]</f>
        <v>1548700</v>
      </c>
      <c r="B134" s="146" t="s">
        <v>33</v>
      </c>
      <c r="C134" s="147" t="s">
        <v>111</v>
      </c>
      <c r="D134" s="147" t="s">
        <v>40</v>
      </c>
      <c r="E134" s="148">
        <f>WEEKNUM(Table1[[#This Row],[Dt da abertura]],1)</f>
        <v>14</v>
      </c>
      <c r="F134" s="147">
        <v>46118</v>
      </c>
      <c r="G134" s="147">
        <v>46112</v>
      </c>
      <c r="H134" s="147">
        <v>46117</v>
      </c>
      <c r="I134" s="147">
        <v>46120</v>
      </c>
      <c r="J134" s="147"/>
      <c r="K134" s="149" t="s">
        <v>114</v>
      </c>
      <c r="L134" s="149" t="s">
        <v>15</v>
      </c>
      <c r="M134" s="149" t="str">
        <f>VLOOKUP(U134,Hierarquia!A:K,6,0)</f>
        <v>BAT</v>
      </c>
      <c r="N134" s="149"/>
      <c r="O134" s="149" t="s">
        <v>115</v>
      </c>
      <c r="P134" s="133">
        <v>503</v>
      </c>
      <c r="Q134" s="135">
        <v>46112</v>
      </c>
      <c r="R134" s="133" t="s">
        <v>116</v>
      </c>
      <c r="S134" s="133" t="s">
        <v>137</v>
      </c>
      <c r="T134" s="133" t="s">
        <v>28</v>
      </c>
      <c r="U134" s="133" t="s">
        <v>138</v>
      </c>
      <c r="V134" s="135" t="s">
        <v>392</v>
      </c>
      <c r="W134" s="133">
        <v>1548700</v>
      </c>
      <c r="X134" s="133">
        <v>6876463611</v>
      </c>
      <c r="Y134" s="133" t="s">
        <v>35</v>
      </c>
      <c r="Z134" s="133" t="s">
        <v>395</v>
      </c>
      <c r="AF134" s="133" t="s">
        <v>140</v>
      </c>
      <c r="AG134" s="133" t="s">
        <v>131</v>
      </c>
      <c r="AI134" s="133" t="s">
        <v>35</v>
      </c>
    </row>
    <row r="135" spans="1:35" x14ac:dyDescent="0.2">
      <c r="A135" s="139">
        <f>Table1[[#This Row],[Qual a Numeração da Nota Fiscal com divergência ?]]</f>
        <v>1549071</v>
      </c>
      <c r="B135" s="146" t="s">
        <v>33</v>
      </c>
      <c r="C135" s="147" t="s">
        <v>111</v>
      </c>
      <c r="D135" s="147" t="s">
        <v>40</v>
      </c>
      <c r="E135" s="148">
        <f>WEEKNUM(Table1[[#This Row],[Dt da abertura]],1)</f>
        <v>14</v>
      </c>
      <c r="F135" s="147">
        <v>46118</v>
      </c>
      <c r="G135" s="147">
        <v>46112</v>
      </c>
      <c r="H135" s="147">
        <v>46117</v>
      </c>
      <c r="I135" s="147">
        <v>46120</v>
      </c>
      <c r="J135" s="147"/>
      <c r="K135" s="149" t="s">
        <v>114</v>
      </c>
      <c r="L135" s="149" t="s">
        <v>11</v>
      </c>
      <c r="M135" s="149" t="str">
        <f>VLOOKUP(U135,Hierarquia!A:K,6,0)</f>
        <v>FADEL</v>
      </c>
      <c r="N135" s="149"/>
      <c r="O135" s="149" t="s">
        <v>115</v>
      </c>
      <c r="P135" s="133">
        <v>504</v>
      </c>
      <c r="Q135" s="135">
        <v>46112</v>
      </c>
      <c r="R135" s="133" t="s">
        <v>116</v>
      </c>
      <c r="S135" s="135" t="s">
        <v>133</v>
      </c>
      <c r="T135" s="133" t="s">
        <v>26</v>
      </c>
      <c r="U135" s="133" t="s">
        <v>182</v>
      </c>
      <c r="V135" s="135" t="s">
        <v>392</v>
      </c>
      <c r="W135" s="133">
        <v>1549071</v>
      </c>
      <c r="X135" s="133">
        <v>6876488348</v>
      </c>
      <c r="Y135" s="133" t="s">
        <v>35</v>
      </c>
      <c r="Z135" s="133" t="s">
        <v>396</v>
      </c>
      <c r="AF135" s="133" t="s">
        <v>140</v>
      </c>
      <c r="AG135" s="133" t="s">
        <v>131</v>
      </c>
      <c r="AI135" s="133" t="s">
        <v>35</v>
      </c>
    </row>
    <row r="136" spans="1:35" x14ac:dyDescent="0.2">
      <c r="A136" s="139">
        <f>Table1[[#This Row],[Qual a Numeração da Nota Fiscal com divergência ?]]</f>
        <v>1547823</v>
      </c>
      <c r="B136" s="146" t="s">
        <v>145</v>
      </c>
      <c r="C136" s="147" t="s">
        <v>111</v>
      </c>
      <c r="D136" s="147" t="s">
        <v>40</v>
      </c>
      <c r="E136" s="148">
        <f>WEEKNUM(Table1[[#This Row],[Dt da abertura]],1)</f>
        <v>13</v>
      </c>
      <c r="F136" s="147">
        <v>46118</v>
      </c>
      <c r="G136" s="147">
        <v>46108</v>
      </c>
      <c r="H136" s="147">
        <v>46113</v>
      </c>
      <c r="I136" s="147">
        <v>46120</v>
      </c>
      <c r="J136" s="147"/>
      <c r="K136" s="149" t="s">
        <v>114</v>
      </c>
      <c r="L136" s="149" t="s">
        <v>11</v>
      </c>
      <c r="M136" s="149" t="str">
        <f>VLOOKUP(U136,Hierarquia!A:K,6,0)</f>
        <v>FADEL</v>
      </c>
      <c r="N136" s="149"/>
      <c r="O136" s="149" t="s">
        <v>115</v>
      </c>
      <c r="P136" s="133">
        <v>505</v>
      </c>
      <c r="Q136" s="135">
        <v>46108</v>
      </c>
      <c r="R136" s="133" t="s">
        <v>116</v>
      </c>
      <c r="S136" s="135" t="s">
        <v>133</v>
      </c>
      <c r="T136" s="133" t="s">
        <v>26</v>
      </c>
      <c r="U136" s="133" t="s">
        <v>349</v>
      </c>
      <c r="V136" s="135" t="s">
        <v>397</v>
      </c>
      <c r="W136" s="133">
        <v>1547823</v>
      </c>
      <c r="X136" s="133">
        <v>6876384119</v>
      </c>
      <c r="Y136" s="133" t="s">
        <v>35</v>
      </c>
      <c r="Z136" s="133" t="s">
        <v>398</v>
      </c>
      <c r="AF136" s="133" t="s">
        <v>140</v>
      </c>
      <c r="AG136" s="133" t="s">
        <v>131</v>
      </c>
      <c r="AI136" s="133" t="s">
        <v>35</v>
      </c>
    </row>
    <row r="137" spans="1:35" hidden="1" x14ac:dyDescent="0.2">
      <c r="A137" s="139">
        <f>Table1[[#This Row],[Qual a Numeração da Nota Fiscal com divergência ?]]</f>
        <v>1547800</v>
      </c>
      <c r="B137" s="146" t="s">
        <v>33</v>
      </c>
      <c r="C137" s="147" t="s">
        <v>111</v>
      </c>
      <c r="D137" s="147" t="s">
        <v>40</v>
      </c>
      <c r="E137" s="148">
        <f>WEEKNUM(Table1[[#This Row],[Dt da abertura]],1)</f>
        <v>13</v>
      </c>
      <c r="F137" s="147">
        <v>46118</v>
      </c>
      <c r="G137" s="147">
        <v>46108</v>
      </c>
      <c r="H137" s="147">
        <v>46113</v>
      </c>
      <c r="I137" s="147">
        <v>46132</v>
      </c>
      <c r="J137" s="147"/>
      <c r="K137" s="149" t="s">
        <v>114</v>
      </c>
      <c r="L137" s="149" t="s">
        <v>11</v>
      </c>
      <c r="M137" s="149" t="e">
        <f>VLOOKUP(U137,Hierarquia!A:K,6,0)</f>
        <v>#N/A</v>
      </c>
      <c r="N137" s="149"/>
      <c r="O137" s="149" t="s">
        <v>115</v>
      </c>
      <c r="P137" s="133">
        <v>506</v>
      </c>
      <c r="Q137" s="135">
        <v>46113</v>
      </c>
      <c r="R137" s="133" t="s">
        <v>116</v>
      </c>
      <c r="S137" s="133" t="s">
        <v>193</v>
      </c>
      <c r="T137" s="133" t="s">
        <v>28</v>
      </c>
      <c r="U137" s="133" t="s">
        <v>399</v>
      </c>
      <c r="V137" s="135">
        <v>46026</v>
      </c>
      <c r="W137" s="133">
        <v>1547800</v>
      </c>
      <c r="X137" s="133">
        <v>6876421417</v>
      </c>
      <c r="Y137" s="133" t="s">
        <v>35</v>
      </c>
      <c r="Z137" s="133" t="s">
        <v>400</v>
      </c>
      <c r="AG137" s="133" t="s">
        <v>131</v>
      </c>
      <c r="AI137" s="133" t="s">
        <v>35</v>
      </c>
    </row>
    <row r="138" spans="1:35" hidden="1" x14ac:dyDescent="0.2">
      <c r="A138" s="139">
        <f>Table1[[#This Row],[Qual a Numeração da Nota Fiscal com divergência ?]]</f>
        <v>1547800</v>
      </c>
      <c r="B138" s="146" t="s">
        <v>33</v>
      </c>
      <c r="C138" s="147" t="s">
        <v>111</v>
      </c>
      <c r="D138" s="147" t="s">
        <v>401</v>
      </c>
      <c r="E138" s="148">
        <f>WEEKNUM(Table1[[#This Row],[Dt da abertura]],1)</f>
        <v>14</v>
      </c>
      <c r="F138" s="147">
        <v>46118</v>
      </c>
      <c r="G138" s="147">
        <v>46113</v>
      </c>
      <c r="H138" s="147">
        <v>46120</v>
      </c>
      <c r="I138" s="147">
        <v>46132</v>
      </c>
      <c r="J138" s="147"/>
      <c r="K138" s="149" t="s">
        <v>114</v>
      </c>
      <c r="L138" s="149" t="s">
        <v>11</v>
      </c>
      <c r="M138" s="149" t="str">
        <f>VLOOKUP(U138,Hierarquia!A:K,6,0)</f>
        <v>BAT</v>
      </c>
      <c r="N138" s="149"/>
      <c r="O138" s="149" t="s">
        <v>115</v>
      </c>
      <c r="P138" s="133">
        <v>506</v>
      </c>
      <c r="Q138" s="135">
        <v>46114</v>
      </c>
      <c r="R138" s="133" t="s">
        <v>116</v>
      </c>
      <c r="S138" s="135" t="s">
        <v>193</v>
      </c>
      <c r="T138" s="133" t="s">
        <v>28</v>
      </c>
      <c r="U138" s="133" t="s">
        <v>194</v>
      </c>
      <c r="V138" s="135">
        <v>46113</v>
      </c>
      <c r="W138" s="133">
        <v>1547800</v>
      </c>
      <c r="X138" s="133">
        <v>6876421417</v>
      </c>
      <c r="Y138" s="133" t="s">
        <v>35</v>
      </c>
      <c r="Z138" s="133" t="s">
        <v>400</v>
      </c>
      <c r="AF138" s="133" t="s">
        <v>402</v>
      </c>
      <c r="AG138" s="133" t="s">
        <v>131</v>
      </c>
      <c r="AI138" s="133" t="s">
        <v>403</v>
      </c>
    </row>
    <row r="139" spans="1:35" x14ac:dyDescent="0.2">
      <c r="A139" s="139">
        <f>Table1[[#This Row],[Qual a Numeração da Nota Fiscal com divergência ?]]</f>
        <v>1551185</v>
      </c>
      <c r="B139" s="146" t="s">
        <v>33</v>
      </c>
      <c r="C139" s="147" t="s">
        <v>111</v>
      </c>
      <c r="D139" s="147" t="s">
        <v>401</v>
      </c>
      <c r="E139" s="148">
        <f>WEEKNUM(Table1[[#This Row],[Dt da abertura]],1)</f>
        <v>15</v>
      </c>
      <c r="F139" s="147">
        <v>46120</v>
      </c>
      <c r="G139" s="147">
        <v>46119</v>
      </c>
      <c r="H139" s="147">
        <v>46122</v>
      </c>
      <c r="I139" s="147">
        <v>46132</v>
      </c>
      <c r="J139" s="147"/>
      <c r="K139" s="149" t="s">
        <v>114</v>
      </c>
      <c r="L139" s="149" t="s">
        <v>11</v>
      </c>
      <c r="M139" s="149" t="str">
        <f>VLOOKUP(U139,Hierarquia!A:K,6,0)</f>
        <v>FADEL</v>
      </c>
      <c r="N139" s="149"/>
      <c r="O139" s="149" t="s">
        <v>115</v>
      </c>
      <c r="P139" s="133">
        <v>507</v>
      </c>
      <c r="Q139" s="135">
        <v>46119</v>
      </c>
      <c r="R139" s="133" t="s">
        <v>116</v>
      </c>
      <c r="S139" s="135" t="s">
        <v>133</v>
      </c>
      <c r="T139" s="133" t="s">
        <v>26</v>
      </c>
      <c r="U139" s="133" t="s">
        <v>377</v>
      </c>
      <c r="V139" s="135">
        <v>46119</v>
      </c>
      <c r="W139" s="133">
        <v>1551185</v>
      </c>
      <c r="X139" s="133">
        <v>6876578872</v>
      </c>
      <c r="Y139" s="133" t="s">
        <v>34</v>
      </c>
      <c r="Z139" s="133" t="s">
        <v>404</v>
      </c>
      <c r="AF139" s="133">
        <v>10120613</v>
      </c>
      <c r="AG139" s="133" t="s">
        <v>131</v>
      </c>
      <c r="AI139" s="133" t="s">
        <v>405</v>
      </c>
    </row>
    <row r="140" spans="1:35" x14ac:dyDescent="0.2">
      <c r="A140" s="139">
        <f>Table1[[#This Row],[Qual a Numeração da Nota Fiscal com divergência ?]]</f>
        <v>1551047</v>
      </c>
      <c r="B140" s="146" t="s">
        <v>33</v>
      </c>
      <c r="C140" s="147" t="s">
        <v>111</v>
      </c>
      <c r="D140" s="147" t="s">
        <v>401</v>
      </c>
      <c r="E140" s="148">
        <f>WEEKNUM(Table1[[#This Row],[Dt da abertura]],1)</f>
        <v>15</v>
      </c>
      <c r="F140" s="147">
        <v>46125</v>
      </c>
      <c r="G140" s="147">
        <v>46122</v>
      </c>
      <c r="H140" s="147">
        <v>46122</v>
      </c>
      <c r="I140" s="147">
        <v>46132</v>
      </c>
      <c r="J140" s="147"/>
      <c r="K140" s="149" t="s">
        <v>114</v>
      </c>
      <c r="L140" s="149" t="s">
        <v>11</v>
      </c>
      <c r="M140" s="149" t="str">
        <f>VLOOKUP(U140,Hierarquia!A:K,6,0)</f>
        <v>FADEL</v>
      </c>
      <c r="N140" s="149"/>
      <c r="O140" s="149" t="s">
        <v>115</v>
      </c>
      <c r="P140" s="133">
        <v>508</v>
      </c>
      <c r="Q140" s="135">
        <v>46122</v>
      </c>
      <c r="R140" s="133" t="s">
        <v>116</v>
      </c>
      <c r="S140" s="135" t="s">
        <v>133</v>
      </c>
      <c r="T140" s="133" t="s">
        <v>26</v>
      </c>
      <c r="U140" s="133" t="s">
        <v>118</v>
      </c>
      <c r="V140" s="135">
        <v>46122</v>
      </c>
      <c r="W140" s="133">
        <v>1551047</v>
      </c>
      <c r="X140" s="133">
        <v>6876528163</v>
      </c>
      <c r="Y140" s="133" t="s">
        <v>35</v>
      </c>
      <c r="Z140" s="133" t="s">
        <v>406</v>
      </c>
      <c r="AG140" s="133" t="s">
        <v>407</v>
      </c>
      <c r="AI140" s="133" t="s">
        <v>126</v>
      </c>
    </row>
    <row r="141" spans="1:35" hidden="1" x14ac:dyDescent="0.2">
      <c r="A141" s="139">
        <f>Table1[[#This Row],[Qual a Numeração da Nota Fiscal com divergência ?]]</f>
        <v>1550556</v>
      </c>
      <c r="B141" s="146" t="s">
        <v>33</v>
      </c>
      <c r="C141" s="147" t="s">
        <v>111</v>
      </c>
      <c r="D141" s="147" t="s">
        <v>401</v>
      </c>
      <c r="E141" s="148">
        <f>WEEKNUM(Table1[[#This Row],[Dt da abertura]],1)</f>
        <v>15</v>
      </c>
      <c r="F141" s="147">
        <v>46125</v>
      </c>
      <c r="G141" s="147">
        <v>46122</v>
      </c>
      <c r="H141" s="147">
        <v>46122</v>
      </c>
      <c r="I141" s="147">
        <v>46132</v>
      </c>
      <c r="J141" s="147"/>
      <c r="K141" s="149" t="s">
        <v>114</v>
      </c>
      <c r="L141" s="149" t="s">
        <v>13</v>
      </c>
      <c r="M141" s="149" t="str">
        <f>VLOOKUP(U141,Hierarquia!A:K,6,0)</f>
        <v>BAT</v>
      </c>
      <c r="N141" s="149"/>
      <c r="O141" s="149" t="s">
        <v>115</v>
      </c>
      <c r="P141" s="133">
        <v>509</v>
      </c>
      <c r="Q141" s="135">
        <v>46122</v>
      </c>
      <c r="R141" s="133" t="s">
        <v>116</v>
      </c>
      <c r="S141" s="133" t="s">
        <v>408</v>
      </c>
      <c r="T141" s="133" t="s">
        <v>28</v>
      </c>
      <c r="U141" s="133" t="s">
        <v>409</v>
      </c>
      <c r="V141" s="135">
        <v>46122</v>
      </c>
      <c r="W141" s="133">
        <v>1550556</v>
      </c>
      <c r="X141" s="133">
        <v>6876517945</v>
      </c>
      <c r="Y141" s="133" t="s">
        <v>32</v>
      </c>
      <c r="Z141" s="133" t="s">
        <v>410</v>
      </c>
      <c r="AG141" s="133" t="s">
        <v>411</v>
      </c>
      <c r="AI141" s="133" t="s">
        <v>126</v>
      </c>
    </row>
    <row r="142" spans="1:35" hidden="1" x14ac:dyDescent="0.2">
      <c r="A142" s="139">
        <f>Table1[[#This Row],[Qual a Numeração da Nota Fiscal com divergência ?]]</f>
        <v>1554097</v>
      </c>
      <c r="B142" s="146" t="s">
        <v>33</v>
      </c>
      <c r="C142" s="147" t="s">
        <v>111</v>
      </c>
      <c r="D142" s="147" t="s">
        <v>401</v>
      </c>
      <c r="E142" s="148">
        <f>WEEKNUM(Table1[[#This Row],[Dt da abertura]],1)</f>
        <v>16</v>
      </c>
      <c r="F142" s="147">
        <v>46125</v>
      </c>
      <c r="G142" s="147">
        <v>46126</v>
      </c>
      <c r="H142" s="147">
        <v>46122</v>
      </c>
      <c r="I142" s="147">
        <v>46132</v>
      </c>
      <c r="J142" s="147"/>
      <c r="K142" s="149" t="s">
        <v>114</v>
      </c>
      <c r="L142" s="149" t="s">
        <v>412</v>
      </c>
      <c r="M142" s="149" t="str">
        <f>VLOOKUP(U142,Hierarquia!A:K,6,0)</f>
        <v>BAT</v>
      </c>
      <c r="N142" s="149"/>
      <c r="O142" s="149" t="s">
        <v>115</v>
      </c>
      <c r="P142" s="133">
        <v>510</v>
      </c>
      <c r="Q142" s="135">
        <v>46126.394131944398</v>
      </c>
      <c r="R142" s="133" t="s">
        <v>116</v>
      </c>
      <c r="S142" s="133" t="s">
        <v>413</v>
      </c>
      <c r="T142" s="133" t="s">
        <v>28</v>
      </c>
      <c r="U142" s="133" t="s">
        <v>414</v>
      </c>
      <c r="V142" s="135">
        <v>46125</v>
      </c>
      <c r="W142" s="133">
        <v>1554097</v>
      </c>
      <c r="X142" s="133">
        <v>6876686508</v>
      </c>
      <c r="Y142" s="133" t="s">
        <v>35</v>
      </c>
      <c r="Z142" s="133" t="s">
        <v>415</v>
      </c>
      <c r="AG142" s="133" t="s">
        <v>416</v>
      </c>
      <c r="AI142" s="133" t="s">
        <v>131</v>
      </c>
    </row>
    <row r="143" spans="1:35" hidden="1" x14ac:dyDescent="0.2">
      <c r="A143" s="139">
        <f>Table1[[#This Row],[Qual a Numeração da Nota Fiscal com divergência ?]]</f>
        <v>1554098</v>
      </c>
      <c r="B143" s="146" t="s">
        <v>33</v>
      </c>
      <c r="C143" s="147" t="s">
        <v>111</v>
      </c>
      <c r="D143" s="147" t="s">
        <v>401</v>
      </c>
      <c r="E143" s="148">
        <f>WEEKNUM(Table1[[#This Row],[Dt da abertura]],1)</f>
        <v>16</v>
      </c>
      <c r="F143" s="147">
        <v>46125</v>
      </c>
      <c r="G143" s="147">
        <v>46126</v>
      </c>
      <c r="H143" s="147">
        <v>46122</v>
      </c>
      <c r="I143" s="147">
        <v>46132</v>
      </c>
      <c r="J143" s="147"/>
      <c r="K143" s="149" t="s">
        <v>114</v>
      </c>
      <c r="L143" s="149" t="s">
        <v>417</v>
      </c>
      <c r="M143" s="149" t="str">
        <f>VLOOKUP(U143,Hierarquia!A:K,6,0)</f>
        <v>BAT</v>
      </c>
      <c r="N143" s="149"/>
      <c r="O143" s="149" t="s">
        <v>115</v>
      </c>
      <c r="P143" s="133">
        <v>511</v>
      </c>
      <c r="Q143" s="135">
        <v>46126.397118055596</v>
      </c>
      <c r="R143" s="133" t="s">
        <v>116</v>
      </c>
      <c r="S143" s="133" t="s">
        <v>418</v>
      </c>
      <c r="T143" s="133" t="s">
        <v>28</v>
      </c>
      <c r="U143" s="133" t="s">
        <v>414</v>
      </c>
      <c r="V143" s="135">
        <v>46125</v>
      </c>
      <c r="W143" s="133">
        <v>1554098</v>
      </c>
      <c r="X143" s="133">
        <v>6876686509</v>
      </c>
      <c r="Y143" s="133" t="s">
        <v>35</v>
      </c>
      <c r="Z143" s="133" t="s">
        <v>419</v>
      </c>
    </row>
    <row r="144" spans="1:35" ht="15.75" hidden="1" x14ac:dyDescent="0.25">
      <c r="A144" s="139">
        <f>Table1[[#This Row],[Qual a Numeração da Nota Fiscal com divergência ?]]</f>
        <v>15496599</v>
      </c>
      <c r="B144" s="146" t="s">
        <v>33</v>
      </c>
      <c r="C144" s="147" t="s">
        <v>111</v>
      </c>
      <c r="D144" s="147" t="s">
        <v>401</v>
      </c>
      <c r="E144" s="148">
        <f>WEEKNUM(Table1[[#This Row],[Dt da abertura]],1)</f>
        <v>16</v>
      </c>
      <c r="F144" s="147">
        <v>46125</v>
      </c>
      <c r="G144" s="147">
        <v>46126</v>
      </c>
      <c r="H144" s="147">
        <v>46122</v>
      </c>
      <c r="I144" s="147">
        <v>46132</v>
      </c>
      <c r="J144" s="147"/>
      <c r="K144" s="149" t="s">
        <v>114</v>
      </c>
      <c r="L144" s="149" t="s">
        <v>420</v>
      </c>
      <c r="M144" s="149" t="str">
        <f>VLOOKUP(U144,Hierarquia!A:K,6,0)</f>
        <v>BAT</v>
      </c>
      <c r="N144" s="149"/>
      <c r="O144" s="149" t="s">
        <v>115</v>
      </c>
      <c r="P144" s="133">
        <v>512</v>
      </c>
      <c r="Q144" s="135">
        <v>46126.504791666703</v>
      </c>
      <c r="R144" s="133" t="s">
        <v>116</v>
      </c>
      <c r="S144" s="156" t="s">
        <v>128</v>
      </c>
      <c r="T144" s="133" t="s">
        <v>28</v>
      </c>
      <c r="U144" s="133" t="s">
        <v>129</v>
      </c>
      <c r="V144" s="135">
        <v>46125</v>
      </c>
      <c r="W144" s="133">
        <v>15496599</v>
      </c>
      <c r="X144" s="133">
        <v>6876500787</v>
      </c>
      <c r="Y144" s="133" t="s">
        <v>35</v>
      </c>
      <c r="Z144" s="133" t="s">
        <v>421</v>
      </c>
    </row>
    <row r="145" spans="1:35" hidden="1" x14ac:dyDescent="0.2">
      <c r="A145" s="139">
        <f>Table1[[#This Row],[Qual a Numeração da Nota Fiscal com divergência ?]]</f>
        <v>1555221</v>
      </c>
      <c r="B145" s="146" t="s">
        <v>33</v>
      </c>
      <c r="C145" s="147" t="s">
        <v>111</v>
      </c>
      <c r="D145" s="147" t="s">
        <v>401</v>
      </c>
      <c r="E145" s="148">
        <f>WEEKNUM(Table1[[#This Row],[Dt da abertura]],1)</f>
        <v>16</v>
      </c>
      <c r="F145" s="147">
        <v>46132</v>
      </c>
      <c r="G145" s="147">
        <v>46128</v>
      </c>
      <c r="H145" s="147">
        <v>46122</v>
      </c>
      <c r="I145" s="147">
        <v>46136</v>
      </c>
      <c r="J145" s="147"/>
      <c r="K145" s="149" t="s">
        <v>114</v>
      </c>
      <c r="L145" s="149" t="s">
        <v>11</v>
      </c>
      <c r="M145" s="149" t="e">
        <f>VLOOKUP(U145,Hierarquia!A:K,6,0)</f>
        <v>#N/A</v>
      </c>
      <c r="N145" s="149"/>
      <c r="O145" s="149" t="s">
        <v>115</v>
      </c>
      <c r="P145" s="133">
        <v>513</v>
      </c>
      <c r="Q145" s="135">
        <v>46128</v>
      </c>
      <c r="R145" s="133" t="s">
        <v>116</v>
      </c>
      <c r="S145" s="135" t="s">
        <v>353</v>
      </c>
      <c r="T145" s="133" t="s">
        <v>26</v>
      </c>
      <c r="U145" s="133" t="s">
        <v>422</v>
      </c>
      <c r="V145" s="135">
        <v>46128</v>
      </c>
      <c r="W145" s="133">
        <v>1555221</v>
      </c>
      <c r="X145" s="133">
        <v>6876729438</v>
      </c>
      <c r="Y145" s="133" t="s">
        <v>35</v>
      </c>
      <c r="Z145" s="133" t="s">
        <v>423</v>
      </c>
      <c r="AF145" s="133">
        <v>0</v>
      </c>
      <c r="AG145" s="133" t="s">
        <v>121</v>
      </c>
      <c r="AI145" s="133" t="s">
        <v>423</v>
      </c>
    </row>
    <row r="146" spans="1:35" hidden="1" x14ac:dyDescent="0.2">
      <c r="A146" s="139">
        <f>Table1[[#This Row],[Qual a Numeração da Nota Fiscal com divergência ?]]</f>
        <v>1552473</v>
      </c>
      <c r="B146" s="146" t="s">
        <v>33</v>
      </c>
      <c r="C146" s="147" t="s">
        <v>111</v>
      </c>
      <c r="D146" s="147" t="s">
        <v>401</v>
      </c>
      <c r="E146" s="148">
        <f>WEEKNUM(Table1[[#This Row],[Dt da abertura]],1)</f>
        <v>16</v>
      </c>
      <c r="F146" s="147">
        <v>46132</v>
      </c>
      <c r="G146" s="147">
        <v>46129</v>
      </c>
      <c r="H146" s="147">
        <v>46135</v>
      </c>
      <c r="I146" s="147">
        <v>46136</v>
      </c>
      <c r="J146" s="147"/>
      <c r="K146" s="149" t="s">
        <v>114</v>
      </c>
      <c r="L146" s="149" t="s">
        <v>420</v>
      </c>
      <c r="M146" s="149" t="str">
        <f>VLOOKUP(U146,Hierarquia!A:K,6,0)</f>
        <v>BAT</v>
      </c>
      <c r="N146" s="149"/>
      <c r="O146" s="149" t="s">
        <v>115</v>
      </c>
      <c r="P146" s="133">
        <v>514</v>
      </c>
      <c r="Q146" s="135">
        <v>46129</v>
      </c>
      <c r="R146" s="133" t="s">
        <v>116</v>
      </c>
      <c r="S146" s="135" t="s">
        <v>307</v>
      </c>
      <c r="T146" s="133" t="s">
        <v>28</v>
      </c>
      <c r="U146" s="133" t="s">
        <v>231</v>
      </c>
      <c r="V146" s="135">
        <v>46127</v>
      </c>
      <c r="W146" s="133">
        <v>1552473</v>
      </c>
      <c r="X146" s="133">
        <v>6876573974</v>
      </c>
      <c r="Y146" s="133" t="s">
        <v>35</v>
      </c>
      <c r="Z146" s="133" t="s">
        <v>424</v>
      </c>
      <c r="AF146" s="133" t="s">
        <v>425</v>
      </c>
      <c r="AG146" s="133" t="s">
        <v>131</v>
      </c>
      <c r="AI146" s="133" t="s">
        <v>426</v>
      </c>
    </row>
    <row r="147" spans="1:35" x14ac:dyDescent="0.2">
      <c r="A147" s="139">
        <f>Table1[[#This Row],[Qual a Numeração da Nota Fiscal com divergência ?]]</f>
        <v>1553675</v>
      </c>
      <c r="B147" s="146" t="s">
        <v>33</v>
      </c>
      <c r="C147" s="147" t="s">
        <v>111</v>
      </c>
      <c r="D147" s="147" t="s">
        <v>401</v>
      </c>
      <c r="E147" s="148">
        <f>WEEKNUM(Table1[[#This Row],[Dt da abertura]],1)</f>
        <v>16</v>
      </c>
      <c r="F147" s="147">
        <v>46132</v>
      </c>
      <c r="G147" s="147">
        <v>46129</v>
      </c>
      <c r="H147" s="147">
        <v>46135</v>
      </c>
      <c r="I147" s="147">
        <v>46136</v>
      </c>
      <c r="J147" s="147"/>
      <c r="K147" s="149" t="s">
        <v>114</v>
      </c>
      <c r="L147" s="149" t="s">
        <v>11</v>
      </c>
      <c r="M147" s="149" t="str">
        <f>VLOOKUP(U147,Hierarquia!A:K,6,0)</f>
        <v>FADEL</v>
      </c>
      <c r="N147" s="149"/>
      <c r="O147" s="149" t="s">
        <v>115</v>
      </c>
      <c r="P147" s="133">
        <v>515</v>
      </c>
      <c r="Q147" s="135">
        <v>46129</v>
      </c>
      <c r="R147" s="133" t="s">
        <v>116</v>
      </c>
      <c r="S147" s="135" t="s">
        <v>133</v>
      </c>
      <c r="T147" s="133" t="s">
        <v>26</v>
      </c>
      <c r="U147" s="133" t="s">
        <v>227</v>
      </c>
      <c r="V147" s="135">
        <v>46126</v>
      </c>
      <c r="W147" s="133">
        <v>1553675</v>
      </c>
      <c r="X147" s="133">
        <v>6876687182</v>
      </c>
      <c r="Y147" s="133" t="s">
        <v>35</v>
      </c>
      <c r="Z147" s="133" t="s">
        <v>427</v>
      </c>
      <c r="AF147" s="133" t="s">
        <v>223</v>
      </c>
      <c r="AG147" s="133" t="s">
        <v>121</v>
      </c>
    </row>
    <row r="148" spans="1:35" hidden="1" x14ac:dyDescent="0.2">
      <c r="A148" s="139">
        <f>Table1[[#This Row],[Qual a Numeração da Nota Fiscal com divergência ?]]</f>
        <v>1553152</v>
      </c>
      <c r="B148" s="146" t="s">
        <v>33</v>
      </c>
      <c r="C148" s="147" t="s">
        <v>111</v>
      </c>
      <c r="D148" s="147" t="s">
        <v>401</v>
      </c>
      <c r="E148" s="148">
        <f>WEEKNUM(Table1[[#This Row],[Dt da abertura]],1)</f>
        <v>17</v>
      </c>
      <c r="F148" s="147">
        <v>46136</v>
      </c>
      <c r="G148" s="147">
        <v>46134</v>
      </c>
      <c r="H148" s="147">
        <v>46140</v>
      </c>
      <c r="I148" s="147">
        <v>46142</v>
      </c>
      <c r="J148" s="147"/>
      <c r="K148" s="149" t="s">
        <v>114</v>
      </c>
      <c r="L148" s="149" t="s">
        <v>420</v>
      </c>
      <c r="M148" s="149" t="str">
        <f>VLOOKUP(U148,Hierarquia!A:K,6,0)</f>
        <v>BAT</v>
      </c>
      <c r="N148" s="149"/>
      <c r="O148" s="149" t="s">
        <v>115</v>
      </c>
      <c r="P148" s="133">
        <v>516</v>
      </c>
      <c r="Q148" s="135">
        <v>46134</v>
      </c>
      <c r="R148" s="133" t="s">
        <v>116</v>
      </c>
      <c r="S148" s="135" t="s">
        <v>428</v>
      </c>
      <c r="T148" s="133" t="s">
        <v>28</v>
      </c>
      <c r="U148" s="133" t="s">
        <v>429</v>
      </c>
      <c r="V148" s="135">
        <v>46121</v>
      </c>
      <c r="W148" s="133">
        <v>1553152</v>
      </c>
      <c r="X148" s="133">
        <v>6876649976</v>
      </c>
      <c r="Y148" s="133" t="s">
        <v>35</v>
      </c>
      <c r="Z148" s="133" t="s">
        <v>430</v>
      </c>
      <c r="AF148" s="133">
        <v>1553152</v>
      </c>
      <c r="AG148" s="133" t="s">
        <v>131</v>
      </c>
      <c r="AI148" s="133" t="s">
        <v>431</v>
      </c>
    </row>
    <row r="149" spans="1:35" x14ac:dyDescent="0.2">
      <c r="A149" s="139">
        <f>Table1[[#This Row],[Qual a Numeração da Nota Fiscal com divergência ?]]</f>
        <v>1556246</v>
      </c>
      <c r="B149" s="146" t="s">
        <v>33</v>
      </c>
      <c r="C149" s="147" t="s">
        <v>111</v>
      </c>
      <c r="D149" s="147" t="s">
        <v>401</v>
      </c>
      <c r="E149" s="148">
        <f>WEEKNUM(Table1[[#This Row],[Dt da abertura]],1)</f>
        <v>17</v>
      </c>
      <c r="F149" s="147">
        <v>46136</v>
      </c>
      <c r="G149" s="147">
        <v>46134</v>
      </c>
      <c r="H149" s="147">
        <v>46140</v>
      </c>
      <c r="I149" s="147">
        <v>46142</v>
      </c>
      <c r="J149" s="147"/>
      <c r="K149" s="149" t="s">
        <v>114</v>
      </c>
      <c r="L149" s="149" t="s">
        <v>11</v>
      </c>
      <c r="M149" s="149" t="str">
        <f>VLOOKUP(U149,Hierarquia!A:K,6,0)</f>
        <v>FADEL</v>
      </c>
      <c r="N149" s="149"/>
      <c r="O149" s="149" t="s">
        <v>115</v>
      </c>
      <c r="P149" s="133">
        <v>517</v>
      </c>
      <c r="Q149" s="135">
        <v>46134</v>
      </c>
      <c r="R149" s="133" t="s">
        <v>116</v>
      </c>
      <c r="S149" s="135" t="s">
        <v>353</v>
      </c>
      <c r="T149" s="133" t="s">
        <v>26</v>
      </c>
      <c r="U149" s="133" t="s">
        <v>432</v>
      </c>
      <c r="V149" s="135">
        <v>46134</v>
      </c>
      <c r="W149" s="133">
        <v>1556246</v>
      </c>
      <c r="X149" s="133">
        <v>6876773432</v>
      </c>
      <c r="Y149" s="133" t="s">
        <v>35</v>
      </c>
      <c r="Z149" s="133" t="s">
        <v>433</v>
      </c>
      <c r="AF149" s="133">
        <v>0</v>
      </c>
      <c r="AG149" s="133" t="s">
        <v>121</v>
      </c>
      <c r="AI149" s="133" t="s">
        <v>433</v>
      </c>
    </row>
    <row r="150" spans="1:35" hidden="1" x14ac:dyDescent="0.2">
      <c r="A150" s="139">
        <f>Table1[[#This Row],[Qual a Numeração da Nota Fiscal com divergência ?]]</f>
        <v>1554149</v>
      </c>
      <c r="B150" s="146" t="s">
        <v>33</v>
      </c>
      <c r="C150" s="147" t="s">
        <v>111</v>
      </c>
      <c r="D150" s="147" t="s">
        <v>401</v>
      </c>
      <c r="E150" s="148">
        <f>WEEKNUM(Table1[[#This Row],[Dt da abertura]],1)</f>
        <v>17</v>
      </c>
      <c r="F150" s="147">
        <v>46136</v>
      </c>
      <c r="G150" s="147">
        <v>46135</v>
      </c>
      <c r="H150" s="147">
        <v>46140</v>
      </c>
      <c r="I150" s="147">
        <v>46142</v>
      </c>
      <c r="J150" s="147"/>
      <c r="K150" s="149" t="s">
        <v>114</v>
      </c>
      <c r="L150" s="149" t="s">
        <v>420</v>
      </c>
      <c r="M150" s="149" t="str">
        <f>VLOOKUP(U150,Hierarquia!A:K,6,0)</f>
        <v>BAT</v>
      </c>
      <c r="N150" s="149"/>
      <c r="O150" s="149" t="s">
        <v>115</v>
      </c>
      <c r="P150" s="133">
        <v>518</v>
      </c>
      <c r="Q150" s="135">
        <v>46135</v>
      </c>
      <c r="R150" s="133" t="s">
        <v>116</v>
      </c>
      <c r="S150" s="135" t="s">
        <v>307</v>
      </c>
      <c r="T150" s="133" t="s">
        <v>28</v>
      </c>
      <c r="U150" s="133" t="s">
        <v>231</v>
      </c>
      <c r="V150" s="135">
        <v>46127</v>
      </c>
      <c r="W150" s="133">
        <v>1554149</v>
      </c>
      <c r="X150" s="133">
        <v>6876704750</v>
      </c>
      <c r="Y150" s="133" t="s">
        <v>32</v>
      </c>
      <c r="Z150" s="133" t="s">
        <v>434</v>
      </c>
      <c r="AF150" s="133" t="s">
        <v>309</v>
      </c>
      <c r="AG150" s="133" t="s">
        <v>131</v>
      </c>
      <c r="AI150" s="133" t="s">
        <v>435</v>
      </c>
    </row>
    <row r="151" spans="1:35" hidden="1" x14ac:dyDescent="0.2">
      <c r="A151" s="139">
        <f>Table1[[#This Row],[Qual a Numeração da Nota Fiscal com divergência ?]]</f>
        <v>1554162</v>
      </c>
      <c r="B151" s="146" t="s">
        <v>33</v>
      </c>
      <c r="C151" s="147" t="s">
        <v>111</v>
      </c>
      <c r="D151" s="147" t="s">
        <v>401</v>
      </c>
      <c r="E151" s="148">
        <f>WEEKNUM(Table1[[#This Row],[Dt da abertura]],1)</f>
        <v>17</v>
      </c>
      <c r="F151" s="147">
        <v>46136</v>
      </c>
      <c r="G151" s="147">
        <v>46135</v>
      </c>
      <c r="H151" s="147">
        <v>46140</v>
      </c>
      <c r="I151" s="147">
        <v>46142</v>
      </c>
      <c r="J151" s="147"/>
      <c r="K151" s="149" t="s">
        <v>114</v>
      </c>
      <c r="L151" s="149" t="s">
        <v>420</v>
      </c>
      <c r="M151" s="149" t="str">
        <f>VLOOKUP(U151,Hierarquia!A:K,6,0)</f>
        <v>BAT</v>
      </c>
      <c r="N151" s="149"/>
      <c r="O151" s="149" t="s">
        <v>115</v>
      </c>
      <c r="P151" s="133">
        <v>519</v>
      </c>
      <c r="Q151" s="135">
        <v>46135</v>
      </c>
      <c r="R151" s="133" t="s">
        <v>116</v>
      </c>
      <c r="S151" s="135" t="s">
        <v>307</v>
      </c>
      <c r="T151" s="133" t="s">
        <v>28</v>
      </c>
      <c r="U151" s="133" t="s">
        <v>231</v>
      </c>
      <c r="V151" s="135">
        <v>46127</v>
      </c>
      <c r="W151" s="133">
        <v>1554162</v>
      </c>
      <c r="X151" s="133">
        <v>6876549935</v>
      </c>
      <c r="Y151" s="133" t="s">
        <v>32</v>
      </c>
      <c r="Z151" s="133" t="s">
        <v>436</v>
      </c>
      <c r="AF151" s="133" t="s">
        <v>309</v>
      </c>
      <c r="AG151" s="133" t="s">
        <v>131</v>
      </c>
      <c r="AI151" s="133" t="s">
        <v>437</v>
      </c>
    </row>
    <row r="152" spans="1:35" hidden="1" x14ac:dyDescent="0.2">
      <c r="A152" s="139">
        <f>Table1[[#This Row],[Qual a Numeração da Nota Fiscal com divergência ?]]</f>
        <v>1555219</v>
      </c>
      <c r="B152" s="146" t="s">
        <v>33</v>
      </c>
      <c r="C152" s="147" t="s">
        <v>111</v>
      </c>
      <c r="D152" s="147" t="s">
        <v>401</v>
      </c>
      <c r="E152" s="148">
        <f>WEEKNUM(Table1[[#This Row],[Dt da abertura]],1)</f>
        <v>17</v>
      </c>
      <c r="F152" s="147">
        <v>46136</v>
      </c>
      <c r="G152" s="147">
        <v>46135</v>
      </c>
      <c r="H152" s="147">
        <v>46140</v>
      </c>
      <c r="I152" s="147">
        <v>46142</v>
      </c>
      <c r="J152" s="147"/>
      <c r="K152" s="149" t="s">
        <v>114</v>
      </c>
      <c r="L152" s="149" t="s">
        <v>420</v>
      </c>
      <c r="M152" s="149" t="str">
        <f>VLOOKUP(U152,Hierarquia!A:K,6,0)</f>
        <v>BAT</v>
      </c>
      <c r="N152" s="149"/>
      <c r="O152" s="149" t="s">
        <v>115</v>
      </c>
      <c r="P152" s="133">
        <v>520</v>
      </c>
      <c r="Q152" s="135">
        <v>46135</v>
      </c>
      <c r="R152" s="133" t="s">
        <v>116</v>
      </c>
      <c r="S152" s="135" t="s">
        <v>307</v>
      </c>
      <c r="T152" s="133" t="s">
        <v>28</v>
      </c>
      <c r="U152" s="133" t="s">
        <v>231</v>
      </c>
      <c r="V152" s="135">
        <v>46128</v>
      </c>
      <c r="W152" s="133">
        <v>1555219</v>
      </c>
      <c r="X152" s="133">
        <v>6876724098</v>
      </c>
      <c r="Y152" s="133" t="s">
        <v>32</v>
      </c>
      <c r="Z152" s="133" t="s">
        <v>438</v>
      </c>
      <c r="AF152" s="133" t="s">
        <v>309</v>
      </c>
      <c r="AG152" s="133" t="s">
        <v>131</v>
      </c>
      <c r="AI152" s="133" t="s">
        <v>437</v>
      </c>
    </row>
    <row r="153" spans="1:35" hidden="1" x14ac:dyDescent="0.2">
      <c r="A153" s="139">
        <f>Table1[[#This Row],[Qual a Numeração da Nota Fiscal com divergência ?]]</f>
        <v>1554878</v>
      </c>
      <c r="B153" s="146" t="s">
        <v>33</v>
      </c>
      <c r="C153" s="147" t="s">
        <v>111</v>
      </c>
      <c r="D153" s="147" t="s">
        <v>401</v>
      </c>
      <c r="E153" s="148">
        <f>WEEKNUM(Table1[[#This Row],[Dt da abertura]],1)</f>
        <v>17</v>
      </c>
      <c r="F153" s="147">
        <v>46136</v>
      </c>
      <c r="G153" s="147">
        <v>46135</v>
      </c>
      <c r="H153" s="147">
        <v>46140</v>
      </c>
      <c r="I153" s="147">
        <v>46142</v>
      </c>
      <c r="J153" s="147"/>
      <c r="K153" s="149" t="s">
        <v>114</v>
      </c>
      <c r="L153" s="149" t="s">
        <v>420</v>
      </c>
      <c r="M153" s="149" t="str">
        <f>VLOOKUP(U153,Hierarquia!A:K,6,0)</f>
        <v>BAT</v>
      </c>
      <c r="N153" s="149"/>
      <c r="O153" s="149" t="s">
        <v>115</v>
      </c>
      <c r="P153" s="133">
        <v>521</v>
      </c>
      <c r="Q153" s="135">
        <v>46135</v>
      </c>
      <c r="R153" s="133" t="s">
        <v>116</v>
      </c>
      <c r="S153" s="135" t="s">
        <v>307</v>
      </c>
      <c r="T153" s="133" t="s">
        <v>28</v>
      </c>
      <c r="U153" s="133" t="s">
        <v>231</v>
      </c>
      <c r="V153" s="135">
        <v>46128</v>
      </c>
      <c r="W153" s="133">
        <v>1554878</v>
      </c>
      <c r="X153" s="133">
        <v>6876721962</v>
      </c>
      <c r="Y153" s="133" t="s">
        <v>32</v>
      </c>
      <c r="Z153" s="133" t="s">
        <v>439</v>
      </c>
      <c r="AF153" s="133" t="s">
        <v>309</v>
      </c>
      <c r="AG153" s="133" t="s">
        <v>131</v>
      </c>
      <c r="AI153" s="133" t="s">
        <v>435</v>
      </c>
    </row>
    <row r="154" spans="1:35" x14ac:dyDescent="0.2">
      <c r="A154" s="139">
        <f>Table1[[#This Row],[Qual a Numeração da Nota Fiscal com divergência ?]]</f>
        <v>1557093</v>
      </c>
      <c r="B154" s="146" t="s">
        <v>30</v>
      </c>
      <c r="C154" s="147" t="s">
        <v>111</v>
      </c>
      <c r="D154" s="147" t="s">
        <v>401</v>
      </c>
      <c r="E154" s="148">
        <f>WEEKNUM(Table1[[#This Row],[Dt da abertura]],1)</f>
        <v>17</v>
      </c>
      <c r="F154" s="147">
        <v>46136</v>
      </c>
      <c r="G154" s="147">
        <v>46135</v>
      </c>
      <c r="H154" s="147">
        <v>46140</v>
      </c>
      <c r="I154" s="147">
        <v>46142</v>
      </c>
      <c r="J154" s="147"/>
      <c r="K154" s="149" t="s">
        <v>114</v>
      </c>
      <c r="L154" s="149" t="s">
        <v>11</v>
      </c>
      <c r="M154" s="149" t="str">
        <f>VLOOKUP(U154,Hierarquia!A:K,6,0)</f>
        <v>FADEL</v>
      </c>
      <c r="N154" s="149"/>
      <c r="O154" s="149" t="s">
        <v>115</v>
      </c>
      <c r="P154" s="133">
        <v>522</v>
      </c>
      <c r="Q154" s="135">
        <v>46135</v>
      </c>
      <c r="R154" s="133" t="s">
        <v>116</v>
      </c>
      <c r="S154" s="135" t="s">
        <v>353</v>
      </c>
      <c r="T154" s="133" t="s">
        <v>26</v>
      </c>
      <c r="U154" s="133" t="s">
        <v>440</v>
      </c>
      <c r="V154" s="135">
        <v>46135</v>
      </c>
      <c r="W154" s="133">
        <v>1557093</v>
      </c>
      <c r="X154" s="133">
        <v>6876839212</v>
      </c>
      <c r="Y154" s="133" t="s">
        <v>35</v>
      </c>
      <c r="Z154" s="133" t="s">
        <v>441</v>
      </c>
      <c r="AF154" s="133">
        <v>10226369</v>
      </c>
      <c r="AG154" s="133" t="s">
        <v>178</v>
      </c>
    </row>
    <row r="155" spans="1:35" x14ac:dyDescent="0.2">
      <c r="A155" s="139">
        <f>Table1[[#This Row],[Qual a Numeração da Nota Fiscal com divergência ?]]</f>
        <v>1557053</v>
      </c>
      <c r="B155" s="146" t="s">
        <v>33</v>
      </c>
      <c r="C155" s="147" t="s">
        <v>111</v>
      </c>
      <c r="D155" s="147" t="s">
        <v>401</v>
      </c>
      <c r="E155" s="148">
        <f>WEEKNUM(Table1[[#This Row],[Dt da abertura]],1)</f>
        <v>17</v>
      </c>
      <c r="F155" s="147">
        <v>46136</v>
      </c>
      <c r="G155" s="147">
        <v>46135</v>
      </c>
      <c r="H155" s="147">
        <v>46140</v>
      </c>
      <c r="I155" s="147">
        <v>46142</v>
      </c>
      <c r="J155" s="147"/>
      <c r="K155" s="149" t="s">
        <v>114</v>
      </c>
      <c r="L155" s="149" t="s">
        <v>11</v>
      </c>
      <c r="M155" s="149" t="str">
        <f>VLOOKUP(U155,Hierarquia!A:K,6,0)</f>
        <v>FADEL</v>
      </c>
      <c r="N155" s="149"/>
      <c r="O155" s="149" t="s">
        <v>115</v>
      </c>
      <c r="P155" s="133">
        <v>523</v>
      </c>
      <c r="Q155" s="135">
        <v>46135</v>
      </c>
      <c r="R155" s="133" t="s">
        <v>116</v>
      </c>
      <c r="S155" s="135" t="s">
        <v>133</v>
      </c>
      <c r="T155" s="133" t="s">
        <v>26</v>
      </c>
      <c r="U155" s="133" t="s">
        <v>285</v>
      </c>
      <c r="V155" s="135">
        <v>46135</v>
      </c>
      <c r="W155" s="133">
        <v>1557053</v>
      </c>
      <c r="X155" s="133">
        <v>6876830497</v>
      </c>
      <c r="Y155" s="133" t="s">
        <v>35</v>
      </c>
      <c r="Z155" s="133" t="s">
        <v>442</v>
      </c>
      <c r="AF155" s="133">
        <v>10225026</v>
      </c>
      <c r="AG155" s="133" t="s">
        <v>131</v>
      </c>
    </row>
    <row r="156" spans="1:35" x14ac:dyDescent="0.2">
      <c r="A156" s="139">
        <f>Table1[[#This Row],[Qual a Numeração da Nota Fiscal com divergência ?]]</f>
        <v>1558172</v>
      </c>
      <c r="B156" s="146" t="s">
        <v>33</v>
      </c>
      <c r="C156" s="147" t="s">
        <v>111</v>
      </c>
      <c r="D156" s="147" t="s">
        <v>401</v>
      </c>
      <c r="E156" s="148">
        <f>WEEKNUM(Table1[[#This Row],[Dt da abertura]],1)</f>
        <v>17</v>
      </c>
      <c r="F156" s="147">
        <v>46139</v>
      </c>
      <c r="G156" s="147">
        <v>46136</v>
      </c>
      <c r="H156" s="147">
        <v>46141</v>
      </c>
      <c r="I156" s="147">
        <v>46147</v>
      </c>
      <c r="J156" s="147"/>
      <c r="K156" s="149" t="s">
        <v>114</v>
      </c>
      <c r="L156" s="149" t="s">
        <v>11</v>
      </c>
      <c r="M156" s="149" t="str">
        <f>VLOOKUP(U156,Hierarquia!A:K,6,0)</f>
        <v>FADEL</v>
      </c>
      <c r="N156" s="149"/>
      <c r="O156" s="149" t="s">
        <v>115</v>
      </c>
      <c r="P156" s="133">
        <v>524</v>
      </c>
      <c r="Q156" s="135">
        <v>46136</v>
      </c>
      <c r="R156" s="133" t="s">
        <v>116</v>
      </c>
      <c r="S156" s="135" t="s">
        <v>353</v>
      </c>
      <c r="T156" s="133" t="s">
        <v>26</v>
      </c>
      <c r="U156" s="133" t="s">
        <v>118</v>
      </c>
      <c r="V156" s="135">
        <v>46136</v>
      </c>
      <c r="W156" s="133">
        <v>1558172</v>
      </c>
      <c r="X156" s="133">
        <v>6876875798</v>
      </c>
      <c r="Y156" s="133" t="s">
        <v>34</v>
      </c>
      <c r="Z156" s="133" t="s">
        <v>443</v>
      </c>
      <c r="AF156" s="133">
        <v>10238094</v>
      </c>
      <c r="AG156" s="133" t="s">
        <v>121</v>
      </c>
      <c r="AI156" s="133" t="s">
        <v>443</v>
      </c>
    </row>
    <row r="157" spans="1:35" x14ac:dyDescent="0.2">
      <c r="A157" s="139">
        <f>Table1[[#This Row],[Qual a Numeração da Nota Fiscal com divergência ?]]</f>
        <v>1557598</v>
      </c>
      <c r="B157" s="146" t="s">
        <v>33</v>
      </c>
      <c r="C157" s="147" t="s">
        <v>111</v>
      </c>
      <c r="D157" s="147" t="s">
        <v>401</v>
      </c>
      <c r="E157" s="148">
        <f>WEEKNUM(Table1[[#This Row],[Dt da abertura]],1)</f>
        <v>18</v>
      </c>
      <c r="F157" s="147">
        <v>46139</v>
      </c>
      <c r="G157" s="147">
        <v>46139</v>
      </c>
      <c r="H157" s="147">
        <v>46141</v>
      </c>
      <c r="I157" s="147">
        <v>46147</v>
      </c>
      <c r="J157" s="147"/>
      <c r="K157" s="149" t="s">
        <v>114</v>
      </c>
      <c r="L157" s="149" t="s">
        <v>11</v>
      </c>
      <c r="M157" s="149" t="str">
        <f>VLOOKUP(U157,Hierarquia!A:K,6,0)</f>
        <v>FADEL</v>
      </c>
      <c r="N157" s="149"/>
      <c r="O157" s="149" t="s">
        <v>115</v>
      </c>
      <c r="P157" s="133">
        <v>525</v>
      </c>
      <c r="Q157" s="135">
        <v>46139</v>
      </c>
      <c r="R157" s="133" t="s">
        <v>116</v>
      </c>
      <c r="S157" s="135" t="s">
        <v>133</v>
      </c>
      <c r="T157" s="133" t="s">
        <v>26</v>
      </c>
      <c r="U157" s="133" t="s">
        <v>134</v>
      </c>
      <c r="V157" s="135">
        <v>46135</v>
      </c>
      <c r="W157" s="133">
        <v>1557598</v>
      </c>
      <c r="X157" s="133">
        <v>6876846494</v>
      </c>
      <c r="Y157" s="133" t="s">
        <v>34</v>
      </c>
      <c r="Z157" s="133" t="s">
        <v>444</v>
      </c>
      <c r="AF157" s="133" t="s">
        <v>223</v>
      </c>
      <c r="AG157" s="133" t="s">
        <v>131</v>
      </c>
      <c r="AI157" s="133" t="s">
        <v>445</v>
      </c>
    </row>
    <row r="158" spans="1:35" x14ac:dyDescent="0.2">
      <c r="A158" s="139">
        <f>Table1[[#This Row],[Qual a Numeração da Nota Fiscal com divergência ?]]</f>
        <v>1558520</v>
      </c>
      <c r="B158" s="146" t="s">
        <v>33</v>
      </c>
      <c r="C158" s="147" t="s">
        <v>111</v>
      </c>
      <c r="D158" s="147" t="s">
        <v>401</v>
      </c>
      <c r="E158" s="148">
        <f>WEEKNUM(Table1[[#This Row],[Dt da abertura]],1)</f>
        <v>18</v>
      </c>
      <c r="F158" s="147">
        <v>46139</v>
      </c>
      <c r="G158" s="147">
        <v>46139</v>
      </c>
      <c r="H158" s="147">
        <v>46141</v>
      </c>
      <c r="I158" s="147">
        <v>46147</v>
      </c>
      <c r="J158" s="147"/>
      <c r="K158" s="149" t="s">
        <v>114</v>
      </c>
      <c r="L158" s="149" t="s">
        <v>11</v>
      </c>
      <c r="M158" s="149" t="str">
        <f>VLOOKUP(U158,Hierarquia!A:K,6,0)</f>
        <v>FADEL</v>
      </c>
      <c r="N158" s="149"/>
      <c r="O158" s="149" t="s">
        <v>115</v>
      </c>
      <c r="P158" s="133">
        <v>526</v>
      </c>
      <c r="Q158" s="135">
        <v>46139</v>
      </c>
      <c r="R158" s="133" t="s">
        <v>116</v>
      </c>
      <c r="S158" s="135" t="s">
        <v>334</v>
      </c>
      <c r="T158" s="133" t="s">
        <v>26</v>
      </c>
      <c r="U158" s="133" t="s">
        <v>168</v>
      </c>
      <c r="V158" s="135">
        <v>46139</v>
      </c>
      <c r="W158" s="133">
        <v>1558520</v>
      </c>
      <c r="X158" s="133">
        <v>6876883358</v>
      </c>
      <c r="Y158" s="133" t="s">
        <v>34</v>
      </c>
      <c r="Z158" s="133" t="s">
        <v>446</v>
      </c>
      <c r="AF158" s="133">
        <v>10249970</v>
      </c>
      <c r="AG158" s="133" t="s">
        <v>121</v>
      </c>
      <c r="AI158" s="133" t="s">
        <v>446</v>
      </c>
    </row>
    <row r="159" spans="1:35" x14ac:dyDescent="0.2">
      <c r="A159" s="139">
        <f>Table1[[#This Row],[Qual a Numeração da Nota Fiscal com divergência ?]]</f>
        <v>1558520</v>
      </c>
      <c r="B159" s="146" t="s">
        <v>145</v>
      </c>
      <c r="C159" s="147" t="s">
        <v>111</v>
      </c>
      <c r="D159" s="147" t="s">
        <v>401</v>
      </c>
      <c r="E159" s="148">
        <f>WEEKNUM(Table1[[#This Row],[Dt da abertura]],1)</f>
        <v>18</v>
      </c>
      <c r="F159" s="147">
        <v>46139</v>
      </c>
      <c r="G159" s="147">
        <v>46139</v>
      </c>
      <c r="H159" s="147">
        <v>46141</v>
      </c>
      <c r="I159" s="147">
        <v>46147</v>
      </c>
      <c r="J159" s="147"/>
      <c r="K159" s="149" t="s">
        <v>114</v>
      </c>
      <c r="L159" s="149" t="s">
        <v>11</v>
      </c>
      <c r="M159" s="149" t="str">
        <f>VLOOKUP(U159,Hierarquia!A:K,6,0)</f>
        <v>FADEL</v>
      </c>
      <c r="N159" s="149"/>
      <c r="O159" s="149" t="s">
        <v>115</v>
      </c>
      <c r="P159" s="133">
        <v>527</v>
      </c>
      <c r="Q159" s="135">
        <v>46139</v>
      </c>
      <c r="R159" s="133" t="s">
        <v>116</v>
      </c>
      <c r="S159" s="135" t="s">
        <v>353</v>
      </c>
      <c r="T159" s="133" t="s">
        <v>26</v>
      </c>
      <c r="U159" s="133" t="s">
        <v>168</v>
      </c>
      <c r="V159" s="135">
        <v>46139</v>
      </c>
      <c r="W159" s="133">
        <v>1558520</v>
      </c>
      <c r="X159" s="133">
        <v>6876883358</v>
      </c>
      <c r="Y159" s="133" t="s">
        <v>34</v>
      </c>
      <c r="Z159" s="133" t="s">
        <v>447</v>
      </c>
      <c r="AF159" s="133">
        <v>10249970</v>
      </c>
      <c r="AG159" s="133" t="s">
        <v>121</v>
      </c>
      <c r="AI159" s="133" t="s">
        <v>447</v>
      </c>
    </row>
    <row r="160" spans="1:35" x14ac:dyDescent="0.2">
      <c r="A160" s="139">
        <f>Table1[[#This Row],[Qual a Numeração da Nota Fiscal com divergência ?]]</f>
        <v>1558543</v>
      </c>
      <c r="B160" s="146" t="s">
        <v>33</v>
      </c>
      <c r="C160" s="147" t="s">
        <v>111</v>
      </c>
      <c r="D160" s="147" t="s">
        <v>401</v>
      </c>
      <c r="E160" s="148">
        <f>WEEKNUM(Table1[[#This Row],[Dt da abertura]],1)</f>
        <v>18</v>
      </c>
      <c r="F160" s="147">
        <v>46139</v>
      </c>
      <c r="G160" s="147">
        <v>46139</v>
      </c>
      <c r="H160" s="147">
        <v>46141</v>
      </c>
      <c r="I160" s="147">
        <v>46147</v>
      </c>
      <c r="J160" s="147"/>
      <c r="K160" s="149" t="s">
        <v>114</v>
      </c>
      <c r="L160" s="149" t="s">
        <v>11</v>
      </c>
      <c r="M160" s="149" t="str">
        <f>VLOOKUP(U160,Hierarquia!A:K,6,0)</f>
        <v>FADEL</v>
      </c>
      <c r="N160" s="149"/>
      <c r="O160" s="149" t="s">
        <v>115</v>
      </c>
      <c r="P160" s="133">
        <v>528</v>
      </c>
      <c r="Q160" s="135">
        <v>46139</v>
      </c>
      <c r="R160" s="133" t="s">
        <v>116</v>
      </c>
      <c r="S160" s="135" t="s">
        <v>353</v>
      </c>
      <c r="T160" s="133" t="s">
        <v>26</v>
      </c>
      <c r="U160" s="133" t="s">
        <v>160</v>
      </c>
      <c r="V160" s="135">
        <v>46139</v>
      </c>
      <c r="W160" s="133">
        <v>1558543</v>
      </c>
      <c r="X160" s="133">
        <v>6876838067</v>
      </c>
      <c r="Y160" s="133" t="s">
        <v>35</v>
      </c>
      <c r="Z160" s="133" t="s">
        <v>448</v>
      </c>
      <c r="AF160" s="133">
        <v>0</v>
      </c>
      <c r="AG160" s="133" t="s">
        <v>121</v>
      </c>
      <c r="AI160" s="133" t="s">
        <v>448</v>
      </c>
    </row>
    <row r="161" spans="1:35" hidden="1" x14ac:dyDescent="0.2">
      <c r="A161" s="139">
        <f>Table1[[#This Row],[Qual a Numeração da Nota Fiscal com divergência ?]]</f>
        <v>15496829</v>
      </c>
      <c r="B161" s="146" t="s">
        <v>25</v>
      </c>
      <c r="C161" s="147" t="s">
        <v>111</v>
      </c>
      <c r="D161" s="147" t="s">
        <v>401</v>
      </c>
      <c r="E161" s="148">
        <f>WEEKNUM(Table1[[#This Row],[Dt da abertura]],1)</f>
        <v>18</v>
      </c>
      <c r="F161" s="147">
        <v>46142</v>
      </c>
      <c r="G161" s="147">
        <v>46140</v>
      </c>
      <c r="H161" s="147">
        <v>46147</v>
      </c>
      <c r="I161" s="147">
        <v>46147</v>
      </c>
      <c r="J161" s="147"/>
      <c r="K161" s="149" t="s">
        <v>114</v>
      </c>
      <c r="L161" s="149" t="s">
        <v>420</v>
      </c>
      <c r="M161" s="149" t="str">
        <f>VLOOKUP(U161,Hierarquia!A:K,6,0)</f>
        <v>BAT</v>
      </c>
      <c r="N161" s="149"/>
      <c r="O161" s="149" t="s">
        <v>115</v>
      </c>
      <c r="P161" s="133">
        <v>529</v>
      </c>
      <c r="Q161" s="135">
        <v>46140</v>
      </c>
      <c r="R161" s="133" t="s">
        <v>116</v>
      </c>
      <c r="S161" s="135" t="s">
        <v>413</v>
      </c>
      <c r="T161" s="133" t="s">
        <v>28</v>
      </c>
      <c r="U161" s="133" t="s">
        <v>414</v>
      </c>
      <c r="V161" s="135">
        <v>46134</v>
      </c>
      <c r="W161" s="133">
        <v>15496829</v>
      </c>
      <c r="X161" s="133" t="s">
        <v>449</v>
      </c>
      <c r="Y161" s="133" t="s">
        <v>35</v>
      </c>
      <c r="Z161" s="133" t="s">
        <v>264</v>
      </c>
      <c r="AF161" s="133" t="s">
        <v>450</v>
      </c>
      <c r="AG161" s="133" t="s">
        <v>126</v>
      </c>
      <c r="AI161" s="133" t="s">
        <v>451</v>
      </c>
    </row>
    <row r="162" spans="1:35" hidden="1" x14ac:dyDescent="0.2">
      <c r="A162" s="139">
        <f>Table1[[#This Row],[Qual a Numeração da Nota Fiscal com divergência ?]]</f>
        <v>15496819</v>
      </c>
      <c r="B162" s="146" t="s">
        <v>25</v>
      </c>
      <c r="C162" s="147" t="s">
        <v>111</v>
      </c>
      <c r="D162" s="147" t="s">
        <v>401</v>
      </c>
      <c r="E162" s="148">
        <f>WEEKNUM(Table1[[#This Row],[Dt da abertura]],1)</f>
        <v>18</v>
      </c>
      <c r="F162" s="147">
        <v>46142</v>
      </c>
      <c r="G162" s="147">
        <v>46140</v>
      </c>
      <c r="H162" s="147">
        <v>46147</v>
      </c>
      <c r="I162" s="147">
        <v>46147</v>
      </c>
      <c r="J162" s="147"/>
      <c r="K162" s="149" t="s">
        <v>114</v>
      </c>
      <c r="L162" s="149" t="s">
        <v>420</v>
      </c>
      <c r="M162" s="149" t="str">
        <f>VLOOKUP(U162,Hierarquia!A:K,6,0)</f>
        <v>BAT</v>
      </c>
      <c r="N162" s="149"/>
      <c r="O162" s="149" t="s">
        <v>115</v>
      </c>
      <c r="P162" s="133">
        <v>530</v>
      </c>
      <c r="Q162" s="135">
        <v>46140</v>
      </c>
      <c r="R162" s="133" t="s">
        <v>116</v>
      </c>
      <c r="S162" s="135" t="s">
        <v>413</v>
      </c>
      <c r="T162" s="133" t="s">
        <v>28</v>
      </c>
      <c r="U162" s="133" t="s">
        <v>414</v>
      </c>
      <c r="V162" s="135">
        <v>46134</v>
      </c>
      <c r="W162" s="133">
        <v>15496819</v>
      </c>
      <c r="X162" s="133" t="s">
        <v>452</v>
      </c>
      <c r="Y162" s="133" t="s">
        <v>35</v>
      </c>
      <c r="Z162" s="133" t="s">
        <v>450</v>
      </c>
      <c r="AF162" s="133" t="s">
        <v>264</v>
      </c>
      <c r="AG162" s="133" t="s">
        <v>126</v>
      </c>
      <c r="AI162" s="133" t="s">
        <v>453</v>
      </c>
    </row>
    <row r="163" spans="1:35" x14ac:dyDescent="0.2">
      <c r="A163" s="139">
        <f>Table1[[#This Row],[Qual a Numeração da Nota Fiscal com divergência ?]]</f>
        <v>1558987</v>
      </c>
      <c r="B163" s="146" t="s">
        <v>33</v>
      </c>
      <c r="C163" s="147" t="s">
        <v>111</v>
      </c>
      <c r="D163" s="147" t="s">
        <v>401</v>
      </c>
      <c r="E163" s="148">
        <f>WEEKNUM(Table1[[#This Row],[Dt da abertura]],1)</f>
        <v>18</v>
      </c>
      <c r="F163" s="147">
        <v>46142</v>
      </c>
      <c r="G163" s="147">
        <v>46140</v>
      </c>
      <c r="H163" s="147">
        <v>46147</v>
      </c>
      <c r="I163" s="147">
        <v>46147</v>
      </c>
      <c r="J163" s="147"/>
      <c r="K163" s="149" t="s">
        <v>114</v>
      </c>
      <c r="L163" s="149" t="s">
        <v>11</v>
      </c>
      <c r="M163" s="149" t="str">
        <f>VLOOKUP(U163,Hierarquia!A:K,6,0)</f>
        <v>FADEL</v>
      </c>
      <c r="N163" s="149"/>
      <c r="O163" s="149" t="s">
        <v>115</v>
      </c>
      <c r="P163" s="133">
        <v>531</v>
      </c>
      <c r="Q163" s="135">
        <v>46140</v>
      </c>
      <c r="R163" s="133" t="s">
        <v>116</v>
      </c>
      <c r="S163" s="135" t="s">
        <v>133</v>
      </c>
      <c r="T163" s="133" t="s">
        <v>26</v>
      </c>
      <c r="U163" s="133" t="s">
        <v>215</v>
      </c>
      <c r="V163" s="135">
        <v>46140</v>
      </c>
      <c r="W163" s="133">
        <v>1558987</v>
      </c>
      <c r="X163" s="133">
        <v>6876911708</v>
      </c>
      <c r="Y163" s="133" t="s">
        <v>35</v>
      </c>
      <c r="Z163" s="133" t="s">
        <v>454</v>
      </c>
      <c r="AF163" s="133" t="s">
        <v>223</v>
      </c>
      <c r="AG163" s="133" t="s">
        <v>131</v>
      </c>
    </row>
    <row r="164" spans="1:35" hidden="1" x14ac:dyDescent="0.2">
      <c r="A164" s="139">
        <f>Table1[[#This Row],[Qual a Numeração da Nota Fiscal com divergência ?]]</f>
        <v>1548787</v>
      </c>
      <c r="B164" s="146" t="s">
        <v>25</v>
      </c>
      <c r="C164" s="147" t="s">
        <v>111</v>
      </c>
      <c r="D164" s="147" t="s">
        <v>401</v>
      </c>
      <c r="E164" s="148">
        <f>WEEKNUM(Table1[[#This Row],[Dt da abertura]],1)</f>
        <v>18</v>
      </c>
      <c r="F164" s="147">
        <v>46142</v>
      </c>
      <c r="G164" s="147">
        <v>46141</v>
      </c>
      <c r="H164" s="147">
        <v>46147</v>
      </c>
      <c r="I164" s="147">
        <v>46147</v>
      </c>
      <c r="J164" s="147"/>
      <c r="K164" s="149" t="s">
        <v>114</v>
      </c>
      <c r="L164" s="149" t="s">
        <v>420</v>
      </c>
      <c r="M164" s="149" t="str">
        <f>VLOOKUP(U164,Hierarquia!A:K,6,0)</f>
        <v>BAT</v>
      </c>
      <c r="N164" s="149"/>
      <c r="O164" s="149" t="s">
        <v>115</v>
      </c>
      <c r="P164" s="133">
        <v>532</v>
      </c>
      <c r="Q164" s="135">
        <v>46140</v>
      </c>
      <c r="R164" s="133" t="s">
        <v>116</v>
      </c>
      <c r="S164" s="135" t="s">
        <v>171</v>
      </c>
      <c r="T164" s="133" t="s">
        <v>28</v>
      </c>
      <c r="U164" s="133" t="s">
        <v>172</v>
      </c>
      <c r="V164" s="135">
        <v>46112</v>
      </c>
      <c r="W164" s="133">
        <v>1548787</v>
      </c>
      <c r="X164" s="133">
        <v>6876476639</v>
      </c>
      <c r="Y164" s="133" t="s">
        <v>35</v>
      </c>
      <c r="Z164" s="133" t="s">
        <v>455</v>
      </c>
      <c r="AF164" s="133">
        <v>0</v>
      </c>
      <c r="AG164" s="133" t="s">
        <v>121</v>
      </c>
    </row>
    <row r="165" spans="1:35" hidden="1" x14ac:dyDescent="0.2">
      <c r="A165" s="139">
        <f>Table1[[#This Row],[Qual a Numeração da Nota Fiscal com divergência ?]]</f>
        <v>1559947</v>
      </c>
      <c r="B165" s="146" t="s">
        <v>33</v>
      </c>
      <c r="C165" s="147" t="s">
        <v>111</v>
      </c>
      <c r="D165" s="147" t="s">
        <v>401</v>
      </c>
      <c r="E165" s="148">
        <f>WEEKNUM(Table1[[#This Row],[Dt da abertura]],1)</f>
        <v>18</v>
      </c>
      <c r="F165" s="147">
        <v>46142</v>
      </c>
      <c r="G165" s="147">
        <v>46141</v>
      </c>
      <c r="H165" s="147">
        <v>46147</v>
      </c>
      <c r="I165" s="147">
        <v>46147</v>
      </c>
      <c r="J165" s="147"/>
      <c r="K165" s="149" t="s">
        <v>114</v>
      </c>
      <c r="L165" s="149" t="s">
        <v>420</v>
      </c>
      <c r="M165" s="149" t="str">
        <f>VLOOKUP(U165,Hierarquia!A:K,6,0)</f>
        <v>BAT</v>
      </c>
      <c r="N165" s="149"/>
      <c r="O165" s="149" t="s">
        <v>115</v>
      </c>
      <c r="P165" s="133">
        <v>533</v>
      </c>
      <c r="Q165" s="135">
        <v>46141</v>
      </c>
      <c r="R165" s="133" t="s">
        <v>116</v>
      </c>
      <c r="S165" s="135" t="s">
        <v>365</v>
      </c>
      <c r="T165" s="133" t="s">
        <v>28</v>
      </c>
      <c r="U165" s="133" t="s">
        <v>259</v>
      </c>
      <c r="V165" s="135">
        <v>46141</v>
      </c>
      <c r="W165" s="133">
        <v>1559947</v>
      </c>
      <c r="X165" s="133">
        <v>6876920167</v>
      </c>
      <c r="Y165" s="133" t="s">
        <v>35</v>
      </c>
      <c r="Z165" s="133" t="s">
        <v>456</v>
      </c>
      <c r="AF165" s="133">
        <v>0</v>
      </c>
      <c r="AG165" s="133" t="s">
        <v>126</v>
      </c>
      <c r="AI165" s="133" t="s">
        <v>457</v>
      </c>
    </row>
    <row r="166" spans="1:35" hidden="1" x14ac:dyDescent="0.2">
      <c r="A166" s="139">
        <f>Table1[[#This Row],[Qual a Numeração da Nota Fiscal com divergência ?]]</f>
        <v>1559957</v>
      </c>
      <c r="B166" s="146" t="s">
        <v>33</v>
      </c>
      <c r="C166" s="147" t="s">
        <v>111</v>
      </c>
      <c r="D166" s="147" t="s">
        <v>401</v>
      </c>
      <c r="E166" s="148">
        <f>WEEKNUM(Table1[[#This Row],[Dt da abertura]],1)</f>
        <v>18</v>
      </c>
      <c r="F166" s="147">
        <v>46142</v>
      </c>
      <c r="G166" s="147">
        <v>46141</v>
      </c>
      <c r="H166" s="147">
        <v>46147</v>
      </c>
      <c r="I166" s="147">
        <v>46147</v>
      </c>
      <c r="J166" s="147"/>
      <c r="K166" s="149" t="s">
        <v>114</v>
      </c>
      <c r="L166" s="149" t="s">
        <v>420</v>
      </c>
      <c r="M166" s="149" t="str">
        <f>VLOOKUP(U166,Hierarquia!A:K,6,0)</f>
        <v>BAT</v>
      </c>
      <c r="N166" s="149"/>
      <c r="O166" s="149" t="s">
        <v>115</v>
      </c>
      <c r="P166" s="133">
        <v>534</v>
      </c>
      <c r="Q166" s="135">
        <v>46141</v>
      </c>
      <c r="R166" s="133" t="s">
        <v>116</v>
      </c>
      <c r="S166" s="135" t="s">
        <v>365</v>
      </c>
      <c r="T166" s="133" t="s">
        <v>28</v>
      </c>
      <c r="U166" s="133" t="s">
        <v>259</v>
      </c>
      <c r="V166" s="135">
        <v>46141</v>
      </c>
      <c r="W166" s="133">
        <v>1559957</v>
      </c>
      <c r="X166" s="133">
        <v>6876927815</v>
      </c>
      <c r="Y166" s="133" t="s">
        <v>35</v>
      </c>
      <c r="Z166" s="133" t="s">
        <v>458</v>
      </c>
      <c r="AF166" s="133">
        <v>0</v>
      </c>
      <c r="AG166" s="133" t="s">
        <v>126</v>
      </c>
      <c r="AI166" s="133" t="s">
        <v>459</v>
      </c>
    </row>
    <row r="167" spans="1:35" hidden="1" x14ac:dyDescent="0.2">
      <c r="A167" s="139">
        <f>Table1[[#This Row],[Qual a Numeração da Nota Fiscal com divergência ?]]</f>
        <v>1559998</v>
      </c>
      <c r="B167" s="146" t="s">
        <v>33</v>
      </c>
      <c r="C167" s="147" t="s">
        <v>111</v>
      </c>
      <c r="D167" s="147" t="s">
        <v>401</v>
      </c>
      <c r="E167" s="148">
        <f>WEEKNUM(Table1[[#This Row],[Dt da abertura]],1)</f>
        <v>18</v>
      </c>
      <c r="F167" s="147">
        <v>46142</v>
      </c>
      <c r="G167" s="147">
        <v>46141</v>
      </c>
      <c r="H167" s="147">
        <v>46147</v>
      </c>
      <c r="I167" s="147">
        <v>46147</v>
      </c>
      <c r="J167" s="147"/>
      <c r="K167" s="149" t="s">
        <v>114</v>
      </c>
      <c r="L167" s="149" t="s">
        <v>420</v>
      </c>
      <c r="M167" s="149" t="str">
        <f>VLOOKUP(U167,Hierarquia!A:K,6,0)</f>
        <v>BAT</v>
      </c>
      <c r="N167" s="149"/>
      <c r="O167" s="149" t="s">
        <v>115</v>
      </c>
      <c r="P167" s="133">
        <v>535</v>
      </c>
      <c r="Q167" s="135">
        <v>46141</v>
      </c>
      <c r="R167" s="133" t="s">
        <v>116</v>
      </c>
      <c r="S167" s="135" t="s">
        <v>365</v>
      </c>
      <c r="T167" s="133" t="s">
        <v>28</v>
      </c>
      <c r="U167" s="133" t="s">
        <v>259</v>
      </c>
      <c r="V167" s="135">
        <v>46141</v>
      </c>
      <c r="W167" s="133">
        <v>1559998</v>
      </c>
      <c r="X167" s="133">
        <v>6876935733</v>
      </c>
      <c r="Y167" s="133" t="s">
        <v>35</v>
      </c>
      <c r="Z167" s="133" t="s">
        <v>460</v>
      </c>
      <c r="AF167" s="133">
        <v>0</v>
      </c>
      <c r="AG167" s="133" t="s">
        <v>126</v>
      </c>
      <c r="AI167" s="133" t="s">
        <v>459</v>
      </c>
    </row>
    <row r="168" spans="1:35" x14ac:dyDescent="0.2">
      <c r="A168" s="139">
        <f>Table1[[#This Row],[Qual a Numeração da Nota Fiscal com divergência ?]]</f>
        <v>1559578</v>
      </c>
      <c r="B168" s="146" t="s">
        <v>33</v>
      </c>
      <c r="C168" s="147" t="s">
        <v>111</v>
      </c>
      <c r="D168" s="147" t="s">
        <v>401</v>
      </c>
      <c r="E168" s="148">
        <f>WEEKNUM(Table1[[#This Row],[Dt da abertura]],1)</f>
        <v>18</v>
      </c>
      <c r="F168" s="147">
        <v>46142</v>
      </c>
      <c r="G168" s="147">
        <v>46141</v>
      </c>
      <c r="H168" s="147">
        <v>46147</v>
      </c>
      <c r="I168" s="147">
        <v>46147</v>
      </c>
      <c r="J168" s="147"/>
      <c r="K168" s="149" t="s">
        <v>114</v>
      </c>
      <c r="L168" s="149" t="s">
        <v>11</v>
      </c>
      <c r="M168" s="149" t="str">
        <f>VLOOKUP(U168,Hierarquia!A:K,6,0)</f>
        <v>FADEL</v>
      </c>
      <c r="N168" s="149"/>
      <c r="O168" s="149" t="s">
        <v>115</v>
      </c>
      <c r="P168" s="133">
        <v>536</v>
      </c>
      <c r="Q168" s="135">
        <v>46141</v>
      </c>
      <c r="R168" s="133" t="s">
        <v>116</v>
      </c>
      <c r="S168" s="133" t="s">
        <v>133</v>
      </c>
      <c r="T168" s="133" t="s">
        <v>26</v>
      </c>
      <c r="U168" s="133" t="s">
        <v>273</v>
      </c>
      <c r="V168" s="135">
        <v>46141</v>
      </c>
      <c r="W168" s="133">
        <v>1559578</v>
      </c>
      <c r="X168" s="133">
        <v>6876909664</v>
      </c>
      <c r="Y168" s="133" t="s">
        <v>35</v>
      </c>
      <c r="Z168" s="133" t="s">
        <v>461</v>
      </c>
      <c r="AF168" s="133">
        <v>10275286</v>
      </c>
      <c r="AG168" s="133" t="s">
        <v>121</v>
      </c>
      <c r="AI168" s="133" t="s">
        <v>461</v>
      </c>
    </row>
    <row r="169" spans="1:35" x14ac:dyDescent="0.2">
      <c r="A169" s="139">
        <f>Table1[[#This Row],[Qual a Numeração da Nota Fiscal com divergência ?]]</f>
        <v>1560219</v>
      </c>
      <c r="B169" s="146" t="s">
        <v>33</v>
      </c>
      <c r="C169" s="147" t="s">
        <v>111</v>
      </c>
      <c r="D169" s="147" t="s">
        <v>42</v>
      </c>
      <c r="E169" s="148">
        <f>WEEKNUM(Table1[[#This Row],[Dt da abertura]],1)</f>
        <v>18</v>
      </c>
      <c r="F169" s="147">
        <v>46146</v>
      </c>
      <c r="G169" s="147">
        <v>46142</v>
      </c>
      <c r="H169" s="147">
        <v>46148</v>
      </c>
      <c r="I169" s="147">
        <v>46147</v>
      </c>
      <c r="J169" s="147"/>
      <c r="K169" s="149" t="s">
        <v>114</v>
      </c>
      <c r="L169" s="149" t="s">
        <v>11</v>
      </c>
      <c r="M169" s="149" t="str">
        <f>VLOOKUP(U169,Hierarquia!A:K,6,0)</f>
        <v>FADEL</v>
      </c>
      <c r="N169" s="149"/>
      <c r="O169" s="149" t="s">
        <v>115</v>
      </c>
      <c r="P169" s="133">
        <v>537</v>
      </c>
      <c r="Q169" s="135">
        <v>46141.523738425902</v>
      </c>
      <c r="R169" s="133" t="s">
        <v>116</v>
      </c>
      <c r="S169" s="133" t="s">
        <v>133</v>
      </c>
      <c r="T169" s="133" t="s">
        <v>26</v>
      </c>
      <c r="U169" s="133" t="s">
        <v>432</v>
      </c>
      <c r="V169" s="135">
        <v>46142</v>
      </c>
      <c r="W169" s="133">
        <v>1560219</v>
      </c>
      <c r="X169" s="133">
        <v>6876962287</v>
      </c>
      <c r="Y169" s="133" t="s">
        <v>35</v>
      </c>
      <c r="Z169" s="133" t="s">
        <v>462</v>
      </c>
      <c r="AF169" s="133">
        <v>10275286</v>
      </c>
      <c r="AG169" s="133" t="s">
        <v>121</v>
      </c>
    </row>
    <row r="170" spans="1:35" hidden="1" x14ac:dyDescent="0.2">
      <c r="A170" s="139">
        <f>Table1[[#This Row],[Qual a Numeração da Nota Fiscal com divergência ?]]</f>
        <v>1552788</v>
      </c>
      <c r="B170" s="146" t="s">
        <v>25</v>
      </c>
      <c r="C170" s="147" t="s">
        <v>111</v>
      </c>
      <c r="D170" s="147" t="s">
        <v>42</v>
      </c>
      <c r="E170" s="148">
        <f>WEEKNUM(Table1[[#This Row],[Dt da abertura]],1)</f>
        <v>18</v>
      </c>
      <c r="F170" s="147">
        <v>46146</v>
      </c>
      <c r="G170" s="147">
        <v>46142</v>
      </c>
      <c r="H170" s="147">
        <v>46148</v>
      </c>
      <c r="I170" s="147">
        <v>46147</v>
      </c>
      <c r="J170" s="147"/>
      <c r="K170" s="149" t="s">
        <v>114</v>
      </c>
      <c r="L170" s="149" t="s">
        <v>463</v>
      </c>
      <c r="M170" s="149" t="str">
        <f>VLOOKUP(U170,Hierarquia!A:K,6,0)</f>
        <v>BAT</v>
      </c>
      <c r="N170" s="149"/>
      <c r="O170" s="149" t="s">
        <v>115</v>
      </c>
      <c r="P170" s="133">
        <v>538</v>
      </c>
      <c r="Q170" s="135">
        <v>46142.5714351852</v>
      </c>
      <c r="R170" s="133" t="s">
        <v>116</v>
      </c>
      <c r="S170" s="133" t="s">
        <v>464</v>
      </c>
      <c r="T170" s="133" t="s">
        <v>28</v>
      </c>
      <c r="U170" s="133" t="s">
        <v>465</v>
      </c>
      <c r="V170" s="135">
        <v>46142</v>
      </c>
      <c r="W170" s="133">
        <v>1552788</v>
      </c>
      <c r="X170" s="133">
        <v>687661705</v>
      </c>
      <c r="Y170" s="133" t="s">
        <v>35</v>
      </c>
      <c r="Z170" s="133" t="s">
        <v>466</v>
      </c>
      <c r="AF170" s="133" t="s">
        <v>467</v>
      </c>
      <c r="AG170" s="133" t="s">
        <v>121</v>
      </c>
    </row>
    <row r="171" spans="1:35" x14ac:dyDescent="0.2">
      <c r="A171" s="139">
        <f>Table1[[#This Row],[Qual a Numeração da Nota Fiscal com divergência ?]]</f>
        <v>1560436</v>
      </c>
      <c r="B171" s="146" t="s">
        <v>30</v>
      </c>
      <c r="C171" s="147" t="s">
        <v>111</v>
      </c>
      <c r="D171" s="147" t="s">
        <v>42</v>
      </c>
      <c r="E171" s="148">
        <f>WEEKNUM(Table1[[#This Row],[Dt da abertura]],1)</f>
        <v>18</v>
      </c>
      <c r="F171" s="147">
        <v>46146</v>
      </c>
      <c r="G171" s="147">
        <v>46142</v>
      </c>
      <c r="H171" s="147">
        <v>46148</v>
      </c>
      <c r="I171" s="147">
        <v>46147</v>
      </c>
      <c r="J171" s="147"/>
      <c r="K171" s="149" t="s">
        <v>114</v>
      </c>
      <c r="L171" s="149" t="s">
        <v>11</v>
      </c>
      <c r="M171" s="149" t="str">
        <f>VLOOKUP(U171,Hierarquia!A:K,6,0)</f>
        <v>FADEL</v>
      </c>
      <c r="N171" s="149"/>
      <c r="O171" s="149" t="s">
        <v>115</v>
      </c>
      <c r="P171" s="133">
        <v>539</v>
      </c>
      <c r="Q171" s="135">
        <v>46142.667569444398</v>
      </c>
      <c r="R171" s="133" t="s">
        <v>116</v>
      </c>
      <c r="S171" s="133" t="s">
        <v>133</v>
      </c>
      <c r="T171" s="133" t="s">
        <v>26</v>
      </c>
      <c r="U171" s="133" t="s">
        <v>316</v>
      </c>
      <c r="V171" s="135">
        <v>46142</v>
      </c>
      <c r="W171" s="133">
        <v>1560436</v>
      </c>
      <c r="X171" s="133">
        <v>6875988807</v>
      </c>
      <c r="Y171" s="133" t="s">
        <v>35</v>
      </c>
      <c r="Z171" s="133" t="s">
        <v>468</v>
      </c>
      <c r="AF171" s="133" t="s">
        <v>469</v>
      </c>
      <c r="AG171" s="133" t="s">
        <v>131</v>
      </c>
    </row>
    <row r="172" spans="1:35" x14ac:dyDescent="0.2">
      <c r="A172" s="139">
        <f>Table1[[#This Row],[Qual a Numeração da Nota Fiscal com divergência ?]]</f>
        <v>1560502</v>
      </c>
      <c r="B172" s="146" t="s">
        <v>33</v>
      </c>
      <c r="C172" s="147" t="s">
        <v>111</v>
      </c>
      <c r="D172" s="147" t="s">
        <v>42</v>
      </c>
      <c r="E172" s="148">
        <f>WEEKNUM(Table1[[#This Row],[Dt da abertura]],1)</f>
        <v>18</v>
      </c>
      <c r="F172" s="147">
        <v>46146</v>
      </c>
      <c r="G172" s="147">
        <v>46142</v>
      </c>
      <c r="H172" s="147">
        <v>46148</v>
      </c>
      <c r="I172" s="147">
        <v>46147</v>
      </c>
      <c r="J172" s="147"/>
      <c r="K172" s="149" t="s">
        <v>114</v>
      </c>
      <c r="L172" s="149" t="s">
        <v>11</v>
      </c>
      <c r="M172" s="149" t="str">
        <f>VLOOKUP(U172,Hierarquia!A:K,6,0)</f>
        <v>FADEL</v>
      </c>
      <c r="N172" s="149"/>
      <c r="O172" s="149" t="s">
        <v>115</v>
      </c>
      <c r="P172" s="133">
        <v>540</v>
      </c>
      <c r="Q172" s="135">
        <v>46142.730127314797</v>
      </c>
      <c r="R172" s="133" t="s">
        <v>116</v>
      </c>
      <c r="S172" s="133" t="s">
        <v>133</v>
      </c>
      <c r="T172" s="133" t="s">
        <v>26</v>
      </c>
      <c r="U172" s="133" t="s">
        <v>316</v>
      </c>
      <c r="V172" s="135">
        <v>46142</v>
      </c>
      <c r="W172" s="133">
        <v>1560502</v>
      </c>
      <c r="X172" s="133">
        <v>6876957005</v>
      </c>
      <c r="Y172" s="133" t="s">
        <v>34</v>
      </c>
      <c r="Z172" s="133" t="s">
        <v>470</v>
      </c>
      <c r="AF172" s="133" t="s">
        <v>467</v>
      </c>
      <c r="AG172" s="133" t="s">
        <v>131</v>
      </c>
    </row>
    <row r="173" spans="1:35" x14ac:dyDescent="0.2">
      <c r="A173" s="139">
        <f>Table1[[#This Row],[Qual a Numeração da Nota Fiscal com divergência ?]]</f>
        <v>1560686</v>
      </c>
      <c r="B173" s="146" t="s">
        <v>33</v>
      </c>
      <c r="C173" s="147" t="s">
        <v>111</v>
      </c>
      <c r="D173" s="147" t="s">
        <v>42</v>
      </c>
      <c r="E173" s="148">
        <f>WEEKNUM(Table1[[#This Row],[Dt da abertura]],1)</f>
        <v>18</v>
      </c>
      <c r="F173" s="147">
        <v>46146</v>
      </c>
      <c r="G173" s="147">
        <v>46142</v>
      </c>
      <c r="H173" s="147">
        <v>46148</v>
      </c>
      <c r="I173" s="147">
        <v>46147</v>
      </c>
      <c r="J173" s="147"/>
      <c r="K173" s="149" t="s">
        <v>114</v>
      </c>
      <c r="L173" s="149" t="s">
        <v>11</v>
      </c>
      <c r="M173" s="149" t="str">
        <f>VLOOKUP(U173,Hierarquia!A:K,6,0)</f>
        <v>FADEL</v>
      </c>
      <c r="N173" s="149"/>
      <c r="O173" s="149" t="s">
        <v>115</v>
      </c>
      <c r="P173" s="133">
        <v>541</v>
      </c>
      <c r="Q173" s="135">
        <v>46142.7328009259</v>
      </c>
      <c r="R173" s="133" t="s">
        <v>116</v>
      </c>
      <c r="S173" s="133" t="s">
        <v>133</v>
      </c>
      <c r="T173" s="133" t="s">
        <v>26</v>
      </c>
      <c r="U173" s="133" t="s">
        <v>316</v>
      </c>
      <c r="V173" s="135">
        <v>46142</v>
      </c>
      <c r="W173" s="133">
        <v>1560686</v>
      </c>
      <c r="X173" s="133">
        <v>6876970072</v>
      </c>
      <c r="Y173" s="133" t="s">
        <v>35</v>
      </c>
      <c r="Z173" s="133" t="s">
        <v>471</v>
      </c>
      <c r="AF173" s="133" t="s">
        <v>223</v>
      </c>
      <c r="AG173" s="133" t="s">
        <v>131</v>
      </c>
    </row>
    <row r="174" spans="1:35" x14ac:dyDescent="0.2">
      <c r="A174" s="139">
        <f>Table1[[#This Row],[Qual a Numeração da Nota Fiscal com divergência ?]]</f>
        <v>1559977</v>
      </c>
      <c r="B174" s="146" t="s">
        <v>30</v>
      </c>
      <c r="C174" s="147" t="s">
        <v>111</v>
      </c>
      <c r="D174" s="147" t="s">
        <v>42</v>
      </c>
      <c r="E174" s="148">
        <f>WEEKNUM(Table1[[#This Row],[Dt da abertura]],1)</f>
        <v>19</v>
      </c>
      <c r="F174" s="147">
        <v>46146</v>
      </c>
      <c r="G174" s="147">
        <v>46146</v>
      </c>
      <c r="H174" s="147">
        <v>46148</v>
      </c>
      <c r="I174" s="147">
        <v>46147</v>
      </c>
      <c r="J174" s="147"/>
      <c r="K174" s="149" t="s">
        <v>114</v>
      </c>
      <c r="L174" s="149" t="s">
        <v>11</v>
      </c>
      <c r="M174" s="149" t="str">
        <f>VLOOKUP(U174,Hierarquia!A:K,6,0)</f>
        <v>FADEL</v>
      </c>
      <c r="N174" s="149"/>
      <c r="O174" s="149" t="s">
        <v>115</v>
      </c>
      <c r="P174" s="133">
        <v>542</v>
      </c>
      <c r="Q174" s="135">
        <v>46142.786122685196</v>
      </c>
      <c r="R174" s="133" t="s">
        <v>116</v>
      </c>
      <c r="S174" s="133" t="s">
        <v>133</v>
      </c>
      <c r="T174" s="133" t="s">
        <v>26</v>
      </c>
      <c r="U174" s="133" t="s">
        <v>472</v>
      </c>
      <c r="V174" s="135">
        <v>46141</v>
      </c>
      <c r="W174" s="133">
        <v>1559977</v>
      </c>
      <c r="X174" s="133">
        <v>6876956011</v>
      </c>
      <c r="Y174" s="133" t="s">
        <v>35</v>
      </c>
      <c r="Z174" s="133" t="s">
        <v>473</v>
      </c>
      <c r="AF174" s="133" t="s">
        <v>223</v>
      </c>
      <c r="AG174" s="133" t="s">
        <v>131</v>
      </c>
    </row>
    <row r="175" spans="1:35" x14ac:dyDescent="0.2">
      <c r="A175" s="139">
        <f>Table1[[#This Row],[Qual a Numeração da Nota Fiscal com divergência ?]]</f>
        <v>1559026</v>
      </c>
      <c r="B175" s="146" t="s">
        <v>33</v>
      </c>
      <c r="C175" s="147" t="s">
        <v>111</v>
      </c>
      <c r="D175" s="147" t="s">
        <v>42</v>
      </c>
      <c r="E175" s="148">
        <f>WEEKNUM(Table1[[#This Row],[Dt da abertura]],1)</f>
        <v>19</v>
      </c>
      <c r="F175" s="147">
        <v>46146</v>
      </c>
      <c r="G175" s="147">
        <v>46147</v>
      </c>
      <c r="H175" s="147">
        <v>46148</v>
      </c>
      <c r="I175" s="147">
        <v>46147</v>
      </c>
      <c r="J175" s="147"/>
      <c r="K175" s="149" t="s">
        <v>114</v>
      </c>
      <c r="L175" s="149" t="s">
        <v>11</v>
      </c>
      <c r="M175" s="149" t="str">
        <f>VLOOKUP(U175,Hierarquia!A:K,6,0)</f>
        <v>FADEL</v>
      </c>
      <c r="N175" s="149"/>
      <c r="O175" s="149" t="s">
        <v>115</v>
      </c>
      <c r="P175" s="133">
        <v>543</v>
      </c>
      <c r="Q175" s="135">
        <v>46146.660914351902</v>
      </c>
      <c r="R175" s="133" t="s">
        <v>116</v>
      </c>
      <c r="S175" s="133" t="s">
        <v>133</v>
      </c>
      <c r="T175" s="133" t="s">
        <v>26</v>
      </c>
      <c r="U175" s="133" t="s">
        <v>285</v>
      </c>
      <c r="V175" s="135">
        <v>46140</v>
      </c>
      <c r="W175" s="133">
        <v>1559026</v>
      </c>
      <c r="X175" s="133">
        <v>6876920773</v>
      </c>
      <c r="Y175" s="133" t="s">
        <v>34</v>
      </c>
      <c r="Z175" s="133" t="s">
        <v>474</v>
      </c>
      <c r="AF175" s="133" t="s">
        <v>223</v>
      </c>
      <c r="AG175" s="133" t="s">
        <v>121</v>
      </c>
    </row>
    <row r="176" spans="1:35" x14ac:dyDescent="0.2">
      <c r="A176" s="139">
        <f>Table1[[#This Row],[Qual a Numeração da Nota Fiscal com divergência ?]]</f>
        <v>1560335</v>
      </c>
      <c r="B176" s="146" t="s">
        <v>33</v>
      </c>
      <c r="C176" s="147" t="s">
        <v>111</v>
      </c>
      <c r="D176" s="147" t="s">
        <v>42</v>
      </c>
      <c r="E176" s="148">
        <f>WEEKNUM(Table1[[#This Row],[Dt da abertura]],1)</f>
        <v>19</v>
      </c>
      <c r="F176" s="147">
        <v>46146</v>
      </c>
      <c r="G176" s="147">
        <v>46147</v>
      </c>
      <c r="H176" s="147">
        <v>46148</v>
      </c>
      <c r="I176" s="147">
        <v>46147</v>
      </c>
      <c r="J176" s="147"/>
      <c r="K176" s="149" t="s">
        <v>114</v>
      </c>
      <c r="L176" s="149" t="s">
        <v>11</v>
      </c>
      <c r="M176" s="149" t="str">
        <f>VLOOKUP(U176,Hierarquia!A:K,6,0)</f>
        <v>FADEL</v>
      </c>
      <c r="N176" s="149"/>
      <c r="O176" s="149" t="s">
        <v>115</v>
      </c>
      <c r="P176" s="133">
        <v>544</v>
      </c>
      <c r="Q176" s="135">
        <v>46146.662384259304</v>
      </c>
      <c r="R176" s="133" t="s">
        <v>116</v>
      </c>
      <c r="S176" s="133" t="s">
        <v>133</v>
      </c>
      <c r="T176" s="133" t="s">
        <v>26</v>
      </c>
      <c r="U176" s="133" t="s">
        <v>316</v>
      </c>
      <c r="V176" s="135">
        <v>46142</v>
      </c>
      <c r="W176" s="133">
        <v>1560335</v>
      </c>
      <c r="X176" s="133">
        <v>6876950467</v>
      </c>
      <c r="Y176" s="133" t="s">
        <v>35</v>
      </c>
      <c r="Z176" s="133" t="s">
        <v>475</v>
      </c>
      <c r="AF176" s="133" t="s">
        <v>223</v>
      </c>
      <c r="AG176" s="133" t="s">
        <v>121</v>
      </c>
    </row>
    <row r="177" spans="1:33" x14ac:dyDescent="0.2">
      <c r="A177" s="139">
        <f>Table1[[#This Row],[Qual a Numeração da Nota Fiscal com divergência ?]]</f>
        <v>1561438</v>
      </c>
      <c r="B177" s="146" t="s">
        <v>33</v>
      </c>
      <c r="C177" s="147" t="s">
        <v>111</v>
      </c>
      <c r="D177" s="147" t="s">
        <v>42</v>
      </c>
      <c r="E177" s="148">
        <f>WEEKNUM(Table1[[#This Row],[Dt da abertura]],1)</f>
        <v>19</v>
      </c>
      <c r="F177" s="147">
        <v>46147</v>
      </c>
      <c r="G177" s="147">
        <v>46147</v>
      </c>
      <c r="H177" s="147">
        <v>46148</v>
      </c>
      <c r="I177" s="147">
        <v>46147</v>
      </c>
      <c r="J177" s="147"/>
      <c r="K177" s="149" t="s">
        <v>114</v>
      </c>
      <c r="L177" s="149" t="s">
        <v>11</v>
      </c>
      <c r="M177" s="149" t="str">
        <f>VLOOKUP(U177,Hierarquia!A:K,6,0)</f>
        <v>FADEL</v>
      </c>
      <c r="N177" s="149"/>
      <c r="O177" s="149" t="s">
        <v>115</v>
      </c>
      <c r="P177" s="133">
        <v>545</v>
      </c>
      <c r="Q177" s="135">
        <v>46147.414386574099</v>
      </c>
      <c r="R177" s="133" t="s">
        <v>116</v>
      </c>
      <c r="S177" s="133" t="s">
        <v>133</v>
      </c>
      <c r="T177" s="133" t="s">
        <v>26</v>
      </c>
      <c r="U177" s="133" t="s">
        <v>215</v>
      </c>
      <c r="V177" s="135">
        <v>46147</v>
      </c>
      <c r="W177" s="133">
        <v>1561438</v>
      </c>
      <c r="X177" s="133">
        <v>6876989112</v>
      </c>
      <c r="Y177" s="133" t="s">
        <v>34</v>
      </c>
      <c r="Z177" s="133" t="s">
        <v>476</v>
      </c>
      <c r="AF177" s="133">
        <v>10310431</v>
      </c>
      <c r="AG177" s="133" t="s">
        <v>131</v>
      </c>
    </row>
    <row r="178" spans="1:33" x14ac:dyDescent="0.2">
      <c r="A178" s="139">
        <f>Table1[[#This Row],[Qual a Numeração da Nota Fiscal com divergência ?]]</f>
        <v>1561416</v>
      </c>
      <c r="B178" s="146" t="s">
        <v>33</v>
      </c>
      <c r="C178" s="147" t="s">
        <v>111</v>
      </c>
      <c r="D178" s="147" t="s">
        <v>42</v>
      </c>
      <c r="E178" s="148">
        <f>WEEKNUM(Table1[[#This Row],[Dt da abertura]],1)</f>
        <v>19</v>
      </c>
      <c r="F178" s="147">
        <v>46147</v>
      </c>
      <c r="G178" s="147">
        <v>46147</v>
      </c>
      <c r="H178" s="147">
        <v>46148</v>
      </c>
      <c r="I178" s="147">
        <v>46147</v>
      </c>
      <c r="J178" s="147"/>
      <c r="K178" s="149" t="s">
        <v>114</v>
      </c>
      <c r="L178" s="149" t="s">
        <v>11</v>
      </c>
      <c r="M178" s="149" t="str">
        <f>VLOOKUP(U178,Hierarquia!A:K,6,0)</f>
        <v>FADEL</v>
      </c>
      <c r="N178" s="149"/>
      <c r="O178" s="149" t="s">
        <v>115</v>
      </c>
      <c r="P178" s="133">
        <v>546</v>
      </c>
      <c r="Q178" s="135">
        <v>46147.475763888899</v>
      </c>
      <c r="R178" s="133" t="s">
        <v>116</v>
      </c>
      <c r="S178" s="133" t="s">
        <v>133</v>
      </c>
      <c r="T178" s="133" t="s">
        <v>26</v>
      </c>
      <c r="U178" s="133" t="s">
        <v>190</v>
      </c>
      <c r="V178" s="135">
        <v>46147</v>
      </c>
      <c r="W178" s="133">
        <v>1561416</v>
      </c>
      <c r="X178" s="133">
        <v>6877005261</v>
      </c>
      <c r="Y178" s="133" t="s">
        <v>35</v>
      </c>
      <c r="Z178" s="133" t="s">
        <v>477</v>
      </c>
      <c r="AF178" s="133">
        <v>10311262</v>
      </c>
      <c r="AG178" s="133" t="s">
        <v>131</v>
      </c>
    </row>
    <row r="179" spans="1:33" x14ac:dyDescent="0.2">
      <c r="A179" s="139">
        <f>Table1[[#This Row],[Qual a Numeração da Nota Fiscal com divergência ?]]</f>
        <v>1561793</v>
      </c>
      <c r="B179" s="146" t="s">
        <v>33</v>
      </c>
      <c r="C179" s="147" t="s">
        <v>111</v>
      </c>
      <c r="D179" s="147" t="s">
        <v>42</v>
      </c>
      <c r="E179" s="148">
        <f>WEEKNUM(Table1[[#This Row],[Dt da abertura]],1)</f>
        <v>19</v>
      </c>
      <c r="F179" s="147">
        <v>46153</v>
      </c>
      <c r="G179" s="147">
        <v>46149</v>
      </c>
      <c r="H179" s="147"/>
      <c r="I179" s="147">
        <v>46153</v>
      </c>
      <c r="J179" s="147"/>
      <c r="K179" s="149" t="s">
        <v>114</v>
      </c>
      <c r="L179" s="149" t="s">
        <v>11</v>
      </c>
      <c r="M179" s="149" t="str">
        <f>VLOOKUP(U179,Hierarquia!A:K,6,0)</f>
        <v>FADEL</v>
      </c>
      <c r="N179" s="149"/>
      <c r="O179" s="149" t="s">
        <v>115</v>
      </c>
      <c r="P179" s="133">
        <v>547</v>
      </c>
      <c r="Q179" s="135">
        <v>46149.471817129597</v>
      </c>
      <c r="R179" s="133" t="s">
        <v>116</v>
      </c>
      <c r="S179" s="133" t="s">
        <v>133</v>
      </c>
      <c r="T179" s="133" t="s">
        <v>26</v>
      </c>
      <c r="U179" s="133" t="s">
        <v>134</v>
      </c>
      <c r="V179" s="135">
        <v>46148</v>
      </c>
      <c r="W179" s="133">
        <v>1561793</v>
      </c>
      <c r="X179" s="133">
        <v>6876995603</v>
      </c>
      <c r="Y179" s="133" t="s">
        <v>34</v>
      </c>
      <c r="Z179" s="133" t="s">
        <v>478</v>
      </c>
      <c r="AF179" s="133">
        <v>10325626</v>
      </c>
      <c r="AG179" s="133" t="s">
        <v>121</v>
      </c>
    </row>
    <row r="180" spans="1:33" x14ac:dyDescent="0.2">
      <c r="A180" s="139">
        <f>Table1[[#This Row],[Qual a Numeração da Nota Fiscal com divergência ?]]</f>
        <v>1562528</v>
      </c>
      <c r="B180" s="146" t="s">
        <v>33</v>
      </c>
      <c r="C180" s="147" t="s">
        <v>111</v>
      </c>
      <c r="D180" s="147" t="s">
        <v>42</v>
      </c>
      <c r="E180" s="148">
        <f>WEEKNUM(Table1[[#This Row],[Dt da abertura]],1)</f>
        <v>19</v>
      </c>
      <c r="F180" s="147">
        <v>46153</v>
      </c>
      <c r="G180" s="147">
        <v>46150</v>
      </c>
      <c r="H180" s="147"/>
      <c r="I180" s="147">
        <v>46153</v>
      </c>
      <c r="J180" s="147"/>
      <c r="K180" s="149" t="s">
        <v>114</v>
      </c>
      <c r="L180" s="149" t="s">
        <v>11</v>
      </c>
      <c r="M180" s="149" t="str">
        <f>VLOOKUP(U180,Hierarquia!A:K,6,0)</f>
        <v>FADEL</v>
      </c>
      <c r="N180" s="149"/>
      <c r="O180" s="149" t="s">
        <v>115</v>
      </c>
      <c r="P180" s="133">
        <v>548</v>
      </c>
      <c r="Q180" s="135">
        <v>46149.493923611102</v>
      </c>
      <c r="R180" s="133" t="s">
        <v>116</v>
      </c>
      <c r="S180" s="133" t="s">
        <v>133</v>
      </c>
      <c r="T180" s="133" t="s">
        <v>26</v>
      </c>
      <c r="U180" s="133" t="s">
        <v>316</v>
      </c>
      <c r="V180" s="135">
        <v>46149</v>
      </c>
      <c r="W180" s="133">
        <v>1562528</v>
      </c>
      <c r="X180" s="133">
        <v>6877041956</v>
      </c>
      <c r="Y180" s="133" t="s">
        <v>35</v>
      </c>
      <c r="Z180" s="133" t="s">
        <v>479</v>
      </c>
      <c r="AF180" s="133">
        <v>10333151</v>
      </c>
      <c r="AG180" s="133" t="s">
        <v>131</v>
      </c>
    </row>
    <row r="181" spans="1:33" x14ac:dyDescent="0.2">
      <c r="A181" s="139">
        <f>Table1[[#This Row],[Qual a Numeração da Nota Fiscal com divergência ?]]</f>
        <v>1563055</v>
      </c>
      <c r="B181" s="146" t="s">
        <v>33</v>
      </c>
      <c r="C181" s="147" t="s">
        <v>111</v>
      </c>
      <c r="D181" s="147" t="s">
        <v>42</v>
      </c>
      <c r="E181" s="148">
        <f>WEEKNUM(Table1[[#This Row],[Dt da abertura]],1)</f>
        <v>19</v>
      </c>
      <c r="F181" s="147">
        <v>46153</v>
      </c>
      <c r="G181" s="147">
        <v>46150</v>
      </c>
      <c r="H181" s="147"/>
      <c r="I181" s="147">
        <v>46153</v>
      </c>
      <c r="J181" s="147"/>
      <c r="K181" s="149" t="s">
        <v>114</v>
      </c>
      <c r="L181" s="149" t="s">
        <v>11</v>
      </c>
      <c r="M181" s="149" t="str">
        <f>VLOOKUP(U181,Hierarquia!A:K,6,0)</f>
        <v>FADEL</v>
      </c>
      <c r="N181" s="149"/>
      <c r="O181" s="149" t="s">
        <v>115</v>
      </c>
      <c r="P181" s="133">
        <v>549</v>
      </c>
      <c r="Q181" s="135">
        <v>46150.443993055596</v>
      </c>
      <c r="R181" s="133" t="s">
        <v>116</v>
      </c>
      <c r="S181" s="133" t="s">
        <v>133</v>
      </c>
      <c r="T181" s="133" t="s">
        <v>26</v>
      </c>
      <c r="U181" s="133" t="s">
        <v>227</v>
      </c>
      <c r="V181" s="135">
        <v>46150</v>
      </c>
      <c r="W181" s="133">
        <v>1563055</v>
      </c>
      <c r="X181" s="133">
        <v>6877090560</v>
      </c>
      <c r="Y181" s="133" t="s">
        <v>34</v>
      </c>
      <c r="Z181" s="133" t="s">
        <v>480</v>
      </c>
      <c r="AF181" s="133" t="s">
        <v>223</v>
      </c>
      <c r="AG181" s="133" t="s">
        <v>121</v>
      </c>
    </row>
    <row r="182" spans="1:33" x14ac:dyDescent="0.2">
      <c r="A182" s="139">
        <f>Table1[[#This Row],[Qual a Numeração da Nota Fiscal com divergência ?]]</f>
        <v>1563016</v>
      </c>
      <c r="B182" s="146" t="s">
        <v>33</v>
      </c>
      <c r="C182" s="147" t="s">
        <v>111</v>
      </c>
      <c r="D182" s="147" t="s">
        <v>42</v>
      </c>
      <c r="E182" s="148">
        <f>WEEKNUM(Table1[[#This Row],[Dt da abertura]],1)</f>
        <v>19</v>
      </c>
      <c r="F182" s="147">
        <v>46153</v>
      </c>
      <c r="G182" s="147">
        <v>46150</v>
      </c>
      <c r="H182" s="147"/>
      <c r="I182" s="147">
        <v>46153</v>
      </c>
      <c r="J182" s="147"/>
      <c r="K182" s="149" t="s">
        <v>114</v>
      </c>
      <c r="L182" s="149" t="s">
        <v>11</v>
      </c>
      <c r="M182" s="149" t="str">
        <f>VLOOKUP(U182,Hierarquia!A:K,6,0)</f>
        <v>FADEL</v>
      </c>
      <c r="N182" s="149"/>
      <c r="O182" s="149" t="s">
        <v>115</v>
      </c>
      <c r="P182" s="133">
        <v>550</v>
      </c>
      <c r="Q182" s="135">
        <v>46150.482523148101</v>
      </c>
      <c r="R182" s="133" t="s">
        <v>116</v>
      </c>
      <c r="S182" s="133" t="s">
        <v>133</v>
      </c>
      <c r="T182" s="133" t="s">
        <v>26</v>
      </c>
      <c r="U182" s="133" t="s">
        <v>377</v>
      </c>
      <c r="V182" s="135">
        <v>46150</v>
      </c>
      <c r="W182" s="133">
        <v>1563016</v>
      </c>
      <c r="X182" s="133">
        <v>6877001934</v>
      </c>
      <c r="Y182" s="133" t="s">
        <v>34</v>
      </c>
      <c r="Z182" s="133" t="s">
        <v>481</v>
      </c>
      <c r="AF182" s="133">
        <v>10342264</v>
      </c>
      <c r="AG182" s="133" t="s">
        <v>131</v>
      </c>
    </row>
    <row r="183" spans="1:33" hidden="1" x14ac:dyDescent="0.2">
      <c r="A183" s="139">
        <f>Table1[[#This Row],[Qual a Numeração da Nota Fiscal com divergência ?]]</f>
        <v>1560334</v>
      </c>
      <c r="B183" s="146" t="s">
        <v>25</v>
      </c>
      <c r="C183" s="147" t="s">
        <v>111</v>
      </c>
      <c r="D183" s="147" t="s">
        <v>42</v>
      </c>
      <c r="E183" s="148">
        <f>WEEKNUM(Table1[[#This Row],[Dt da abertura]],1)</f>
        <v>19</v>
      </c>
      <c r="F183" s="147">
        <v>46153</v>
      </c>
      <c r="G183" s="147">
        <v>46151</v>
      </c>
      <c r="H183" s="147"/>
      <c r="I183" s="147"/>
      <c r="J183" s="147"/>
      <c r="K183" s="149" t="s">
        <v>114</v>
      </c>
      <c r="L183" s="149" t="s">
        <v>11</v>
      </c>
      <c r="M183" s="149" t="str">
        <f>VLOOKUP(U183,Hierarquia!A:K,6,0)</f>
        <v>BAT</v>
      </c>
      <c r="N183" s="149"/>
      <c r="O183" s="149" t="s">
        <v>115</v>
      </c>
      <c r="P183" s="133">
        <v>551</v>
      </c>
      <c r="Q183" s="135">
        <v>46151.3378703704</v>
      </c>
      <c r="R183" s="133" t="s">
        <v>116</v>
      </c>
      <c r="S183" s="133" t="s">
        <v>193</v>
      </c>
      <c r="T183" s="133" t="s">
        <v>28</v>
      </c>
      <c r="U183" s="133" t="s">
        <v>194</v>
      </c>
      <c r="V183" s="135">
        <v>46147</v>
      </c>
      <c r="W183" s="133">
        <v>1560334</v>
      </c>
      <c r="X183" s="133">
        <v>6876971476</v>
      </c>
      <c r="Y183" s="133" t="s">
        <v>35</v>
      </c>
      <c r="Z183" s="133" t="s">
        <v>482</v>
      </c>
      <c r="AF183" s="133" t="s">
        <v>196</v>
      </c>
      <c r="AG183" s="133" t="s">
        <v>131</v>
      </c>
    </row>
    <row r="184" spans="1:33" hidden="1" x14ac:dyDescent="0.2">
      <c r="A184" s="139">
        <f>Table1[[#This Row],[Qual a Numeração da Nota Fiscal com divergência ?]]</f>
        <v>1562336</v>
      </c>
      <c r="B184" s="146" t="s">
        <v>33</v>
      </c>
      <c r="C184" s="147" t="s">
        <v>111</v>
      </c>
      <c r="D184" s="147" t="s">
        <v>42</v>
      </c>
      <c r="E184" s="148">
        <f>WEEKNUM(Table1[[#This Row],[Dt da abertura]],1)</f>
        <v>19</v>
      </c>
      <c r="F184" s="147">
        <v>46153</v>
      </c>
      <c r="G184" s="147">
        <v>46151</v>
      </c>
      <c r="H184" s="147"/>
      <c r="I184" s="147">
        <v>46153</v>
      </c>
      <c r="J184" s="147"/>
      <c r="K184" s="149" t="s">
        <v>114</v>
      </c>
      <c r="L184" s="149" t="s">
        <v>11</v>
      </c>
      <c r="M184" s="149" t="str">
        <f>VLOOKUP(U184,Hierarquia!A:K,6,0)</f>
        <v>BAT</v>
      </c>
      <c r="N184" s="149"/>
      <c r="O184" s="149" t="s">
        <v>115</v>
      </c>
      <c r="P184" s="133">
        <v>552</v>
      </c>
      <c r="Q184" s="135">
        <v>46151.342361111099</v>
      </c>
      <c r="R184" s="133" t="s">
        <v>116</v>
      </c>
      <c r="S184" s="133" t="s">
        <v>193</v>
      </c>
      <c r="T184" s="133" t="s">
        <v>28</v>
      </c>
      <c r="U184" s="133" t="s">
        <v>194</v>
      </c>
      <c r="V184" s="135">
        <v>46149</v>
      </c>
      <c r="W184" s="133">
        <v>1562336</v>
      </c>
      <c r="X184" s="133">
        <v>6877052099</v>
      </c>
      <c r="Y184" s="133" t="s">
        <v>35</v>
      </c>
      <c r="Z184" s="133" t="s">
        <v>483</v>
      </c>
      <c r="AF184" s="133" t="s">
        <v>196</v>
      </c>
      <c r="AG184" s="133" t="s">
        <v>131</v>
      </c>
    </row>
    <row r="185" spans="1:33" x14ac:dyDescent="0.2">
      <c r="A185" s="139">
        <f>Table1[[#This Row],[Qual a Numeração da Nota Fiscal com divergência ?]]</f>
        <v>1563497</v>
      </c>
      <c r="B185" s="146" t="s">
        <v>33</v>
      </c>
      <c r="C185" s="147" t="s">
        <v>111</v>
      </c>
      <c r="D185" s="147" t="s">
        <v>42</v>
      </c>
      <c r="E185" s="148">
        <f>WEEKNUM(Table1[[#This Row],[Dt da abertura]],1)</f>
        <v>20</v>
      </c>
      <c r="F185" s="147">
        <v>46157</v>
      </c>
      <c r="G185" s="147">
        <v>46154</v>
      </c>
      <c r="H185" s="147"/>
      <c r="I185" s="147"/>
      <c r="J185" s="147"/>
      <c r="K185" s="149" t="s">
        <v>114</v>
      </c>
      <c r="L185" s="149" t="s">
        <v>11</v>
      </c>
      <c r="M185" s="149" t="str">
        <f>VLOOKUP(U185,Hierarquia!A:K,6,0)</f>
        <v>FADEL</v>
      </c>
      <c r="N185" s="149"/>
      <c r="O185" s="149" t="s">
        <v>115</v>
      </c>
      <c r="P185" s="133">
        <v>553</v>
      </c>
      <c r="Q185" s="135">
        <v>46154.411840277797</v>
      </c>
      <c r="R185" s="133" t="s">
        <v>116</v>
      </c>
      <c r="S185" s="133" t="s">
        <v>133</v>
      </c>
      <c r="T185" s="133" t="s">
        <v>26</v>
      </c>
      <c r="U185" s="133" t="s">
        <v>185</v>
      </c>
      <c r="V185" s="135">
        <v>46153</v>
      </c>
      <c r="W185" s="133">
        <v>1563497</v>
      </c>
      <c r="X185" s="133">
        <v>6877095438</v>
      </c>
      <c r="Y185" s="133" t="s">
        <v>34</v>
      </c>
      <c r="Z185" s="133" t="s">
        <v>484</v>
      </c>
      <c r="AF185" s="133" t="s">
        <v>223</v>
      </c>
      <c r="AG185" s="133" t="s">
        <v>131</v>
      </c>
    </row>
    <row r="186" spans="1:33" hidden="1" x14ac:dyDescent="0.2">
      <c r="A186" s="139">
        <f>Table1[[#This Row],[Qual a Numeração da Nota Fiscal com divergência ?]]</f>
        <v>1564438</v>
      </c>
      <c r="B186" s="146" t="s">
        <v>33</v>
      </c>
      <c r="C186" s="147" t="s">
        <v>111</v>
      </c>
      <c r="D186" s="147" t="s">
        <v>42</v>
      </c>
      <c r="E186" s="148">
        <f>WEEKNUM(Table1[[#This Row],[Dt da abertura]],1)</f>
        <v>20</v>
      </c>
      <c r="F186" s="147">
        <v>46157</v>
      </c>
      <c r="G186" s="147">
        <v>46157</v>
      </c>
      <c r="H186" s="147"/>
      <c r="I186" s="147"/>
      <c r="J186" s="147"/>
      <c r="K186" s="149" t="s">
        <v>114</v>
      </c>
      <c r="L186" s="149" t="s">
        <v>11</v>
      </c>
      <c r="M186" s="149" t="str">
        <f>VLOOKUP(U186,Hierarquia!A:K,6,0)</f>
        <v>BAT</v>
      </c>
      <c r="N186" s="149"/>
      <c r="O186" s="149" t="s">
        <v>115</v>
      </c>
      <c r="P186" s="133">
        <v>554</v>
      </c>
      <c r="Q186" s="135">
        <v>46157.394189814797</v>
      </c>
      <c r="R186" s="133" t="s">
        <v>116</v>
      </c>
      <c r="S186" s="133" t="s">
        <v>174</v>
      </c>
      <c r="T186" s="133" t="s">
        <v>28</v>
      </c>
      <c r="U186" s="133" t="s">
        <v>175</v>
      </c>
      <c r="V186" s="135">
        <v>46156</v>
      </c>
      <c r="W186" s="133">
        <v>1564438</v>
      </c>
      <c r="X186" s="133">
        <v>6877155941</v>
      </c>
      <c r="Y186" s="133" t="s">
        <v>35</v>
      </c>
      <c r="Z186" s="133" t="s">
        <v>485</v>
      </c>
      <c r="AF186" s="133" t="s">
        <v>177</v>
      </c>
      <c r="AG186" s="133" t="s">
        <v>131</v>
      </c>
    </row>
    <row r="187" spans="1:33" hidden="1" x14ac:dyDescent="0.2">
      <c r="A187" s="139">
        <f>Table1[[#This Row],[Qual a Numeração da Nota Fiscal com divergência ?]]</f>
        <v>1560354</v>
      </c>
      <c r="B187" s="146" t="s">
        <v>25</v>
      </c>
      <c r="C187" s="147" t="s">
        <v>111</v>
      </c>
      <c r="D187" s="147" t="s">
        <v>42</v>
      </c>
      <c r="E187" s="148">
        <f>WEEKNUM(Table1[[#This Row],[Dt da abertura]],1)</f>
        <v>20</v>
      </c>
      <c r="F187" s="147">
        <v>46164</v>
      </c>
      <c r="G187" s="147">
        <v>46157</v>
      </c>
      <c r="H187" s="147"/>
      <c r="I187" s="147"/>
      <c r="J187" s="147"/>
      <c r="K187" s="149" t="s">
        <v>114</v>
      </c>
      <c r="L187" s="149" t="s">
        <v>11</v>
      </c>
      <c r="M187" s="149" t="str">
        <f>VLOOKUP(U187,Hierarquia!A:K,6,0)</f>
        <v>BAT</v>
      </c>
      <c r="N187" s="149"/>
      <c r="O187" s="149" t="s">
        <v>115</v>
      </c>
      <c r="P187" s="133">
        <v>555</v>
      </c>
      <c r="Q187" s="135">
        <v>46157.723738425899</v>
      </c>
      <c r="R187" s="133" t="s">
        <v>116</v>
      </c>
      <c r="S187" s="133" t="s">
        <v>193</v>
      </c>
      <c r="T187" s="133" t="s">
        <v>28</v>
      </c>
      <c r="U187" s="133" t="s">
        <v>194</v>
      </c>
      <c r="V187" s="135">
        <v>46154</v>
      </c>
      <c r="W187" s="133">
        <v>1560354</v>
      </c>
      <c r="X187" s="133">
        <v>6876971476</v>
      </c>
      <c r="Y187" s="133" t="s">
        <v>35</v>
      </c>
      <c r="Z187" s="133" t="s">
        <v>486</v>
      </c>
      <c r="AF187" s="133" t="s">
        <v>196</v>
      </c>
      <c r="AG187" s="133" t="s">
        <v>131</v>
      </c>
    </row>
    <row r="188" spans="1:33" hidden="1" x14ac:dyDescent="0.2">
      <c r="A188" s="139">
        <f>Table1[[#This Row],[Qual a Numeração da Nota Fiscal com divergência ?]]</f>
        <v>1560354</v>
      </c>
      <c r="B188" s="146" t="s">
        <v>25</v>
      </c>
      <c r="C188" s="147" t="s">
        <v>111</v>
      </c>
      <c r="D188" s="147" t="s">
        <v>42</v>
      </c>
      <c r="E188" s="148">
        <f>WEEKNUM(Table1[[#This Row],[Dt da abertura]],1)</f>
        <v>20</v>
      </c>
      <c r="F188" s="147">
        <v>46164</v>
      </c>
      <c r="G188" s="147">
        <v>46157</v>
      </c>
      <c r="H188" s="147"/>
      <c r="I188" s="147"/>
      <c r="J188" s="147"/>
      <c r="K188" s="149" t="s">
        <v>114</v>
      </c>
      <c r="L188" s="149" t="s">
        <v>11</v>
      </c>
      <c r="M188" s="149" t="str">
        <f>VLOOKUP(U188,Hierarquia!A:K,6,0)</f>
        <v>BAT</v>
      </c>
      <c r="N188" s="149"/>
      <c r="O188" s="149" t="s">
        <v>115</v>
      </c>
      <c r="P188" s="133">
        <v>556</v>
      </c>
      <c r="Q188" s="135">
        <v>46157.735266203701</v>
      </c>
      <c r="R188" s="133" t="s">
        <v>116</v>
      </c>
      <c r="S188" s="133" t="s">
        <v>193</v>
      </c>
      <c r="T188" s="133" t="s">
        <v>28</v>
      </c>
      <c r="U188" s="133" t="s">
        <v>194</v>
      </c>
      <c r="V188" s="135">
        <v>46147</v>
      </c>
      <c r="W188" s="133">
        <v>1560354</v>
      </c>
      <c r="X188" s="133">
        <v>6876971476</v>
      </c>
      <c r="Y188" s="133" t="s">
        <v>35</v>
      </c>
      <c r="Z188" s="133" t="s">
        <v>487</v>
      </c>
      <c r="AF188" s="133" t="s">
        <v>196</v>
      </c>
      <c r="AG188" s="133" t="s">
        <v>131</v>
      </c>
    </row>
    <row r="189" spans="1:33" x14ac:dyDescent="0.2">
      <c r="A189" s="139">
        <f>Table1[[#This Row],[Qual a Numeração da Nota Fiscal com divergência ?]]</f>
        <v>1566891</v>
      </c>
      <c r="B189" s="146" t="s">
        <v>33</v>
      </c>
      <c r="C189" s="147" t="s">
        <v>111</v>
      </c>
      <c r="D189" s="147" t="s">
        <v>42</v>
      </c>
      <c r="E189" s="148">
        <f>WEEKNUM(Table1[[#This Row],[Dt da abertura]],1)</f>
        <v>21</v>
      </c>
      <c r="F189" s="147">
        <v>46164</v>
      </c>
      <c r="G189" s="147">
        <v>46162</v>
      </c>
      <c r="H189" s="147"/>
      <c r="I189" s="147"/>
      <c r="J189" s="147"/>
      <c r="K189" s="149" t="s">
        <v>114</v>
      </c>
      <c r="L189" s="149" t="s">
        <v>11</v>
      </c>
      <c r="M189" s="149" t="str">
        <f>VLOOKUP(U189,Hierarquia!A:K,6,0)</f>
        <v>FADEL</v>
      </c>
      <c r="N189" s="149"/>
      <c r="O189" s="149" t="s">
        <v>115</v>
      </c>
      <c r="P189" s="133">
        <v>557</v>
      </c>
      <c r="Q189" s="135">
        <v>46162.445300925901</v>
      </c>
      <c r="R189" s="133" t="s">
        <v>116</v>
      </c>
      <c r="S189" s="133" t="s">
        <v>133</v>
      </c>
      <c r="T189" s="133" t="s">
        <v>26</v>
      </c>
      <c r="U189" s="133" t="s">
        <v>160</v>
      </c>
      <c r="V189" s="135">
        <v>46162</v>
      </c>
      <c r="W189" s="133">
        <v>1566891</v>
      </c>
      <c r="X189" s="133">
        <v>6877269070</v>
      </c>
      <c r="Y189" s="133" t="s">
        <v>34</v>
      </c>
      <c r="Z189" s="133" t="s">
        <v>488</v>
      </c>
      <c r="AF189" s="133" t="s">
        <v>223</v>
      </c>
      <c r="AG189" s="133" t="s">
        <v>131</v>
      </c>
    </row>
    <row r="190" spans="1:33" x14ac:dyDescent="0.2">
      <c r="A190" s="139">
        <f>Table1[[#This Row],[Qual a Numeração da Nota Fiscal com divergência ?]]</f>
        <v>1566850</v>
      </c>
      <c r="B190" s="146" t="s">
        <v>33</v>
      </c>
      <c r="C190" s="147" t="s">
        <v>111</v>
      </c>
      <c r="D190" s="147" t="s">
        <v>42</v>
      </c>
      <c r="E190" s="148">
        <f>WEEKNUM(Table1[[#This Row],[Dt da abertura]],1)</f>
        <v>21</v>
      </c>
      <c r="F190" s="147">
        <v>46164</v>
      </c>
      <c r="G190" s="147">
        <v>46164</v>
      </c>
      <c r="H190" s="147"/>
      <c r="I190" s="147"/>
      <c r="J190" s="147"/>
      <c r="K190" s="149" t="s">
        <v>114</v>
      </c>
      <c r="L190" s="149" t="s">
        <v>11</v>
      </c>
      <c r="M190" s="149" t="str">
        <f>VLOOKUP(U190,Hierarquia!A:K,6,0)</f>
        <v>FADEL</v>
      </c>
      <c r="N190" s="149"/>
      <c r="O190" s="149" t="s">
        <v>115</v>
      </c>
      <c r="P190" s="133">
        <v>558</v>
      </c>
      <c r="Q190" s="135">
        <v>46164.670451388898</v>
      </c>
      <c r="R190" s="133" t="s">
        <v>116</v>
      </c>
      <c r="S190" s="133" t="s">
        <v>133</v>
      </c>
      <c r="T190" s="133" t="s">
        <v>26</v>
      </c>
      <c r="U190" s="133" t="s">
        <v>190</v>
      </c>
      <c r="V190" s="135">
        <v>46162</v>
      </c>
      <c r="W190" s="133">
        <v>1566850</v>
      </c>
      <c r="X190" s="133">
        <v>6877264955</v>
      </c>
      <c r="Y190" s="133" t="s">
        <v>34</v>
      </c>
      <c r="Z190" s="133" t="s">
        <v>489</v>
      </c>
      <c r="AF190" s="133">
        <v>10414298</v>
      </c>
      <c r="AG190" s="133" t="s">
        <v>131</v>
      </c>
    </row>
    <row r="191" spans="1:33" hidden="1" x14ac:dyDescent="0.2">
      <c r="A191" s="139">
        <f>Table1[[#This Row],[Qual a Numeração da Nota Fiscal com divergência ?]]</f>
        <v>15685441</v>
      </c>
      <c r="B191" s="146" t="s">
        <v>30</v>
      </c>
      <c r="C191" s="147" t="s">
        <v>111</v>
      </c>
      <c r="D191" s="147" t="s">
        <v>42</v>
      </c>
      <c r="E191" s="148">
        <f>WEEKNUM(Table1[[#This Row],[Dt da abertura]],1)</f>
        <v>22</v>
      </c>
      <c r="F191" s="147">
        <v>46171</v>
      </c>
      <c r="G191" s="147">
        <v>46168</v>
      </c>
      <c r="H191" s="147"/>
      <c r="I191" s="147"/>
      <c r="J191" s="147"/>
      <c r="K191" s="149" t="s">
        <v>114</v>
      </c>
      <c r="L191" s="149" t="s">
        <v>11</v>
      </c>
      <c r="M191" s="149" t="str">
        <f>VLOOKUP(U191,Hierarquia!A:K,6,0)</f>
        <v>BAT</v>
      </c>
      <c r="N191" s="149"/>
      <c r="O191" s="149" t="s">
        <v>115</v>
      </c>
      <c r="P191" s="133">
        <v>559</v>
      </c>
      <c r="Q191" s="135">
        <v>46168.363784722198</v>
      </c>
      <c r="R191" s="133" t="s">
        <v>116</v>
      </c>
      <c r="S191" s="133" t="s">
        <v>254</v>
      </c>
      <c r="T191" s="133" t="s">
        <v>28</v>
      </c>
      <c r="U191" s="133" t="s">
        <v>255</v>
      </c>
      <c r="V191" s="135">
        <v>46168</v>
      </c>
      <c r="W191" s="133">
        <v>15685441</v>
      </c>
      <c r="X191" s="133">
        <v>6877237152</v>
      </c>
      <c r="Y191" s="157" t="s">
        <v>35</v>
      </c>
      <c r="Z191" s="133" t="s">
        <v>490</v>
      </c>
      <c r="AF191" s="133" t="s">
        <v>256</v>
      </c>
      <c r="AG191" s="133" t="s">
        <v>126</v>
      </c>
    </row>
    <row r="192" spans="1:33" hidden="1" x14ac:dyDescent="0.2">
      <c r="A192" s="139">
        <f>Table1[[#This Row],[Qual a Numeração da Nota Fiscal com divergência ?]]</f>
        <v>1567584</v>
      </c>
      <c r="B192" s="146" t="s">
        <v>33</v>
      </c>
      <c r="C192" s="147" t="s">
        <v>111</v>
      </c>
      <c r="D192" s="147" t="s">
        <v>42</v>
      </c>
      <c r="E192" s="148">
        <f>WEEKNUM(Table1[[#This Row],[Dt da abertura]],1)</f>
        <v>22</v>
      </c>
      <c r="F192" s="147">
        <v>46171</v>
      </c>
      <c r="G192" s="147">
        <v>46169</v>
      </c>
      <c r="H192" s="147"/>
      <c r="I192" s="147">
        <v>46176</v>
      </c>
      <c r="J192" s="147"/>
      <c r="K192" s="149" t="s">
        <v>114</v>
      </c>
      <c r="L192" s="149" t="s">
        <v>11</v>
      </c>
      <c r="M192" s="149" t="str">
        <f>VLOOKUP(U192,Hierarquia!A:K,6,0)</f>
        <v>BAT</v>
      </c>
      <c r="N192" s="149"/>
      <c r="O192" s="149" t="s">
        <v>115</v>
      </c>
      <c r="P192" s="133">
        <v>560</v>
      </c>
      <c r="Q192" s="135">
        <v>46169.486967592602</v>
      </c>
      <c r="R192" s="133" t="s">
        <v>116</v>
      </c>
      <c r="S192" s="133" t="s">
        <v>137</v>
      </c>
      <c r="T192" s="133" t="s">
        <v>28</v>
      </c>
      <c r="U192" s="133" t="s">
        <v>138</v>
      </c>
      <c r="V192" s="135">
        <v>46169</v>
      </c>
      <c r="W192" s="133">
        <v>1567584</v>
      </c>
      <c r="X192" s="133">
        <v>6877203315</v>
      </c>
      <c r="Y192" s="133" t="s">
        <v>35</v>
      </c>
      <c r="Z192" s="133" t="s">
        <v>491</v>
      </c>
      <c r="AF192" s="133" t="s">
        <v>492</v>
      </c>
      <c r="AG192" s="133" t="s">
        <v>131</v>
      </c>
    </row>
    <row r="193" spans="1:35" hidden="1" x14ac:dyDescent="0.2">
      <c r="A193" s="139">
        <f>Table1[[#This Row],[Qual a Numeração da Nota Fiscal com divergência ?]]</f>
        <v>1565572</v>
      </c>
      <c r="B193" s="133" t="s">
        <v>25</v>
      </c>
      <c r="C193" s="147" t="s">
        <v>111</v>
      </c>
      <c r="D193" s="147" t="s">
        <v>42</v>
      </c>
      <c r="E193" s="148">
        <f>WEEKNUM(Table1[[#This Row],[Dt da abertura]],1)</f>
        <v>22</v>
      </c>
      <c r="F193" s="147">
        <v>46171</v>
      </c>
      <c r="G193" s="147">
        <v>46169</v>
      </c>
      <c r="H193" s="147"/>
      <c r="I193" s="147"/>
      <c r="J193" s="147"/>
      <c r="K193" s="149" t="s">
        <v>114</v>
      </c>
      <c r="L193" s="149" t="s">
        <v>11</v>
      </c>
      <c r="M193" s="149" t="str">
        <f>VLOOKUP(U193,Hierarquia!A:K,6,0)</f>
        <v>BAT</v>
      </c>
      <c r="N193" s="149"/>
      <c r="O193" s="149" t="s">
        <v>115</v>
      </c>
      <c r="P193" s="133">
        <v>562</v>
      </c>
      <c r="Q193" s="135">
        <v>46169.682175925896</v>
      </c>
      <c r="R193" s="133" t="s">
        <v>116</v>
      </c>
      <c r="S193" s="133" t="s">
        <v>464</v>
      </c>
      <c r="T193" s="133" t="s">
        <v>28</v>
      </c>
      <c r="U193" s="133" t="s">
        <v>465</v>
      </c>
      <c r="V193" s="135">
        <v>46161</v>
      </c>
      <c r="W193" s="133">
        <v>1565572</v>
      </c>
      <c r="X193" s="133">
        <v>6877196102</v>
      </c>
      <c r="Y193" s="133" t="s">
        <v>35</v>
      </c>
      <c r="Z193" s="133" t="s">
        <v>493</v>
      </c>
      <c r="AF193" s="133" t="s">
        <v>494</v>
      </c>
      <c r="AG193" s="133" t="s">
        <v>131</v>
      </c>
    </row>
    <row r="194" spans="1:35" ht="15.75" hidden="1" x14ac:dyDescent="0.25">
      <c r="A194" s="139">
        <f>Table1[[#This Row],[Qual a Numeração da Nota Fiscal com divergência ?]]</f>
        <v>1568925</v>
      </c>
      <c r="B194" s="146" t="s">
        <v>33</v>
      </c>
      <c r="C194" s="147" t="s">
        <v>111</v>
      </c>
      <c r="D194" s="147" t="s">
        <v>42</v>
      </c>
      <c r="E194" s="148">
        <f>WEEKNUM(Table1[[#This Row],[Dt da abertura]],1)</f>
        <v>22</v>
      </c>
      <c r="F194" s="147">
        <v>46171</v>
      </c>
      <c r="G194" s="147">
        <v>46169</v>
      </c>
      <c r="H194" s="147"/>
      <c r="I194" s="147">
        <v>46176</v>
      </c>
      <c r="J194" s="147"/>
      <c r="K194" s="149" t="s">
        <v>114</v>
      </c>
      <c r="L194" s="149" t="s">
        <v>11</v>
      </c>
      <c r="M194" s="149" t="str">
        <f>VLOOKUP(U194,Hierarquia!A:K,6,0)</f>
        <v>BAT</v>
      </c>
      <c r="N194" s="149"/>
      <c r="O194" s="149" t="s">
        <v>115</v>
      </c>
      <c r="P194" s="133">
        <v>563</v>
      </c>
      <c r="Q194" s="135">
        <v>46169.693460648101</v>
      </c>
      <c r="R194" s="133" t="s">
        <v>116</v>
      </c>
      <c r="S194" s="156" t="s">
        <v>495</v>
      </c>
      <c r="T194" s="133" t="s">
        <v>28</v>
      </c>
      <c r="U194" s="133" t="s">
        <v>239</v>
      </c>
      <c r="V194" s="135">
        <v>46169</v>
      </c>
      <c r="W194" s="133">
        <v>1568925</v>
      </c>
      <c r="X194" s="133">
        <v>6877369590</v>
      </c>
      <c r="Y194" s="133" t="s">
        <v>35</v>
      </c>
      <c r="Z194" s="133" t="s">
        <v>496</v>
      </c>
      <c r="AF194" s="133" t="s">
        <v>497</v>
      </c>
      <c r="AG194" s="133" t="s">
        <v>131</v>
      </c>
    </row>
    <row r="195" spans="1:35" ht="15.75" hidden="1" x14ac:dyDescent="0.25">
      <c r="A195" s="139">
        <f>Table1[[#This Row],[Qual a Numeração da Nota Fiscal com divergência ?]]</f>
        <v>1568925</v>
      </c>
      <c r="B195" s="146" t="s">
        <v>33</v>
      </c>
      <c r="C195" s="147" t="s">
        <v>111</v>
      </c>
      <c r="D195" s="147" t="s">
        <v>42</v>
      </c>
      <c r="E195" s="148">
        <f>WEEKNUM(Table1[[#This Row],[Dt da abertura]],1)</f>
        <v>22</v>
      </c>
      <c r="F195" s="147">
        <v>46171</v>
      </c>
      <c r="G195" s="147">
        <v>46169</v>
      </c>
      <c r="H195" s="147"/>
      <c r="I195" s="147">
        <v>46176</v>
      </c>
      <c r="J195" s="147"/>
      <c r="K195" s="149" t="s">
        <v>114</v>
      </c>
      <c r="L195" s="149" t="s">
        <v>11</v>
      </c>
      <c r="M195" s="149" t="str">
        <f>VLOOKUP(U195,Hierarquia!A:K,6,0)</f>
        <v>BAT</v>
      </c>
      <c r="N195" s="149"/>
      <c r="O195" s="149" t="s">
        <v>115</v>
      </c>
      <c r="P195" s="133">
        <v>564</v>
      </c>
      <c r="Q195" s="135">
        <v>46169.699143518497</v>
      </c>
      <c r="R195" s="133" t="s">
        <v>116</v>
      </c>
      <c r="S195" s="156" t="s">
        <v>495</v>
      </c>
      <c r="T195" s="133" t="s">
        <v>28</v>
      </c>
      <c r="U195" s="133" t="s">
        <v>239</v>
      </c>
      <c r="V195" s="135">
        <v>46169</v>
      </c>
      <c r="W195" s="133">
        <v>1568925</v>
      </c>
      <c r="X195" s="133">
        <v>6877369590</v>
      </c>
      <c r="Y195" s="133" t="s">
        <v>34</v>
      </c>
      <c r="Z195" s="133" t="s">
        <v>498</v>
      </c>
      <c r="AF195" s="133" t="s">
        <v>499</v>
      </c>
      <c r="AG195" s="133" t="s">
        <v>131</v>
      </c>
    </row>
    <row r="196" spans="1:35" x14ac:dyDescent="0.2">
      <c r="A196" s="139">
        <f>Table1[[#This Row],[Qual a Numeração da Nota Fiscal com divergência ?]]</f>
        <v>1570262</v>
      </c>
      <c r="B196" s="146" t="s">
        <v>33</v>
      </c>
      <c r="C196" s="147" t="s">
        <v>111</v>
      </c>
      <c r="D196" s="147" t="s">
        <v>42</v>
      </c>
      <c r="E196" s="148">
        <f>WEEKNUM(Table1[[#This Row],[Dt da abertura]],1)</f>
        <v>22</v>
      </c>
      <c r="F196" s="147">
        <v>46171</v>
      </c>
      <c r="G196" s="147">
        <v>46170</v>
      </c>
      <c r="H196" s="147"/>
      <c r="I196" s="147">
        <v>46176</v>
      </c>
      <c r="J196" s="147"/>
      <c r="K196" s="149" t="s">
        <v>114</v>
      </c>
      <c r="L196" s="149" t="s">
        <v>11</v>
      </c>
      <c r="M196" s="149" t="str">
        <f>VLOOKUP(U196,Hierarquia!A:K,6,0)</f>
        <v>FADEL</v>
      </c>
      <c r="N196" s="149"/>
      <c r="O196" s="149" t="s">
        <v>115</v>
      </c>
      <c r="P196" s="133">
        <v>565</v>
      </c>
      <c r="Q196" s="135">
        <v>46170.358819444402</v>
      </c>
      <c r="R196" s="133" t="s">
        <v>116</v>
      </c>
      <c r="S196" s="133" t="s">
        <v>133</v>
      </c>
      <c r="T196" s="133" t="s">
        <v>26</v>
      </c>
      <c r="U196" s="133" t="s">
        <v>146</v>
      </c>
      <c r="V196" s="135">
        <v>46170</v>
      </c>
      <c r="W196" s="133">
        <v>1570262</v>
      </c>
      <c r="X196" s="133">
        <v>6877419972</v>
      </c>
      <c r="Y196" s="133" t="s">
        <v>35</v>
      </c>
      <c r="Z196" s="133" t="s">
        <v>500</v>
      </c>
      <c r="AF196" s="133">
        <v>10481281</v>
      </c>
      <c r="AG196" s="133" t="s">
        <v>131</v>
      </c>
    </row>
    <row r="197" spans="1:35" hidden="1" x14ac:dyDescent="0.2">
      <c r="A197" s="139">
        <f>Table1[[#This Row],[Qual a Numeração da Nota Fiscal com divergência ?]]</f>
        <v>1569914</v>
      </c>
      <c r="B197" s="146" t="s">
        <v>33</v>
      </c>
      <c r="C197" s="147" t="s">
        <v>111</v>
      </c>
      <c r="D197" s="147" t="s">
        <v>42</v>
      </c>
      <c r="E197" s="148">
        <f>WEEKNUM(Table1[[#This Row],[Dt da abertura]],1)</f>
        <v>22</v>
      </c>
      <c r="F197" s="147">
        <v>46171</v>
      </c>
      <c r="G197" s="147">
        <v>46170</v>
      </c>
      <c r="H197" s="147"/>
      <c r="I197" s="147">
        <v>46176</v>
      </c>
      <c r="J197" s="147"/>
      <c r="K197" s="149" t="s">
        <v>114</v>
      </c>
      <c r="L197" s="149" t="s">
        <v>11</v>
      </c>
      <c r="M197" s="149" t="str">
        <f>VLOOKUP(U197,Hierarquia!A:K,6,0)</f>
        <v>BAT</v>
      </c>
      <c r="N197" s="149"/>
      <c r="O197" s="149" t="s">
        <v>115</v>
      </c>
      <c r="P197" s="133">
        <v>566</v>
      </c>
      <c r="Q197" s="135">
        <v>46170.375659722202</v>
      </c>
      <c r="R197" s="133" t="s">
        <v>116</v>
      </c>
      <c r="S197" s="133" t="s">
        <v>128</v>
      </c>
      <c r="T197" s="133" t="s">
        <v>28</v>
      </c>
      <c r="U197" s="133" t="s">
        <v>129</v>
      </c>
      <c r="V197" s="135">
        <v>46170</v>
      </c>
      <c r="W197" s="133">
        <v>1569914</v>
      </c>
      <c r="X197" s="133">
        <v>6877404476</v>
      </c>
      <c r="Y197" s="133" t="s">
        <v>35</v>
      </c>
      <c r="Z197" s="133" t="s">
        <v>501</v>
      </c>
      <c r="AF197" s="133">
        <v>0</v>
      </c>
      <c r="AG197" s="133" t="s">
        <v>131</v>
      </c>
    </row>
    <row r="198" spans="1:35" hidden="1" x14ac:dyDescent="0.2">
      <c r="A198" s="139">
        <f>Table1[[#This Row],[Qual a Numeração da Nota Fiscal com divergência ?]]</f>
        <v>1568362</v>
      </c>
      <c r="B198" s="146" t="s">
        <v>33</v>
      </c>
      <c r="C198" s="147" t="s">
        <v>111</v>
      </c>
      <c r="D198" s="147" t="s">
        <v>42</v>
      </c>
      <c r="E198" s="148">
        <f>WEEKNUM(Table1[[#This Row],[Dt da abertura]],1)</f>
        <v>22</v>
      </c>
      <c r="F198" s="147">
        <v>46171</v>
      </c>
      <c r="G198" s="147">
        <v>46170</v>
      </c>
      <c r="H198" s="147"/>
      <c r="I198" s="147">
        <v>46176</v>
      </c>
      <c r="J198" s="147"/>
      <c r="K198" s="149" t="s">
        <v>114</v>
      </c>
      <c r="L198" s="149" t="s">
        <v>11</v>
      </c>
      <c r="M198" s="149" t="str">
        <f>VLOOKUP(U198,Hierarquia!A:K,6,0)</f>
        <v>BAT</v>
      </c>
      <c r="N198" s="149"/>
      <c r="O198" s="149" t="s">
        <v>115</v>
      </c>
      <c r="P198" s="133">
        <v>567</v>
      </c>
      <c r="Q198" s="135">
        <v>46170.377650463</v>
      </c>
      <c r="R198" s="133" t="s">
        <v>116</v>
      </c>
      <c r="S198" s="133" t="s">
        <v>128</v>
      </c>
      <c r="T198" s="133" t="s">
        <v>28</v>
      </c>
      <c r="U198" s="133" t="s">
        <v>129</v>
      </c>
      <c r="V198" s="135">
        <v>46164</v>
      </c>
      <c r="W198" s="133">
        <v>1568362</v>
      </c>
      <c r="X198" s="133">
        <v>6877291789</v>
      </c>
      <c r="Y198" s="133" t="s">
        <v>35</v>
      </c>
      <c r="Z198" s="133" t="s">
        <v>502</v>
      </c>
      <c r="AF198" s="133">
        <v>0</v>
      </c>
      <c r="AG198" s="133" t="s">
        <v>131</v>
      </c>
    </row>
    <row r="199" spans="1:35" hidden="1" x14ac:dyDescent="0.2">
      <c r="A199" s="139">
        <f>Table1[[#This Row],[Qual a Numeração da Nota Fiscal com divergência ?]]</f>
        <v>1568368</v>
      </c>
      <c r="B199" s="146" t="s">
        <v>33</v>
      </c>
      <c r="C199" s="147" t="s">
        <v>111</v>
      </c>
      <c r="D199" s="147" t="s">
        <v>42</v>
      </c>
      <c r="E199" s="148">
        <f>WEEKNUM(Table1[[#This Row],[Dt da abertura]],1)</f>
        <v>22</v>
      </c>
      <c r="F199" s="147">
        <v>46171</v>
      </c>
      <c r="G199" s="147">
        <v>46170</v>
      </c>
      <c r="H199" s="147"/>
      <c r="I199" s="147">
        <v>46176</v>
      </c>
      <c r="J199" s="147"/>
      <c r="K199" s="149" t="s">
        <v>114</v>
      </c>
      <c r="L199" s="149" t="s">
        <v>11</v>
      </c>
      <c r="M199" s="149" t="str">
        <f>VLOOKUP(U199,Hierarquia!A:K,6,0)</f>
        <v>BAT</v>
      </c>
      <c r="N199" s="149"/>
      <c r="O199" s="149" t="s">
        <v>115</v>
      </c>
      <c r="P199" s="133">
        <v>568</v>
      </c>
      <c r="Q199" s="135">
        <v>46170.379918981504</v>
      </c>
      <c r="R199" s="133" t="s">
        <v>116</v>
      </c>
      <c r="S199" s="133" t="s">
        <v>128</v>
      </c>
      <c r="T199" s="133" t="s">
        <v>28</v>
      </c>
      <c r="U199" s="133" t="s">
        <v>129</v>
      </c>
      <c r="V199" s="135">
        <v>46164</v>
      </c>
      <c r="W199" s="133">
        <v>1568368</v>
      </c>
      <c r="X199" s="133">
        <v>6877297709</v>
      </c>
      <c r="Y199" s="133" t="s">
        <v>35</v>
      </c>
      <c r="Z199" s="133" t="s">
        <v>503</v>
      </c>
      <c r="AF199" s="133">
        <v>0</v>
      </c>
      <c r="AG199" s="133" t="s">
        <v>131</v>
      </c>
    </row>
    <row r="200" spans="1:35" hidden="1" x14ac:dyDescent="0.2">
      <c r="A200" s="139">
        <f>Table1[[#This Row],[Qual a Numeração da Nota Fiscal com divergência ?]]</f>
        <v>1570195</v>
      </c>
      <c r="B200" s="146" t="s">
        <v>25</v>
      </c>
      <c r="C200" s="147" t="s">
        <v>111</v>
      </c>
      <c r="D200" s="147" t="s">
        <v>42</v>
      </c>
      <c r="E200" s="148">
        <f>WEEKNUM(Table1[[#This Row],[Dt da abertura]],1)</f>
        <v>22</v>
      </c>
      <c r="F200" s="147">
        <v>46171</v>
      </c>
      <c r="G200" s="147">
        <v>46170</v>
      </c>
      <c r="H200" s="147"/>
      <c r="I200" s="147"/>
      <c r="J200" s="147"/>
      <c r="K200" s="149" t="s">
        <v>114</v>
      </c>
      <c r="L200" s="149" t="s">
        <v>11</v>
      </c>
      <c r="M200" s="149" t="str">
        <f>VLOOKUP(U200,Hierarquia!A:K,6,0)</f>
        <v>BAT</v>
      </c>
      <c r="N200" s="149"/>
      <c r="O200" s="149" t="s">
        <v>115</v>
      </c>
      <c r="P200" s="133">
        <v>570</v>
      </c>
      <c r="Q200" s="135">
        <v>46170.583182870403</v>
      </c>
      <c r="R200" s="133" t="s">
        <v>116</v>
      </c>
      <c r="S200" s="133" t="s">
        <v>171</v>
      </c>
      <c r="T200" s="133" t="s">
        <v>28</v>
      </c>
      <c r="U200" s="133" t="s">
        <v>172</v>
      </c>
      <c r="V200" s="135">
        <v>46170</v>
      </c>
      <c r="W200" s="133">
        <v>1570195</v>
      </c>
      <c r="X200" s="133">
        <v>6877372155</v>
      </c>
      <c r="Y200" s="133" t="s">
        <v>35</v>
      </c>
      <c r="Z200" s="133" t="s">
        <v>504</v>
      </c>
      <c r="AF200" s="133">
        <v>0</v>
      </c>
      <c r="AG200" s="133" t="s">
        <v>126</v>
      </c>
    </row>
    <row r="201" spans="1:35" x14ac:dyDescent="0.2">
      <c r="A201" s="139">
        <f>Table1[[#This Row],[Qual a Numeração da Nota Fiscal com divergência ?]]</f>
        <v>1570427</v>
      </c>
      <c r="B201" s="146" t="s">
        <v>33</v>
      </c>
      <c r="C201" s="147" t="s">
        <v>111</v>
      </c>
      <c r="D201" s="147" t="s">
        <v>42</v>
      </c>
      <c r="E201" s="148">
        <f>WEEKNUM(Table1[[#This Row],[Dt da abertura]],1)</f>
        <v>22</v>
      </c>
      <c r="F201" s="147">
        <v>46174</v>
      </c>
      <c r="G201" s="147">
        <v>46171</v>
      </c>
      <c r="H201" s="147"/>
      <c r="I201" s="147">
        <v>46176</v>
      </c>
      <c r="J201" s="147"/>
      <c r="K201" s="149" t="s">
        <v>114</v>
      </c>
      <c r="L201" s="149" t="s">
        <v>11</v>
      </c>
      <c r="M201" s="149" t="str">
        <f>VLOOKUP(U201,Hierarquia!A:K,6,0)</f>
        <v>FADEL</v>
      </c>
      <c r="N201" s="149"/>
      <c r="O201" s="149" t="s">
        <v>115</v>
      </c>
      <c r="P201" s="133">
        <v>571</v>
      </c>
      <c r="Q201" s="135">
        <v>46171.464236111096</v>
      </c>
      <c r="R201" s="133" t="s">
        <v>116</v>
      </c>
      <c r="S201" s="133" t="s">
        <v>133</v>
      </c>
      <c r="T201" s="133" t="s">
        <v>26</v>
      </c>
      <c r="U201" s="133" t="s">
        <v>215</v>
      </c>
      <c r="V201" s="135">
        <v>46170</v>
      </c>
      <c r="W201" s="133">
        <v>1570427</v>
      </c>
      <c r="X201" s="133">
        <v>6877389977</v>
      </c>
      <c r="Y201" s="133" t="s">
        <v>35</v>
      </c>
      <c r="Z201" s="133" t="s">
        <v>505</v>
      </c>
      <c r="AG201" s="133" t="s">
        <v>131</v>
      </c>
    </row>
    <row r="202" spans="1:35" ht="15.75" hidden="1" x14ac:dyDescent="0.25">
      <c r="A202" s="139">
        <f>Table1[[#This Row],[Qual a Numeração da Nota Fiscal com divergência ?]]</f>
        <v>1567304</v>
      </c>
      <c r="B202" s="146" t="s">
        <v>33</v>
      </c>
      <c r="C202" s="147" t="s">
        <v>111</v>
      </c>
      <c r="D202" s="147" t="s">
        <v>42</v>
      </c>
      <c r="E202" s="148">
        <f>WEEKNUM(Table1[[#This Row],[Dt da abertura]],1)</f>
        <v>22</v>
      </c>
      <c r="F202" s="147">
        <v>46174</v>
      </c>
      <c r="G202" s="147">
        <v>46171</v>
      </c>
      <c r="H202" s="147"/>
      <c r="I202" s="147">
        <v>46176</v>
      </c>
      <c r="J202" s="147"/>
      <c r="K202" s="149" t="s">
        <v>114</v>
      </c>
      <c r="L202" s="149" t="s">
        <v>11</v>
      </c>
      <c r="M202" s="149" t="str">
        <f>VLOOKUP(U202,Hierarquia!A:K,6,0)</f>
        <v>BAT</v>
      </c>
      <c r="N202" s="149"/>
      <c r="O202" s="149" t="s">
        <v>115</v>
      </c>
      <c r="P202" s="133">
        <v>572</v>
      </c>
      <c r="Q202" s="135">
        <v>46171.604155092602</v>
      </c>
      <c r="R202" s="133" t="s">
        <v>116</v>
      </c>
      <c r="S202" s="156" t="s">
        <v>128</v>
      </c>
      <c r="T202" s="133" t="s">
        <v>28</v>
      </c>
      <c r="U202" s="133" t="s">
        <v>129</v>
      </c>
      <c r="V202" s="135">
        <v>46162</v>
      </c>
      <c r="W202" s="133">
        <v>1567304</v>
      </c>
      <c r="X202" s="133">
        <v>6877285960</v>
      </c>
      <c r="Y202" s="133" t="s">
        <v>35</v>
      </c>
      <c r="Z202" s="133" t="s">
        <v>506</v>
      </c>
      <c r="AG202" s="133" t="s">
        <v>121</v>
      </c>
    </row>
    <row r="203" spans="1:35" hidden="1" x14ac:dyDescent="0.2">
      <c r="A203" s="139">
        <f>Table1[[#This Row],[Qual a Numeração da Nota Fiscal com divergência ?]]</f>
        <v>1569574</v>
      </c>
      <c r="B203" s="146" t="s">
        <v>33</v>
      </c>
      <c r="C203" s="147" t="s">
        <v>111</v>
      </c>
      <c r="D203" s="147" t="s">
        <v>42</v>
      </c>
      <c r="E203" s="148">
        <f>WEEKNUM(Table1[[#This Row],[Dt da abertura]],1)</f>
        <v>22</v>
      </c>
      <c r="F203" s="147">
        <v>46174</v>
      </c>
      <c r="G203" s="147">
        <v>46172</v>
      </c>
      <c r="H203" s="147"/>
      <c r="I203" s="147">
        <v>46176</v>
      </c>
      <c r="J203" s="147"/>
      <c r="K203" s="149" t="s">
        <v>114</v>
      </c>
      <c r="L203" s="149" t="s">
        <v>11</v>
      </c>
      <c r="M203" s="149" t="str">
        <f>VLOOKUP(U203,Hierarquia!A:K,6,0)</f>
        <v>BAT</v>
      </c>
      <c r="N203" s="149"/>
      <c r="O203" s="149" t="s">
        <v>115</v>
      </c>
      <c r="P203" s="133">
        <v>573</v>
      </c>
      <c r="Q203" s="135">
        <v>46171.738761574103</v>
      </c>
      <c r="R203" s="133" t="s">
        <v>116</v>
      </c>
      <c r="S203" s="133" t="s">
        <v>307</v>
      </c>
      <c r="T203" s="133" t="s">
        <v>28</v>
      </c>
      <c r="U203" s="133" t="s">
        <v>231</v>
      </c>
      <c r="V203" s="135">
        <v>46170</v>
      </c>
      <c r="W203" s="133">
        <v>1569574</v>
      </c>
      <c r="X203" s="133">
        <v>6877390774</v>
      </c>
      <c r="Y203" s="133" t="s">
        <v>34</v>
      </c>
      <c r="Z203" s="133" t="s">
        <v>507</v>
      </c>
      <c r="AG203" s="133" t="s">
        <v>131</v>
      </c>
    </row>
    <row r="204" spans="1:35" x14ac:dyDescent="0.2">
      <c r="A204" s="139">
        <f>Table1[[#This Row],[Qual a Numeração da Nota Fiscal com divergência ?]]</f>
        <v>1570766</v>
      </c>
      <c r="B204" s="146" t="s">
        <v>30</v>
      </c>
      <c r="C204" s="147" t="s">
        <v>111</v>
      </c>
      <c r="D204" s="147" t="s">
        <v>42</v>
      </c>
      <c r="E204" s="148">
        <f>WEEKNUM(Table1[[#This Row],[Dt da abertura]],1)</f>
        <v>22</v>
      </c>
      <c r="F204" s="147">
        <v>46174</v>
      </c>
      <c r="G204" s="147">
        <v>46172</v>
      </c>
      <c r="H204" s="147"/>
      <c r="I204" s="147">
        <v>46176</v>
      </c>
      <c r="J204" s="147"/>
      <c r="K204" s="149" t="s">
        <v>114</v>
      </c>
      <c r="L204" s="149" t="s">
        <v>11</v>
      </c>
      <c r="M204" s="149" t="str">
        <f>VLOOKUP(U204,Hierarquia!A:K,6,0)</f>
        <v>FADEL</v>
      </c>
      <c r="N204" s="149"/>
      <c r="O204" s="149" t="s">
        <v>115</v>
      </c>
      <c r="P204" s="133">
        <v>574</v>
      </c>
      <c r="Q204" s="135">
        <v>46172.403333333299</v>
      </c>
      <c r="R204" s="133" t="s">
        <v>116</v>
      </c>
      <c r="S204" s="133" t="s">
        <v>133</v>
      </c>
      <c r="T204" s="133" t="s">
        <v>26</v>
      </c>
      <c r="U204" s="133" t="s">
        <v>273</v>
      </c>
      <c r="V204" s="135">
        <v>46171</v>
      </c>
      <c r="W204" s="133">
        <v>1570766</v>
      </c>
      <c r="X204" s="133">
        <v>6877439413</v>
      </c>
      <c r="Y204" s="133" t="s">
        <v>35</v>
      </c>
      <c r="Z204" s="133" t="s">
        <v>508</v>
      </c>
      <c r="AG204" s="133" t="s">
        <v>131</v>
      </c>
    </row>
    <row r="205" spans="1:35" hidden="1" x14ac:dyDescent="0.2">
      <c r="A205" s="139">
        <f>Table1[[#This Row],[Qual a Numeração da Nota Fiscal com divergência ?]]</f>
        <v>1571585</v>
      </c>
      <c r="B205" s="146" t="s">
        <v>33</v>
      </c>
      <c r="C205" s="147" t="s">
        <v>111</v>
      </c>
      <c r="D205" s="147" t="s">
        <v>43</v>
      </c>
      <c r="E205" s="148">
        <f>WEEKNUM(Table1[[#This Row],[Dt da abertura]],1)</f>
        <v>23</v>
      </c>
      <c r="F205" s="147">
        <v>46176</v>
      </c>
      <c r="G205" s="147">
        <v>46175</v>
      </c>
      <c r="H205" s="147">
        <v>46178</v>
      </c>
      <c r="I205" s="147">
        <v>46184</v>
      </c>
      <c r="J205" s="147"/>
      <c r="K205" s="149" t="s">
        <v>114</v>
      </c>
      <c r="L205" s="149" t="s">
        <v>11</v>
      </c>
      <c r="M205" s="149" t="str">
        <f>VLOOKUP(U205,Hierarquia!A:K,6,0)</f>
        <v>BAT</v>
      </c>
      <c r="N205" s="149"/>
      <c r="O205" s="149" t="s">
        <v>115</v>
      </c>
      <c r="P205" s="133">
        <v>575</v>
      </c>
      <c r="Q205" s="135">
        <v>46175</v>
      </c>
      <c r="R205" s="133" t="s">
        <v>116</v>
      </c>
      <c r="S205" s="135" t="s">
        <v>413</v>
      </c>
      <c r="T205" s="133" t="s">
        <v>28</v>
      </c>
      <c r="U205" s="133" t="s">
        <v>414</v>
      </c>
      <c r="V205" s="135">
        <v>46175</v>
      </c>
      <c r="W205" s="133">
        <v>1571585</v>
      </c>
      <c r="X205" s="133">
        <v>6877468881</v>
      </c>
      <c r="Y205" s="133" t="s">
        <v>35</v>
      </c>
      <c r="Z205" s="133" t="s">
        <v>509</v>
      </c>
      <c r="AF205" s="133" t="s">
        <v>452</v>
      </c>
      <c r="AG205" s="133" t="s">
        <v>126</v>
      </c>
      <c r="AI205" s="133" t="s">
        <v>510</v>
      </c>
    </row>
    <row r="206" spans="1:35" x14ac:dyDescent="0.2">
      <c r="A206" s="139">
        <f>Table1[[#This Row],[Qual a Numeração da Nota Fiscal com divergência ?]]</f>
        <v>1571873</v>
      </c>
      <c r="B206" s="146" t="s">
        <v>33</v>
      </c>
      <c r="C206" s="147" t="s">
        <v>111</v>
      </c>
      <c r="D206" s="147" t="s">
        <v>43</v>
      </c>
      <c r="E206" s="148">
        <f>WEEKNUM(Table1[[#This Row],[Dt da abertura]],1)</f>
        <v>23</v>
      </c>
      <c r="F206" s="147">
        <v>46176</v>
      </c>
      <c r="G206" s="147">
        <v>46175</v>
      </c>
      <c r="H206" s="147">
        <v>46178</v>
      </c>
      <c r="I206" s="147">
        <v>46184</v>
      </c>
      <c r="J206" s="147"/>
      <c r="K206" s="149" t="s">
        <v>114</v>
      </c>
      <c r="L206" s="149" t="s">
        <v>11</v>
      </c>
      <c r="M206" s="149" t="str">
        <f>VLOOKUP(U206,Hierarquia!A:K,6,0)</f>
        <v>FADEL</v>
      </c>
      <c r="N206" s="149"/>
      <c r="O206" s="149" t="s">
        <v>115</v>
      </c>
      <c r="P206" s="133">
        <v>576</v>
      </c>
      <c r="Q206" s="135">
        <v>46175</v>
      </c>
      <c r="R206" s="133" t="s">
        <v>116</v>
      </c>
      <c r="S206" s="135" t="s">
        <v>133</v>
      </c>
      <c r="T206" s="133" t="s">
        <v>26</v>
      </c>
      <c r="U206" s="133" t="s">
        <v>215</v>
      </c>
      <c r="V206" s="135">
        <v>46175</v>
      </c>
      <c r="W206" s="133">
        <v>1571873</v>
      </c>
      <c r="X206" s="133">
        <v>6877497420</v>
      </c>
      <c r="Y206" s="133" t="s">
        <v>35</v>
      </c>
      <c r="Z206" s="133" t="s">
        <v>511</v>
      </c>
      <c r="AF206" s="133">
        <v>10514314</v>
      </c>
      <c r="AG206" s="133" t="s">
        <v>131</v>
      </c>
    </row>
    <row r="207" spans="1:35" x14ac:dyDescent="0.2">
      <c r="A207" s="139">
        <f>Table1[[#This Row],[Qual a Numeração da Nota Fiscal com divergência ?]]</f>
        <v>1570766</v>
      </c>
      <c r="B207" s="146" t="s">
        <v>33</v>
      </c>
      <c r="C207" s="147" t="s">
        <v>111</v>
      </c>
      <c r="D207" s="147" t="s">
        <v>43</v>
      </c>
      <c r="E207" s="148">
        <f>WEEKNUM(Table1[[#This Row],[Dt da abertura]],1)</f>
        <v>23</v>
      </c>
      <c r="F207" s="147">
        <v>46176</v>
      </c>
      <c r="G207" s="147">
        <v>46175</v>
      </c>
      <c r="H207" s="147">
        <v>46178</v>
      </c>
      <c r="I207" s="147">
        <v>46184</v>
      </c>
      <c r="J207" s="147"/>
      <c r="K207" s="149" t="s">
        <v>114</v>
      </c>
      <c r="L207" s="149" t="s">
        <v>11</v>
      </c>
      <c r="M207" s="149" t="str">
        <f>VLOOKUP(U207,Hierarquia!A:K,6,0)</f>
        <v>FADEL</v>
      </c>
      <c r="N207" s="149"/>
      <c r="O207" s="149" t="s">
        <v>115</v>
      </c>
      <c r="P207" s="133">
        <v>577</v>
      </c>
      <c r="Q207" s="135">
        <v>46175</v>
      </c>
      <c r="R207" s="133" t="s">
        <v>116</v>
      </c>
      <c r="S207" s="135" t="s">
        <v>133</v>
      </c>
      <c r="T207" s="133" t="s">
        <v>26</v>
      </c>
      <c r="U207" s="133" t="s">
        <v>273</v>
      </c>
      <c r="V207" s="135">
        <v>46171</v>
      </c>
      <c r="W207" s="133">
        <v>1570766</v>
      </c>
      <c r="X207" s="133">
        <v>6877439413</v>
      </c>
      <c r="Y207" s="133" t="s">
        <v>35</v>
      </c>
      <c r="Z207" s="133" t="s">
        <v>512</v>
      </c>
      <c r="AF207" s="133" t="s">
        <v>467</v>
      </c>
      <c r="AG207" s="133" t="s">
        <v>131</v>
      </c>
    </row>
    <row r="208" spans="1:35" x14ac:dyDescent="0.2">
      <c r="A208" s="139">
        <f>Table1[[#This Row],[Qual a Numeração da Nota Fiscal com divergência ?]]</f>
        <v>1572047</v>
      </c>
      <c r="B208" s="146" t="s">
        <v>33</v>
      </c>
      <c r="C208" s="147" t="s">
        <v>111</v>
      </c>
      <c r="D208" s="147" t="s">
        <v>43</v>
      </c>
      <c r="E208" s="148">
        <f>WEEKNUM(Table1[[#This Row],[Dt da abertura]],1)</f>
        <v>23</v>
      </c>
      <c r="F208" s="147">
        <v>46176</v>
      </c>
      <c r="G208" s="147">
        <v>46175</v>
      </c>
      <c r="H208" s="147">
        <v>46178</v>
      </c>
      <c r="I208" s="147">
        <v>46184</v>
      </c>
      <c r="J208" s="147"/>
      <c r="K208" s="149" t="s">
        <v>114</v>
      </c>
      <c r="L208" s="149" t="s">
        <v>11</v>
      </c>
      <c r="M208" s="149" t="str">
        <f>VLOOKUP(U208,Hierarquia!A:K,6,0)</f>
        <v>FADEL</v>
      </c>
      <c r="N208" s="149"/>
      <c r="O208" s="149" t="s">
        <v>115</v>
      </c>
      <c r="P208" s="133">
        <v>578</v>
      </c>
      <c r="Q208" s="135">
        <v>46175</v>
      </c>
      <c r="R208" s="133" t="s">
        <v>116</v>
      </c>
      <c r="S208" s="135" t="s">
        <v>133</v>
      </c>
      <c r="T208" s="133" t="s">
        <v>26</v>
      </c>
      <c r="U208" s="133" t="s">
        <v>303</v>
      </c>
      <c r="V208" s="135">
        <v>46175</v>
      </c>
      <c r="W208" s="133">
        <v>1572047</v>
      </c>
      <c r="X208" s="133">
        <v>6877488586</v>
      </c>
      <c r="Y208" s="133" t="s">
        <v>35</v>
      </c>
      <c r="Z208" s="133" t="s">
        <v>513</v>
      </c>
      <c r="AF208" s="133">
        <v>10514548</v>
      </c>
      <c r="AG208" s="133" t="s">
        <v>131</v>
      </c>
    </row>
    <row r="209" spans="1:33" hidden="1" x14ac:dyDescent="0.2">
      <c r="A209" s="139">
        <f>Table1[[#This Row],[Qual a Numeração da Nota Fiscal com divergência ?]]</f>
        <v>1565576</v>
      </c>
      <c r="B209" s="146" t="s">
        <v>33</v>
      </c>
      <c r="C209" s="147" t="s">
        <v>111</v>
      </c>
      <c r="D209" s="147" t="s">
        <v>43</v>
      </c>
      <c r="E209" s="148">
        <f>WEEKNUM(Table1[[#This Row],[Dt da abertura]],1)</f>
        <v>23</v>
      </c>
      <c r="F209" s="147">
        <v>46183</v>
      </c>
      <c r="G209" s="147">
        <v>46176</v>
      </c>
      <c r="H209" s="147">
        <v>46199</v>
      </c>
      <c r="I209" s="147">
        <v>46184</v>
      </c>
      <c r="J209" s="147"/>
      <c r="K209" s="149" t="s">
        <v>114</v>
      </c>
      <c r="L209" s="149" t="s">
        <v>11</v>
      </c>
      <c r="M209" s="149" t="str">
        <f>VLOOKUP(U209,Hierarquia!A:K,6,0)</f>
        <v>BAT</v>
      </c>
      <c r="N209" s="149"/>
      <c r="O209" s="149" t="s">
        <v>115</v>
      </c>
      <c r="P209" s="133">
        <v>579</v>
      </c>
      <c r="Q209" s="135">
        <v>46176.354201388902</v>
      </c>
      <c r="R209" s="133" t="s">
        <v>116</v>
      </c>
      <c r="S209" s="133" t="s">
        <v>428</v>
      </c>
      <c r="T209" s="133" t="s">
        <v>28</v>
      </c>
      <c r="U209" s="133" t="s">
        <v>429</v>
      </c>
      <c r="V209" s="135">
        <v>46156</v>
      </c>
      <c r="W209" s="133">
        <v>1565576</v>
      </c>
      <c r="X209" s="133">
        <v>6877201584</v>
      </c>
      <c r="Y209" s="133" t="s">
        <v>35</v>
      </c>
      <c r="Z209" s="133" t="s">
        <v>514</v>
      </c>
      <c r="AF209" s="133">
        <v>1565576</v>
      </c>
      <c r="AG209" s="133" t="s">
        <v>131</v>
      </c>
    </row>
    <row r="210" spans="1:33" hidden="1" x14ac:dyDescent="0.2">
      <c r="A210" s="139">
        <f>Table1[[#This Row],[Qual a Numeração da Nota Fiscal com divergência ?]]</f>
        <v>1571165</v>
      </c>
      <c r="B210" s="146" t="s">
        <v>33</v>
      </c>
      <c r="C210" s="147" t="s">
        <v>111</v>
      </c>
      <c r="D210" s="147" t="s">
        <v>43</v>
      </c>
      <c r="E210" s="148">
        <f>WEEKNUM(Table1[[#This Row],[Dt da abertura]],1)</f>
        <v>23</v>
      </c>
      <c r="F210" s="147">
        <v>46183</v>
      </c>
      <c r="G210" s="147">
        <v>46176</v>
      </c>
      <c r="H210" s="147">
        <v>46199</v>
      </c>
      <c r="I210" s="147">
        <v>46184</v>
      </c>
      <c r="J210" s="147"/>
      <c r="K210" s="149" t="s">
        <v>114</v>
      </c>
      <c r="L210" s="149" t="s">
        <v>11</v>
      </c>
      <c r="M210" s="149" t="str">
        <f>VLOOKUP(U210,Hierarquia!A:K,6,0)</f>
        <v>BAT</v>
      </c>
      <c r="N210" s="149"/>
      <c r="O210" s="149" t="s">
        <v>115</v>
      </c>
      <c r="P210" s="133">
        <v>580</v>
      </c>
      <c r="Q210" s="135">
        <v>46176.730682870402</v>
      </c>
      <c r="R210" s="133" t="s">
        <v>116</v>
      </c>
      <c r="S210" s="133" t="s">
        <v>137</v>
      </c>
      <c r="T210" s="133" t="s">
        <v>28</v>
      </c>
      <c r="U210" s="133" t="s">
        <v>138</v>
      </c>
      <c r="V210" s="135">
        <v>46175</v>
      </c>
      <c r="W210" s="133">
        <v>1571165</v>
      </c>
      <c r="X210" s="133">
        <v>6877409447</v>
      </c>
      <c r="Y210" s="133" t="s">
        <v>35</v>
      </c>
      <c r="Z210" s="133" t="s">
        <v>515</v>
      </c>
      <c r="AF210" s="133" t="s">
        <v>140</v>
      </c>
      <c r="AG210" s="133" t="s">
        <v>131</v>
      </c>
    </row>
    <row r="211" spans="1:33" x14ac:dyDescent="0.2">
      <c r="A211" s="139">
        <f>Table1[[#This Row],[Qual a Numeração da Nota Fiscal com divergência ?]]</f>
        <v>1572893</v>
      </c>
      <c r="B211" s="146" t="s">
        <v>33</v>
      </c>
      <c r="C211" s="147" t="s">
        <v>111</v>
      </c>
      <c r="D211" s="147" t="s">
        <v>43</v>
      </c>
      <c r="E211" s="148">
        <f>WEEKNUM(Table1[[#This Row],[Dt da abertura]],1)</f>
        <v>23</v>
      </c>
      <c r="F211" s="147">
        <v>46183</v>
      </c>
      <c r="G211" s="147">
        <v>46178</v>
      </c>
      <c r="H211" s="147">
        <v>46199</v>
      </c>
      <c r="I211" s="147">
        <v>46184</v>
      </c>
      <c r="J211" s="147"/>
      <c r="K211" s="149" t="s">
        <v>114</v>
      </c>
      <c r="L211" s="149" t="s">
        <v>11</v>
      </c>
      <c r="M211" s="149" t="str">
        <f>VLOOKUP(U211,Hierarquia!A:K,6,0)</f>
        <v>FADEL</v>
      </c>
      <c r="N211" s="149"/>
      <c r="O211" s="149" t="s">
        <v>115</v>
      </c>
      <c r="P211" s="133">
        <v>581</v>
      </c>
      <c r="Q211" s="135">
        <v>46178.493622685201</v>
      </c>
      <c r="R211" s="133" t="s">
        <v>116</v>
      </c>
      <c r="S211" s="133" t="s">
        <v>133</v>
      </c>
      <c r="T211" s="133" t="s">
        <v>26</v>
      </c>
      <c r="U211" s="133" t="s">
        <v>377</v>
      </c>
      <c r="V211" s="135">
        <v>46178</v>
      </c>
      <c r="W211" s="133">
        <v>1572893</v>
      </c>
      <c r="X211" s="133">
        <v>6877383649</v>
      </c>
      <c r="Y211" s="133" t="s">
        <v>35</v>
      </c>
      <c r="Z211" s="133" t="s">
        <v>516</v>
      </c>
      <c r="AF211" s="133">
        <v>10535825</v>
      </c>
      <c r="AG211" s="133" t="s">
        <v>131</v>
      </c>
    </row>
    <row r="212" spans="1:33" x14ac:dyDescent="0.2">
      <c r="A212" s="139">
        <f>Table1[[#This Row],[Qual a Numeração da Nota Fiscal com divergência ?]]</f>
        <v>1573140</v>
      </c>
      <c r="B212" s="146" t="s">
        <v>33</v>
      </c>
      <c r="C212" s="147" t="s">
        <v>111</v>
      </c>
      <c r="D212" s="147" t="s">
        <v>43</v>
      </c>
      <c r="E212" s="148">
        <f>WEEKNUM(Table1[[#This Row],[Dt da abertura]],1)</f>
        <v>24</v>
      </c>
      <c r="F212" s="147">
        <v>46183</v>
      </c>
      <c r="G212" s="147">
        <v>46181</v>
      </c>
      <c r="H212" s="147">
        <v>46199</v>
      </c>
      <c r="I212" s="147">
        <v>46184</v>
      </c>
      <c r="J212" s="147"/>
      <c r="K212" s="149" t="s">
        <v>114</v>
      </c>
      <c r="L212" s="149" t="s">
        <v>11</v>
      </c>
      <c r="M212" s="149" t="str">
        <f>VLOOKUP(U212,Hierarquia!A:K,6,0)</f>
        <v>FADEL</v>
      </c>
      <c r="N212" s="149"/>
      <c r="O212" s="149" t="s">
        <v>115</v>
      </c>
      <c r="P212" s="133">
        <v>582</v>
      </c>
      <c r="Q212" s="135">
        <v>46181.346157407403</v>
      </c>
      <c r="R212" s="133" t="s">
        <v>116</v>
      </c>
      <c r="S212" s="133" t="s">
        <v>133</v>
      </c>
      <c r="T212" s="133" t="s">
        <v>26</v>
      </c>
      <c r="U212" s="133" t="s">
        <v>134</v>
      </c>
      <c r="V212" s="135">
        <v>46178</v>
      </c>
      <c r="W212" s="133">
        <v>1573140</v>
      </c>
      <c r="X212" s="133">
        <v>6877511103</v>
      </c>
      <c r="Y212" s="133" t="s">
        <v>35</v>
      </c>
      <c r="Z212" s="133" t="s">
        <v>517</v>
      </c>
      <c r="AF212" s="133" t="s">
        <v>467</v>
      </c>
      <c r="AG212" s="133" t="s">
        <v>131</v>
      </c>
    </row>
    <row r="213" spans="1:33" x14ac:dyDescent="0.2">
      <c r="A213" s="139">
        <f>Table1[[#This Row],[Qual a Numeração da Nota Fiscal com divergência ?]]</f>
        <v>1573140</v>
      </c>
      <c r="B213" s="146" t="s">
        <v>33</v>
      </c>
      <c r="C213" s="147" t="s">
        <v>111</v>
      </c>
      <c r="D213" s="147" t="s">
        <v>43</v>
      </c>
      <c r="E213" s="148">
        <f>WEEKNUM(Table1[[#This Row],[Dt da abertura]],1)</f>
        <v>24</v>
      </c>
      <c r="F213" s="147">
        <v>46183</v>
      </c>
      <c r="G213" s="147">
        <v>46183</v>
      </c>
      <c r="H213" s="147">
        <v>46199</v>
      </c>
      <c r="I213" s="147">
        <v>46184</v>
      </c>
      <c r="J213" s="147"/>
      <c r="K213" s="149" t="s">
        <v>114</v>
      </c>
      <c r="L213" s="149" t="s">
        <v>11</v>
      </c>
      <c r="M213" s="149" t="str">
        <f>VLOOKUP(U213,Hierarquia!A:K,6,0)</f>
        <v>FADEL</v>
      </c>
      <c r="N213" s="149"/>
      <c r="O213" s="149" t="s">
        <v>115</v>
      </c>
      <c r="P213" s="133">
        <v>584</v>
      </c>
      <c r="Q213" s="135">
        <v>46183.452418981498</v>
      </c>
      <c r="R213" s="133" t="s">
        <v>116</v>
      </c>
      <c r="S213" s="133" t="s">
        <v>133</v>
      </c>
      <c r="T213" s="133" t="s">
        <v>26</v>
      </c>
      <c r="U213" s="133" t="s">
        <v>134</v>
      </c>
      <c r="V213" s="135">
        <v>46178</v>
      </c>
      <c r="W213" s="133">
        <v>1573140</v>
      </c>
      <c r="X213" s="133">
        <v>6877511103</v>
      </c>
      <c r="Y213" s="133" t="s">
        <v>35</v>
      </c>
      <c r="Z213" s="133" t="s">
        <v>518</v>
      </c>
      <c r="AF213" s="133" t="s">
        <v>223</v>
      </c>
      <c r="AG213" s="133" t="s">
        <v>131</v>
      </c>
    </row>
    <row r="214" spans="1:33" hidden="1" x14ac:dyDescent="0.2">
      <c r="A214" s="139">
        <f>Table1[[#This Row],[Qual a Numeração da Nota Fiscal com divergência ?]]</f>
        <v>1573304</v>
      </c>
      <c r="B214" s="146" t="s">
        <v>33</v>
      </c>
      <c r="C214" s="147" t="s">
        <v>111</v>
      </c>
      <c r="D214" s="147" t="s">
        <v>43</v>
      </c>
      <c r="E214" s="148">
        <f>WEEKNUM(Table1[[#This Row],[Dt da abertura]],1)</f>
        <v>24</v>
      </c>
      <c r="F214" s="147">
        <v>46183</v>
      </c>
      <c r="G214" s="147">
        <v>46183</v>
      </c>
      <c r="H214" s="147">
        <v>46199</v>
      </c>
      <c r="I214" s="147">
        <v>46188</v>
      </c>
      <c r="J214" s="147"/>
      <c r="K214" s="149" t="s">
        <v>114</v>
      </c>
      <c r="L214" s="149" t="s">
        <v>11</v>
      </c>
      <c r="M214" s="149" t="str">
        <f>VLOOKUP(U214,Hierarquia!A:K,6,0)</f>
        <v>BAT</v>
      </c>
      <c r="N214" s="149"/>
      <c r="O214" s="149" t="s">
        <v>115</v>
      </c>
      <c r="P214" s="133">
        <v>585</v>
      </c>
      <c r="Q214" s="135">
        <v>46183.5151273148</v>
      </c>
      <c r="R214" s="133" t="s">
        <v>116</v>
      </c>
      <c r="S214" s="133" t="s">
        <v>408</v>
      </c>
      <c r="T214" s="133" t="s">
        <v>28</v>
      </c>
      <c r="U214" s="133" t="s">
        <v>409</v>
      </c>
      <c r="V214" s="135">
        <v>46183</v>
      </c>
      <c r="W214" s="133">
        <v>1573304</v>
      </c>
      <c r="X214" s="133">
        <v>6877524648</v>
      </c>
      <c r="Y214" s="133" t="s">
        <v>35</v>
      </c>
      <c r="Z214" s="133" t="s">
        <v>519</v>
      </c>
      <c r="AF214" s="133">
        <v>6877524648</v>
      </c>
      <c r="AG214" s="133" t="s">
        <v>131</v>
      </c>
    </row>
    <row r="215" spans="1:33" x14ac:dyDescent="0.2">
      <c r="A215" s="139">
        <f>Table1[[#This Row],[Qual a Numeração da Nota Fiscal com divergência ?]]</f>
        <v>1572893</v>
      </c>
      <c r="B215" s="146" t="s">
        <v>145</v>
      </c>
      <c r="C215" s="147" t="s">
        <v>111</v>
      </c>
      <c r="D215" s="147" t="s">
        <v>43</v>
      </c>
      <c r="E215" s="148">
        <f>WEEKNUM(Table1[[#This Row],[Dt da abertura]],1)</f>
        <v>24</v>
      </c>
      <c r="F215" s="147">
        <v>46188</v>
      </c>
      <c r="G215" s="147">
        <v>46184</v>
      </c>
      <c r="H215" s="147">
        <v>46199</v>
      </c>
      <c r="I215" s="147">
        <v>46188</v>
      </c>
      <c r="J215" s="147"/>
      <c r="K215" s="149" t="s">
        <v>114</v>
      </c>
      <c r="L215" s="149" t="s">
        <v>11</v>
      </c>
      <c r="M215" s="149" t="str">
        <f>VLOOKUP(U215,Hierarquia!A:K,6,0)</f>
        <v>FADEL</v>
      </c>
      <c r="N215" s="149"/>
      <c r="O215" s="149" t="s">
        <v>115</v>
      </c>
      <c r="P215" s="133">
        <v>586</v>
      </c>
      <c r="Q215" s="135">
        <v>46184.577141203699</v>
      </c>
      <c r="R215" s="133" t="s">
        <v>116</v>
      </c>
      <c r="S215" s="133" t="s">
        <v>133</v>
      </c>
      <c r="T215" s="133" t="s">
        <v>26</v>
      </c>
      <c r="U215" s="133" t="s">
        <v>377</v>
      </c>
      <c r="V215" s="135">
        <v>46184</v>
      </c>
      <c r="W215" s="133">
        <v>1572893</v>
      </c>
      <c r="X215" s="133">
        <v>6877383649</v>
      </c>
      <c r="Y215" s="133" t="s">
        <v>35</v>
      </c>
      <c r="Z215" s="133" t="s">
        <v>520</v>
      </c>
      <c r="AF215" s="133">
        <v>10535825</v>
      </c>
      <c r="AG215" s="133" t="s">
        <v>131</v>
      </c>
    </row>
    <row r="216" spans="1:33" x14ac:dyDescent="0.2">
      <c r="A216" s="139">
        <f>Table1[[#This Row],[Qual a Numeração da Nota Fiscal com divergência ?]]</f>
        <v>1575261</v>
      </c>
      <c r="B216" s="146" t="s">
        <v>33</v>
      </c>
      <c r="C216" s="147" t="s">
        <v>111</v>
      </c>
      <c r="D216" s="147" t="s">
        <v>43</v>
      </c>
      <c r="E216" s="148">
        <f>WEEKNUM(Table1[[#This Row],[Dt da abertura]],1)</f>
        <v>24</v>
      </c>
      <c r="F216" s="147">
        <v>46188</v>
      </c>
      <c r="G216" s="147">
        <v>46184</v>
      </c>
      <c r="H216" s="147">
        <v>46199</v>
      </c>
      <c r="I216" s="147">
        <v>46188</v>
      </c>
      <c r="J216" s="147"/>
      <c r="K216" s="149" t="s">
        <v>114</v>
      </c>
      <c r="L216" s="149" t="s">
        <v>11</v>
      </c>
      <c r="M216" s="149" t="str">
        <f>VLOOKUP(U216,Hierarquia!A:K,6,0)</f>
        <v>FADEL</v>
      </c>
      <c r="N216" s="149"/>
      <c r="O216" s="149" t="s">
        <v>115</v>
      </c>
      <c r="P216" s="133">
        <v>587</v>
      </c>
      <c r="Q216" s="135">
        <v>46184.633831018502</v>
      </c>
      <c r="R216" s="133" t="s">
        <v>116</v>
      </c>
      <c r="S216" s="133" t="s">
        <v>133</v>
      </c>
      <c r="T216" s="133" t="s">
        <v>26</v>
      </c>
      <c r="U216" s="133" t="s">
        <v>168</v>
      </c>
      <c r="V216" s="135">
        <v>46184</v>
      </c>
      <c r="W216" s="133">
        <v>1575261</v>
      </c>
      <c r="X216" s="133">
        <v>6877588536</v>
      </c>
      <c r="Y216" s="133" t="s">
        <v>34</v>
      </c>
      <c r="Z216" s="133" t="s">
        <v>521</v>
      </c>
      <c r="AF216" s="133">
        <v>10576191</v>
      </c>
      <c r="AG216" s="133" t="s">
        <v>131</v>
      </c>
    </row>
    <row r="217" spans="1:33" hidden="1" x14ac:dyDescent="0.2">
      <c r="A217" s="139">
        <f>Table1[[#This Row],[Qual a Numeração da Nota Fiscal com divergência ?]]</f>
        <v>1574512</v>
      </c>
      <c r="B217" s="146" t="s">
        <v>33</v>
      </c>
      <c r="C217" s="147" t="s">
        <v>111</v>
      </c>
      <c r="D217" s="147" t="s">
        <v>43</v>
      </c>
      <c r="E217" s="148">
        <f>WEEKNUM(Table1[[#This Row],[Dt da abertura]],1)</f>
        <v>24</v>
      </c>
      <c r="F217" s="147">
        <v>46188</v>
      </c>
      <c r="G217" s="147">
        <v>46184</v>
      </c>
      <c r="H217" s="147">
        <v>46199</v>
      </c>
      <c r="I217" s="147">
        <v>46188</v>
      </c>
      <c r="J217" s="147"/>
      <c r="K217" s="149" t="s">
        <v>114</v>
      </c>
      <c r="L217" s="149" t="s">
        <v>11</v>
      </c>
      <c r="M217" s="149" t="str">
        <f>VLOOKUP(U217,Hierarquia!A:K,6,0)</f>
        <v>BAT</v>
      </c>
      <c r="N217" s="149"/>
      <c r="O217" s="149" t="s">
        <v>115</v>
      </c>
      <c r="P217" s="133">
        <v>588</v>
      </c>
      <c r="Q217" s="135">
        <v>46184.670162037</v>
      </c>
      <c r="R217" s="133" t="s">
        <v>116</v>
      </c>
      <c r="S217" s="133" t="s">
        <v>174</v>
      </c>
      <c r="T217" s="133" t="s">
        <v>28</v>
      </c>
      <c r="U217" s="133" t="s">
        <v>175</v>
      </c>
      <c r="V217" s="135">
        <v>46184</v>
      </c>
      <c r="W217" s="133">
        <v>1574512</v>
      </c>
      <c r="X217" s="133">
        <v>6877597738</v>
      </c>
      <c r="Y217" s="133" t="s">
        <v>35</v>
      </c>
      <c r="Z217" s="133" t="s">
        <v>522</v>
      </c>
      <c r="AF217" s="133" t="s">
        <v>177</v>
      </c>
      <c r="AG217" s="133" t="s">
        <v>131</v>
      </c>
    </row>
    <row r="218" spans="1:33" x14ac:dyDescent="0.2">
      <c r="A218" s="139">
        <f>Table1[[#This Row],[Qual a Numeração da Nota Fiscal com divergência ?]]</f>
        <v>1575197</v>
      </c>
      <c r="B218" s="146" t="s">
        <v>33</v>
      </c>
      <c r="C218" s="147" t="s">
        <v>111</v>
      </c>
      <c r="D218" s="147" t="s">
        <v>43</v>
      </c>
      <c r="E218" s="148">
        <f>WEEKNUM(Table1[[#This Row],[Dt da abertura]],1)</f>
        <v>24</v>
      </c>
      <c r="F218" s="147">
        <v>46188</v>
      </c>
      <c r="G218" s="147">
        <v>46184</v>
      </c>
      <c r="H218" s="147">
        <v>46199</v>
      </c>
      <c r="I218" s="147">
        <v>46188</v>
      </c>
      <c r="J218" s="147"/>
      <c r="K218" s="149" t="s">
        <v>114</v>
      </c>
      <c r="L218" s="149" t="s">
        <v>11</v>
      </c>
      <c r="M218" s="149" t="str">
        <f>VLOOKUP(U218,Hierarquia!A:K,6,0)</f>
        <v>FADEL</v>
      </c>
      <c r="N218" s="149"/>
      <c r="O218" s="149" t="s">
        <v>115</v>
      </c>
      <c r="P218" s="133">
        <v>589</v>
      </c>
      <c r="Q218" s="135">
        <v>46184.834108796298</v>
      </c>
      <c r="R218" s="133" t="s">
        <v>116</v>
      </c>
      <c r="S218" s="133" t="s">
        <v>133</v>
      </c>
      <c r="T218" s="133" t="s">
        <v>26</v>
      </c>
      <c r="U218" s="133" t="s">
        <v>118</v>
      </c>
      <c r="V218" s="135">
        <v>46184</v>
      </c>
      <c r="W218" s="133">
        <v>1575197</v>
      </c>
      <c r="X218" s="133">
        <v>6877627151</v>
      </c>
      <c r="Y218" s="133" t="s">
        <v>35</v>
      </c>
      <c r="Z218" s="133" t="s">
        <v>523</v>
      </c>
      <c r="AF218" s="133" t="s">
        <v>223</v>
      </c>
      <c r="AG218" s="133" t="s">
        <v>121</v>
      </c>
    </row>
    <row r="219" spans="1:33" x14ac:dyDescent="0.2">
      <c r="A219" s="139">
        <f>Table1[[#This Row],[Qual a Numeração da Nota Fiscal com divergência ?]]</f>
        <v>1575006</v>
      </c>
      <c r="B219" s="146" t="s">
        <v>33</v>
      </c>
      <c r="C219" s="147" t="s">
        <v>111</v>
      </c>
      <c r="D219" s="147" t="s">
        <v>43</v>
      </c>
      <c r="E219" s="148">
        <f>WEEKNUM(Table1[[#This Row],[Dt da abertura]],1)</f>
        <v>24</v>
      </c>
      <c r="F219" s="147">
        <v>46188</v>
      </c>
      <c r="G219" s="147">
        <v>46185</v>
      </c>
      <c r="H219" s="147">
        <v>46199</v>
      </c>
      <c r="I219" s="147">
        <v>46188</v>
      </c>
      <c r="J219" s="147"/>
      <c r="K219" s="149" t="s">
        <v>114</v>
      </c>
      <c r="L219" s="149" t="s">
        <v>11</v>
      </c>
      <c r="M219" s="149" t="str">
        <f>VLOOKUP(U219,Hierarquia!A:K,6,0)</f>
        <v>FADEL</v>
      </c>
      <c r="N219" s="149"/>
      <c r="O219" s="149" t="s">
        <v>115</v>
      </c>
      <c r="P219" s="133">
        <v>590</v>
      </c>
      <c r="Q219" s="135">
        <v>46185.727673611102</v>
      </c>
      <c r="R219" s="133" t="s">
        <v>116</v>
      </c>
      <c r="S219" s="133" t="s">
        <v>133</v>
      </c>
      <c r="T219" s="133" t="s">
        <v>26</v>
      </c>
      <c r="U219" s="133" t="s">
        <v>227</v>
      </c>
      <c r="V219" s="135">
        <v>46184</v>
      </c>
      <c r="W219" s="133">
        <v>1575006</v>
      </c>
      <c r="X219" s="133">
        <v>6877628052</v>
      </c>
      <c r="Y219" s="133" t="s">
        <v>35</v>
      </c>
      <c r="Z219" s="133" t="s">
        <v>524</v>
      </c>
      <c r="AF219" s="133" t="s">
        <v>223</v>
      </c>
      <c r="AG219" s="133" t="s">
        <v>121</v>
      </c>
    </row>
    <row r="220" spans="1:33" hidden="1" x14ac:dyDescent="0.2">
      <c r="A220" s="139">
        <f>Table1[[#This Row],[Qual a Numeração da Nota Fiscal com divergência ?]]</f>
        <v>1573299</v>
      </c>
      <c r="B220" s="146" t="s">
        <v>25</v>
      </c>
      <c r="C220" s="147" t="s">
        <v>111</v>
      </c>
      <c r="D220" s="147" t="s">
        <v>43</v>
      </c>
      <c r="E220" s="148">
        <f>WEEKNUM(Table1[[#This Row],[Dt da abertura]],1)</f>
        <v>25</v>
      </c>
      <c r="F220" s="147">
        <v>46188</v>
      </c>
      <c r="G220" s="147">
        <v>46188</v>
      </c>
      <c r="H220" s="147">
        <v>46199</v>
      </c>
      <c r="I220" s="147">
        <v>46188</v>
      </c>
      <c r="J220" s="147"/>
      <c r="K220" s="149" t="s">
        <v>114</v>
      </c>
      <c r="L220" s="149" t="s">
        <v>11</v>
      </c>
      <c r="M220" s="149" t="str">
        <f>VLOOKUP(U220,Hierarquia!A:K,6,0)</f>
        <v>BAT</v>
      </c>
      <c r="N220" s="149"/>
      <c r="O220" s="149" t="s">
        <v>115</v>
      </c>
      <c r="P220" s="133">
        <v>591</v>
      </c>
      <c r="Q220" s="135">
        <v>46188.284375000003</v>
      </c>
      <c r="R220" s="133" t="s">
        <v>116</v>
      </c>
      <c r="S220" s="133" t="s">
        <v>464</v>
      </c>
      <c r="T220" s="133" t="s">
        <v>28</v>
      </c>
      <c r="U220" s="133" t="s">
        <v>465</v>
      </c>
      <c r="V220" s="135">
        <v>46188</v>
      </c>
      <c r="W220" s="133">
        <v>1573299</v>
      </c>
      <c r="X220" s="133">
        <v>6877113817</v>
      </c>
      <c r="Y220" s="133" t="s">
        <v>35</v>
      </c>
      <c r="Z220" s="133" t="s">
        <v>525</v>
      </c>
      <c r="AF220" s="133" t="s">
        <v>526</v>
      </c>
      <c r="AG220" s="133" t="s">
        <v>178</v>
      </c>
    </row>
    <row r="221" spans="1:33" x14ac:dyDescent="0.2">
      <c r="A221" s="139">
        <f>Table1[[#This Row],[Qual a Numeração da Nota Fiscal com divergência ?]]</f>
        <v>1574073</v>
      </c>
      <c r="B221" s="146" t="s">
        <v>33</v>
      </c>
      <c r="C221" s="147" t="s">
        <v>111</v>
      </c>
      <c r="D221" s="147" t="s">
        <v>43</v>
      </c>
      <c r="E221" s="148">
        <f>WEEKNUM(Table1[[#This Row],[Dt da abertura]],1)</f>
        <v>25</v>
      </c>
      <c r="F221" s="147">
        <v>46188</v>
      </c>
      <c r="G221" s="147">
        <v>46188</v>
      </c>
      <c r="H221" s="147">
        <v>46199</v>
      </c>
      <c r="I221" s="147">
        <v>46188</v>
      </c>
      <c r="J221" s="147"/>
      <c r="K221" s="149" t="s">
        <v>114</v>
      </c>
      <c r="L221" s="149" t="s">
        <v>11</v>
      </c>
      <c r="M221" s="149" t="str">
        <f>VLOOKUP(U221,Hierarquia!A:K,6,0)</f>
        <v>FADEL</v>
      </c>
      <c r="N221" s="149"/>
      <c r="O221" s="149" t="s">
        <v>115</v>
      </c>
      <c r="P221" s="133">
        <v>592</v>
      </c>
      <c r="Q221" s="135">
        <v>46188.432905092603</v>
      </c>
      <c r="R221" s="133" t="s">
        <v>116</v>
      </c>
      <c r="S221" s="133" t="s">
        <v>133</v>
      </c>
      <c r="T221" s="133" t="s">
        <v>26</v>
      </c>
      <c r="U221" s="133" t="s">
        <v>168</v>
      </c>
      <c r="V221" s="135">
        <v>46182</v>
      </c>
      <c r="W221" s="133">
        <v>1574073</v>
      </c>
      <c r="X221" s="133">
        <v>6877526987</v>
      </c>
      <c r="Y221" s="133" t="s">
        <v>35</v>
      </c>
      <c r="Z221" s="133" t="s">
        <v>527</v>
      </c>
      <c r="AF221" s="133" t="s">
        <v>223</v>
      </c>
      <c r="AG221" s="133" t="s">
        <v>131</v>
      </c>
    </row>
    <row r="222" spans="1:33" ht="15.75" hidden="1" x14ac:dyDescent="0.25">
      <c r="A222" s="139">
        <f>Table1[[#This Row],[Qual a Numeração da Nota Fiscal com divergência ?]]</f>
        <v>1576246</v>
      </c>
      <c r="B222" s="146" t="s">
        <v>33</v>
      </c>
      <c r="C222" s="147" t="s">
        <v>111</v>
      </c>
      <c r="D222" s="147" t="s">
        <v>43</v>
      </c>
      <c r="E222" s="148">
        <f>WEEKNUM(Table1[[#This Row],[Dt da abertura]],1)</f>
        <v>25</v>
      </c>
      <c r="F222" s="147">
        <v>46191</v>
      </c>
      <c r="G222" s="147">
        <v>46190</v>
      </c>
      <c r="H222" s="147">
        <v>46199</v>
      </c>
      <c r="I222" s="147">
        <v>46196</v>
      </c>
      <c r="J222" s="147"/>
      <c r="K222" s="149" t="s">
        <v>114</v>
      </c>
      <c r="L222" s="149" t="s">
        <v>11</v>
      </c>
      <c r="M222" s="149" t="str">
        <f>VLOOKUP(U222,Hierarquia!A:K,6,0)</f>
        <v>BAT</v>
      </c>
      <c r="N222" s="149"/>
      <c r="O222" s="149" t="s">
        <v>115</v>
      </c>
      <c r="P222" s="133">
        <v>593</v>
      </c>
      <c r="Q222" s="135">
        <v>46189.389664351896</v>
      </c>
      <c r="R222" s="133" t="s">
        <v>116</v>
      </c>
      <c r="S222" s="133" t="s">
        <v>254</v>
      </c>
      <c r="T222" s="133" t="s">
        <v>28</v>
      </c>
      <c r="U222" s="133" t="s">
        <v>255</v>
      </c>
      <c r="V222" s="135">
        <v>46189</v>
      </c>
      <c r="W222" s="133">
        <v>1576246</v>
      </c>
      <c r="X222" s="133">
        <v>6877581117</v>
      </c>
      <c r="Y222" s="133" t="s">
        <v>35</v>
      </c>
      <c r="Z222" t="s">
        <v>528</v>
      </c>
      <c r="AG222" s="133" t="s">
        <v>131</v>
      </c>
    </row>
    <row r="223" spans="1:33" ht="15.75" x14ac:dyDescent="0.25">
      <c r="A223" s="139">
        <f>Table1[[#This Row],[Qual a Numeração da Nota Fiscal com divergência ?]]</f>
        <v>1577448</v>
      </c>
      <c r="B223" s="146" t="s">
        <v>33</v>
      </c>
      <c r="C223" s="147" t="s">
        <v>111</v>
      </c>
      <c r="D223" s="147" t="s">
        <v>43</v>
      </c>
      <c r="E223" s="148">
        <f>WEEKNUM(Table1[[#This Row],[Dt da abertura]],1)</f>
        <v>25</v>
      </c>
      <c r="F223" s="147">
        <v>46191</v>
      </c>
      <c r="G223" s="147">
        <v>46190</v>
      </c>
      <c r="H223" s="147">
        <v>46199</v>
      </c>
      <c r="I223" s="147">
        <v>46196</v>
      </c>
      <c r="J223" s="147"/>
      <c r="K223" s="149" t="s">
        <v>114</v>
      </c>
      <c r="L223" s="149" t="s">
        <v>11</v>
      </c>
      <c r="M223" s="149" t="str">
        <f>VLOOKUP(U223,Hierarquia!A:K,6,0)</f>
        <v>FADEL</v>
      </c>
      <c r="N223" s="149"/>
      <c r="O223" s="149" t="s">
        <v>115</v>
      </c>
      <c r="P223" s="133">
        <v>594</v>
      </c>
      <c r="Q223" s="135">
        <v>46190.566689814797</v>
      </c>
      <c r="R223" s="133" t="s">
        <v>116</v>
      </c>
      <c r="S223" s="133" t="s">
        <v>133</v>
      </c>
      <c r="T223" s="133" t="s">
        <v>26</v>
      </c>
      <c r="U223" s="133" t="s">
        <v>215</v>
      </c>
      <c r="V223" s="135">
        <v>46190</v>
      </c>
      <c r="W223" s="133">
        <v>1577448</v>
      </c>
      <c r="X223" s="133">
        <v>6877719716</v>
      </c>
      <c r="Y223" s="133" t="s">
        <v>34</v>
      </c>
      <c r="Z223" t="s">
        <v>529</v>
      </c>
      <c r="AF223" s="133">
        <v>10617576</v>
      </c>
      <c r="AG223" s="133" t="s">
        <v>131</v>
      </c>
    </row>
    <row r="224" spans="1:33" ht="15.75" x14ac:dyDescent="0.25">
      <c r="A224" s="139">
        <f>Table1[[#This Row],[Qual a Numeração da Nota Fiscal com divergência ?]]</f>
        <v>1577447</v>
      </c>
      <c r="B224" s="146" t="s">
        <v>33</v>
      </c>
      <c r="C224" s="147" t="s">
        <v>111</v>
      </c>
      <c r="D224" s="147" t="s">
        <v>43</v>
      </c>
      <c r="E224" s="148">
        <f>WEEKNUM(Table1[[#This Row],[Dt da abertura]],1)</f>
        <v>25</v>
      </c>
      <c r="F224" s="147">
        <v>46191</v>
      </c>
      <c r="G224" s="147">
        <v>46190</v>
      </c>
      <c r="H224" s="147">
        <v>46199</v>
      </c>
      <c r="I224" s="147">
        <v>46196</v>
      </c>
      <c r="J224" s="147"/>
      <c r="K224" s="149" t="s">
        <v>114</v>
      </c>
      <c r="L224" s="149" t="s">
        <v>11</v>
      </c>
      <c r="M224" s="149" t="str">
        <f>VLOOKUP(U224,Hierarquia!A:K,6,0)</f>
        <v>FADEL</v>
      </c>
      <c r="N224" s="149"/>
      <c r="O224" s="149" t="s">
        <v>115</v>
      </c>
      <c r="P224" s="133">
        <v>595</v>
      </c>
      <c r="Q224" s="135">
        <v>46190.689907407403</v>
      </c>
      <c r="R224" s="133" t="s">
        <v>116</v>
      </c>
      <c r="S224" s="133" t="s">
        <v>133</v>
      </c>
      <c r="T224" s="133" t="s">
        <v>26</v>
      </c>
      <c r="U224" s="133" t="s">
        <v>190</v>
      </c>
      <c r="V224" s="135">
        <v>46190</v>
      </c>
      <c r="W224" s="133">
        <v>1577447</v>
      </c>
      <c r="X224" s="133">
        <v>6877719715</v>
      </c>
      <c r="Y224" s="133" t="s">
        <v>35</v>
      </c>
      <c r="Z224" t="s">
        <v>530</v>
      </c>
      <c r="AF224" s="133" t="s">
        <v>223</v>
      </c>
      <c r="AG224" s="133" t="s">
        <v>131</v>
      </c>
    </row>
    <row r="225" spans="1:33" ht="15.75" x14ac:dyDescent="0.25">
      <c r="A225" s="139">
        <f>Table1[[#This Row],[Qual a Numeração da Nota Fiscal com divergência ?]]</f>
        <v>1577406</v>
      </c>
      <c r="B225" s="146" t="s">
        <v>33</v>
      </c>
      <c r="C225" s="147" t="s">
        <v>111</v>
      </c>
      <c r="D225" s="147" t="s">
        <v>43</v>
      </c>
      <c r="E225" s="148">
        <f>WEEKNUM(Table1[[#This Row],[Dt da abertura]],1)</f>
        <v>25</v>
      </c>
      <c r="F225" s="147">
        <v>46191</v>
      </c>
      <c r="G225" s="147">
        <v>46191</v>
      </c>
      <c r="H225" s="147">
        <v>46199</v>
      </c>
      <c r="I225" s="147">
        <v>46196</v>
      </c>
      <c r="J225" s="147"/>
      <c r="K225" s="149" t="s">
        <v>114</v>
      </c>
      <c r="L225" s="149" t="s">
        <v>11</v>
      </c>
      <c r="M225" s="149" t="str">
        <f>VLOOKUP(U225,Hierarquia!A:K,6,0)</f>
        <v>FADEL</v>
      </c>
      <c r="N225" s="149"/>
      <c r="O225" s="149" t="s">
        <v>115</v>
      </c>
      <c r="P225" s="133">
        <v>596</v>
      </c>
      <c r="Q225" s="135">
        <v>46191.433055555601</v>
      </c>
      <c r="R225" s="133" t="s">
        <v>116</v>
      </c>
      <c r="S225" s="133" t="s">
        <v>133</v>
      </c>
      <c r="T225" s="133" t="s">
        <v>26</v>
      </c>
      <c r="U225" s="133" t="s">
        <v>190</v>
      </c>
      <c r="V225" s="135">
        <v>46190</v>
      </c>
      <c r="W225" s="133">
        <v>1577406</v>
      </c>
      <c r="X225" s="133">
        <v>6877719873</v>
      </c>
      <c r="Y225" s="133" t="s">
        <v>34</v>
      </c>
      <c r="Z225" t="s">
        <v>531</v>
      </c>
      <c r="AF225" s="133" t="s">
        <v>336</v>
      </c>
      <c r="AG225" s="133" t="s">
        <v>131</v>
      </c>
    </row>
    <row r="226" spans="1:33" ht="15.75" hidden="1" x14ac:dyDescent="0.25">
      <c r="A226" s="139">
        <f>Table1[[#This Row],[Qual a Numeração da Nota Fiscal com divergência ?]]</f>
        <v>1568729</v>
      </c>
      <c r="B226" s="146" t="s">
        <v>25</v>
      </c>
      <c r="C226" s="147" t="s">
        <v>111</v>
      </c>
      <c r="D226" s="147" t="s">
        <v>43</v>
      </c>
      <c r="E226" s="148">
        <f>WEEKNUM(Table1[[#This Row],[Dt da abertura]],1)</f>
        <v>25</v>
      </c>
      <c r="F226" s="147">
        <v>46191</v>
      </c>
      <c r="G226" s="147">
        <v>46191</v>
      </c>
      <c r="H226" s="147">
        <v>46199</v>
      </c>
      <c r="I226" s="147">
        <v>46196</v>
      </c>
      <c r="J226" s="147"/>
      <c r="K226" s="149" t="s">
        <v>114</v>
      </c>
      <c r="L226" s="149" t="s">
        <v>11</v>
      </c>
      <c r="M226" s="149" t="str">
        <f>VLOOKUP(U226,Hierarquia!A:K,6,0)</f>
        <v>BAT</v>
      </c>
      <c r="N226" s="149"/>
      <c r="O226" s="149" t="s">
        <v>115</v>
      </c>
      <c r="P226" s="133">
        <v>597</v>
      </c>
      <c r="Q226" s="135">
        <v>46191.615914351903</v>
      </c>
      <c r="R226" s="133" t="s">
        <v>116</v>
      </c>
      <c r="S226" s="133" t="s">
        <v>171</v>
      </c>
      <c r="T226" s="133" t="s">
        <v>28</v>
      </c>
      <c r="U226" s="133" t="s">
        <v>172</v>
      </c>
      <c r="V226" s="135">
        <v>46171</v>
      </c>
      <c r="W226" s="133">
        <v>1568729</v>
      </c>
      <c r="X226" s="133">
        <v>6877345427</v>
      </c>
      <c r="Y226" s="133" t="s">
        <v>32</v>
      </c>
      <c r="Z226" t="s">
        <v>532</v>
      </c>
      <c r="AF226" s="133">
        <v>0</v>
      </c>
      <c r="AG226" s="133" t="s">
        <v>126</v>
      </c>
    </row>
    <row r="227" spans="1:33" hidden="1" x14ac:dyDescent="0.2">
      <c r="A227" s="139">
        <f>Table1[[#This Row],[Qual a Numeração da Nota Fiscal com divergência ?]]</f>
        <v>1575462</v>
      </c>
      <c r="B227" s="146" t="s">
        <v>30</v>
      </c>
      <c r="C227" s="147" t="s">
        <v>111</v>
      </c>
      <c r="D227" s="147" t="s">
        <v>43</v>
      </c>
      <c r="E227" s="148">
        <f>WEEKNUM(Table1[[#This Row],[Dt da abertura]],1)</f>
        <v>25</v>
      </c>
      <c r="F227" s="147">
        <v>46196</v>
      </c>
      <c r="G227" s="147">
        <v>46192</v>
      </c>
      <c r="H227" s="147">
        <v>46199</v>
      </c>
      <c r="I227" s="147"/>
      <c r="J227" s="147"/>
      <c r="K227" s="149" t="s">
        <v>114</v>
      </c>
      <c r="L227" s="149" t="s">
        <v>11</v>
      </c>
      <c r="M227" s="149" t="str">
        <f>VLOOKUP(U227,Hierarquia!A:K,6,0)</f>
        <v>BAT</v>
      </c>
      <c r="N227" s="149"/>
      <c r="O227" s="149" t="s">
        <v>115</v>
      </c>
      <c r="P227" s="133">
        <v>598</v>
      </c>
      <c r="Q227" s="135">
        <v>46192.483078703699</v>
      </c>
      <c r="R227" s="133" t="s">
        <v>116</v>
      </c>
      <c r="S227" s="133" t="s">
        <v>495</v>
      </c>
      <c r="T227" s="133" t="s">
        <v>28</v>
      </c>
      <c r="U227" s="133" t="s">
        <v>239</v>
      </c>
      <c r="V227" s="135">
        <v>46184</v>
      </c>
      <c r="W227" s="133">
        <v>1575462</v>
      </c>
      <c r="X227" s="133">
        <v>6877636494</v>
      </c>
      <c r="Y227" s="133" t="s">
        <v>35</v>
      </c>
      <c r="Z227" s="133" t="s">
        <v>533</v>
      </c>
      <c r="AF227" s="133" t="s">
        <v>534</v>
      </c>
      <c r="AG227" s="133" t="s">
        <v>121</v>
      </c>
    </row>
    <row r="228" spans="1:33" hidden="1" x14ac:dyDescent="0.2">
      <c r="A228" s="139">
        <f>Table1[[#This Row],[Qual a Numeração da Nota Fiscal com divergência ?]]</f>
        <v>1576123</v>
      </c>
      <c r="B228" s="146" t="s">
        <v>33</v>
      </c>
      <c r="C228" s="147" t="s">
        <v>111</v>
      </c>
      <c r="D228" s="147" t="s">
        <v>43</v>
      </c>
      <c r="E228" s="148">
        <f>WEEKNUM(Table1[[#This Row],[Dt da abertura]],1)</f>
        <v>25</v>
      </c>
      <c r="F228" s="147">
        <v>46196</v>
      </c>
      <c r="G228" s="147">
        <v>46192</v>
      </c>
      <c r="H228" s="147">
        <v>46199</v>
      </c>
      <c r="I228" s="147"/>
      <c r="J228" s="147"/>
      <c r="K228" s="149" t="s">
        <v>114</v>
      </c>
      <c r="L228" s="149" t="s">
        <v>11</v>
      </c>
      <c r="M228" s="149" t="str">
        <f>VLOOKUP(U228,Hierarquia!A:K,6,0)</f>
        <v>BAT</v>
      </c>
      <c r="N228" s="149"/>
      <c r="O228" s="149" t="s">
        <v>115</v>
      </c>
      <c r="P228" s="133">
        <v>599</v>
      </c>
      <c r="Q228" s="135">
        <v>46192.6460069444</v>
      </c>
      <c r="R228" s="133" t="s">
        <v>116</v>
      </c>
      <c r="S228" s="133" t="s">
        <v>495</v>
      </c>
      <c r="T228" s="133" t="s">
        <v>28</v>
      </c>
      <c r="U228" s="133" t="s">
        <v>239</v>
      </c>
      <c r="V228" s="135">
        <v>46188</v>
      </c>
      <c r="W228" s="133">
        <v>1576123</v>
      </c>
      <c r="X228" s="133">
        <v>6877676360</v>
      </c>
      <c r="Y228" s="133" t="s">
        <v>32</v>
      </c>
      <c r="Z228" s="133" t="s">
        <v>535</v>
      </c>
      <c r="AF228" s="133" t="s">
        <v>536</v>
      </c>
      <c r="AG228" s="133" t="s">
        <v>126</v>
      </c>
    </row>
    <row r="229" spans="1:33" hidden="1" x14ac:dyDescent="0.2">
      <c r="A229" s="139">
        <f>Table1[[#This Row],[Qual a Numeração da Nota Fiscal com divergência ?]]</f>
        <v>1578960</v>
      </c>
      <c r="B229" s="146" t="s">
        <v>25</v>
      </c>
      <c r="C229" s="147" t="s">
        <v>111</v>
      </c>
      <c r="D229" s="147" t="s">
        <v>43</v>
      </c>
      <c r="E229" s="148">
        <f>WEEKNUM(Table1[[#This Row],[Dt da abertura]],1)</f>
        <v>26</v>
      </c>
      <c r="F229" s="147">
        <v>46196</v>
      </c>
      <c r="G229" s="147">
        <v>46196</v>
      </c>
      <c r="H229" s="147">
        <v>46199</v>
      </c>
      <c r="I229" s="147">
        <v>46200</v>
      </c>
      <c r="J229" s="147"/>
      <c r="K229" s="149" t="s">
        <v>114</v>
      </c>
      <c r="L229" s="149" t="s">
        <v>11</v>
      </c>
      <c r="M229" s="149" t="str">
        <f>VLOOKUP(U229,Hierarquia!A:K,6,0)</f>
        <v>BAT</v>
      </c>
      <c r="N229" s="149"/>
      <c r="O229" s="149" t="s">
        <v>115</v>
      </c>
      <c r="P229" s="133">
        <v>600</v>
      </c>
      <c r="Q229" s="135">
        <v>46196.614074074103</v>
      </c>
      <c r="R229" s="133" t="s">
        <v>116</v>
      </c>
      <c r="S229" s="133" t="s">
        <v>174</v>
      </c>
      <c r="T229" s="133" t="s">
        <v>28</v>
      </c>
      <c r="U229" s="133" t="s">
        <v>175</v>
      </c>
      <c r="V229" s="135">
        <v>46196</v>
      </c>
      <c r="W229" s="133">
        <v>1578960</v>
      </c>
      <c r="X229" s="133">
        <v>6877790788</v>
      </c>
      <c r="Y229" s="133" t="s">
        <v>35</v>
      </c>
      <c r="Z229" s="133" t="s">
        <v>537</v>
      </c>
      <c r="AF229" s="133" t="s">
        <v>177</v>
      </c>
      <c r="AG229" s="133" t="s">
        <v>131</v>
      </c>
    </row>
    <row r="230" spans="1:33" hidden="1" x14ac:dyDescent="0.2">
      <c r="A230" s="139">
        <f>Table1[[#This Row],[Qual a Numeração da Nota Fiscal com divergência ?]]</f>
        <v>1578960</v>
      </c>
      <c r="B230" s="146" t="s">
        <v>30</v>
      </c>
      <c r="C230" s="147" t="s">
        <v>111</v>
      </c>
      <c r="D230" s="147" t="s">
        <v>43</v>
      </c>
      <c r="E230" s="148">
        <f>WEEKNUM(Table1[[#This Row],[Dt da abertura]],1)</f>
        <v>26</v>
      </c>
      <c r="F230" s="147">
        <v>46197</v>
      </c>
      <c r="G230" s="147">
        <v>46197</v>
      </c>
      <c r="H230" s="147">
        <v>46199</v>
      </c>
      <c r="I230" s="147"/>
      <c r="J230" s="147"/>
      <c r="K230" s="149" t="s">
        <v>114</v>
      </c>
      <c r="L230" s="149" t="s">
        <v>11</v>
      </c>
      <c r="M230" s="149" t="str">
        <f>VLOOKUP(U230,Hierarquia!A:K,6,0)</f>
        <v>BAT</v>
      </c>
      <c r="N230" s="149"/>
      <c r="O230" s="149" t="s">
        <v>115</v>
      </c>
      <c r="P230" s="133">
        <v>600</v>
      </c>
      <c r="Q230" s="135">
        <v>46196.614074074103</v>
      </c>
      <c r="R230" s="133" t="s">
        <v>116</v>
      </c>
      <c r="S230" s="133" t="s">
        <v>174</v>
      </c>
      <c r="T230" s="133" t="s">
        <v>28</v>
      </c>
      <c r="U230" s="133" t="s">
        <v>175</v>
      </c>
      <c r="V230" s="135">
        <v>46196</v>
      </c>
      <c r="W230" s="133">
        <v>1578960</v>
      </c>
      <c r="X230" s="133">
        <v>687790788</v>
      </c>
      <c r="Y230" s="133" t="s">
        <v>35</v>
      </c>
      <c r="Z230" s="133" t="s">
        <v>538</v>
      </c>
      <c r="AF230" s="133" t="s">
        <v>177</v>
      </c>
      <c r="AG230" s="133" t="s">
        <v>131</v>
      </c>
    </row>
    <row r="231" spans="1:33" hidden="1" x14ac:dyDescent="0.2">
      <c r="A231" s="139">
        <f>Table1[[#This Row],[Qual a Numeração da Nota Fiscal com divergência ?]]</f>
        <v>1578958</v>
      </c>
      <c r="B231" s="146" t="s">
        <v>25</v>
      </c>
      <c r="C231" s="147" t="s">
        <v>111</v>
      </c>
      <c r="D231" s="147" t="s">
        <v>43</v>
      </c>
      <c r="E231" s="148">
        <f>WEEKNUM(Table1[[#This Row],[Dt da abertura]],1)</f>
        <v>26</v>
      </c>
      <c r="F231" s="147">
        <v>46200</v>
      </c>
      <c r="G231" s="147">
        <v>46197</v>
      </c>
      <c r="H231" s="147">
        <v>46203</v>
      </c>
      <c r="I231" s="147"/>
      <c r="J231" s="147"/>
      <c r="K231" s="149" t="s">
        <v>114</v>
      </c>
      <c r="L231" s="149" t="s">
        <v>11</v>
      </c>
      <c r="M231" s="149" t="str">
        <f>VLOOKUP(U231,Hierarquia!A:K,6,0)</f>
        <v>BAT</v>
      </c>
      <c r="N231" s="149"/>
      <c r="O231" s="149" t="s">
        <v>115</v>
      </c>
      <c r="P231" s="133">
        <v>601</v>
      </c>
      <c r="Q231" s="135">
        <v>46197.756064814799</v>
      </c>
      <c r="R231" s="133" t="s">
        <v>116</v>
      </c>
      <c r="S231" s="133" t="s">
        <v>128</v>
      </c>
      <c r="T231" s="133" t="s">
        <v>28</v>
      </c>
      <c r="U231" s="133" t="s">
        <v>129</v>
      </c>
      <c r="V231" s="135">
        <v>46196</v>
      </c>
      <c r="W231" s="133">
        <v>1578958</v>
      </c>
      <c r="X231" s="133">
        <v>6877762685</v>
      </c>
      <c r="Y231" s="133" t="s">
        <v>35</v>
      </c>
      <c r="Z231" s="133" t="s">
        <v>539</v>
      </c>
      <c r="AF231" s="133">
        <v>0</v>
      </c>
      <c r="AG231" s="133" t="s">
        <v>131</v>
      </c>
    </row>
    <row r="232" spans="1:33" x14ac:dyDescent="0.2">
      <c r="A232" s="139">
        <f>Table1[[#This Row],[Qual a Numeração da Nota Fiscal com divergência ?]]</f>
        <v>1577621</v>
      </c>
      <c r="B232" s="146" t="s">
        <v>33</v>
      </c>
      <c r="C232" s="147" t="s">
        <v>111</v>
      </c>
      <c r="D232" s="147" t="s">
        <v>43</v>
      </c>
      <c r="E232" s="148">
        <f>WEEKNUM(Table1[[#This Row],[Dt da abertura]],1)</f>
        <v>26</v>
      </c>
      <c r="F232" s="147">
        <v>46200</v>
      </c>
      <c r="G232" s="147">
        <v>46198</v>
      </c>
      <c r="H232" s="147">
        <v>46203</v>
      </c>
      <c r="I232" s="147">
        <v>46205</v>
      </c>
      <c r="J232" s="147"/>
      <c r="K232" s="149" t="s">
        <v>114</v>
      </c>
      <c r="L232" s="149" t="s">
        <v>11</v>
      </c>
      <c r="M232" s="149" t="str">
        <f>VLOOKUP(U232,Hierarquia!A:K,6,0)</f>
        <v>FADEL</v>
      </c>
      <c r="N232" s="149"/>
      <c r="O232" s="149" t="s">
        <v>115</v>
      </c>
      <c r="P232" s="133">
        <v>603</v>
      </c>
      <c r="Q232" s="135">
        <v>46198.708379629599</v>
      </c>
      <c r="R232" s="133" t="s">
        <v>116</v>
      </c>
      <c r="S232" s="133" t="s">
        <v>133</v>
      </c>
      <c r="T232" s="133" t="s">
        <v>26</v>
      </c>
      <c r="U232" s="133" t="s">
        <v>540</v>
      </c>
      <c r="V232" s="135">
        <v>46191</v>
      </c>
      <c r="W232" s="133">
        <v>1577621</v>
      </c>
      <c r="X232" s="133">
        <v>6877734818</v>
      </c>
      <c r="Y232" s="133" t="s">
        <v>34</v>
      </c>
      <c r="Z232" s="133" t="s">
        <v>541</v>
      </c>
      <c r="AF232" s="133" t="s">
        <v>223</v>
      </c>
      <c r="AG232" s="133" t="s">
        <v>121</v>
      </c>
    </row>
    <row r="233" spans="1:33" x14ac:dyDescent="0.2">
      <c r="A233" s="139">
        <f>Table1[[#This Row],[Qual a Numeração da Nota Fiscal com divergência ?]]</f>
        <v>1579466</v>
      </c>
      <c r="B233" s="146" t="s">
        <v>33</v>
      </c>
      <c r="C233" s="147" t="s">
        <v>111</v>
      </c>
      <c r="D233" s="147" t="s">
        <v>43</v>
      </c>
      <c r="E233" s="148">
        <f>WEEKNUM(Table1[[#This Row],[Dt da abertura]],1)</f>
        <v>26</v>
      </c>
      <c r="F233" s="147">
        <v>46200</v>
      </c>
      <c r="G233" s="147">
        <v>46198</v>
      </c>
      <c r="H233" s="147">
        <v>46203</v>
      </c>
      <c r="I233" s="147">
        <v>46205</v>
      </c>
      <c r="J233" s="147"/>
      <c r="K233" s="149" t="s">
        <v>114</v>
      </c>
      <c r="L233" s="149" t="s">
        <v>11</v>
      </c>
      <c r="M233" s="149" t="str">
        <f>VLOOKUP(U233,Hierarquia!A:K,6,0)</f>
        <v>FADEL</v>
      </c>
      <c r="N233" s="149"/>
      <c r="O233" s="149" t="s">
        <v>115</v>
      </c>
      <c r="P233" s="133">
        <v>604</v>
      </c>
      <c r="Q233" s="135">
        <v>46198.747291666703</v>
      </c>
      <c r="R233" s="133" t="s">
        <v>116</v>
      </c>
      <c r="S233" s="133" t="s">
        <v>133</v>
      </c>
      <c r="T233" s="133" t="s">
        <v>26</v>
      </c>
      <c r="U233" s="133" t="s">
        <v>273</v>
      </c>
      <c r="V233" s="135">
        <v>46196</v>
      </c>
      <c r="W233" s="133">
        <v>1579466</v>
      </c>
      <c r="X233" s="133">
        <v>6877827277</v>
      </c>
      <c r="Y233" s="133" t="s">
        <v>34</v>
      </c>
      <c r="Z233" s="133" t="s">
        <v>542</v>
      </c>
      <c r="AF233" s="133" t="s">
        <v>223</v>
      </c>
      <c r="AG233" s="133" t="s">
        <v>121</v>
      </c>
    </row>
    <row r="234" spans="1:33" x14ac:dyDescent="0.2">
      <c r="A234" s="139">
        <f>Table1[[#This Row],[Qual a Numeração da Nota Fiscal com divergência ?]]</f>
        <v>1580661</v>
      </c>
      <c r="B234" s="146" t="s">
        <v>33</v>
      </c>
      <c r="C234" s="147" t="s">
        <v>111</v>
      </c>
      <c r="D234" s="147" t="s">
        <v>43</v>
      </c>
      <c r="E234" s="148">
        <f>WEEKNUM(Table1[[#This Row],[Dt da abertura]],1)</f>
        <v>26</v>
      </c>
      <c r="F234" s="147">
        <v>46200</v>
      </c>
      <c r="G234" s="147">
        <v>46198</v>
      </c>
      <c r="H234" s="147">
        <v>46203</v>
      </c>
      <c r="I234" s="147">
        <v>46205</v>
      </c>
      <c r="J234" s="147"/>
      <c r="K234" s="149" t="s">
        <v>114</v>
      </c>
      <c r="L234" s="149" t="s">
        <v>11</v>
      </c>
      <c r="M234" s="149" t="str">
        <f>VLOOKUP(U234,Hierarquia!A:K,6,0)</f>
        <v>FADEL</v>
      </c>
      <c r="N234" s="149"/>
      <c r="O234" s="149" t="s">
        <v>115</v>
      </c>
      <c r="P234" s="133">
        <v>605</v>
      </c>
      <c r="Q234" s="135">
        <v>46198.748206018499</v>
      </c>
      <c r="R234" s="133" t="s">
        <v>116</v>
      </c>
      <c r="S234" s="133" t="s">
        <v>133</v>
      </c>
      <c r="T234" s="133" t="s">
        <v>26</v>
      </c>
      <c r="U234" s="133" t="s">
        <v>190</v>
      </c>
      <c r="V234" s="135">
        <v>46198</v>
      </c>
      <c r="W234" s="133">
        <v>1580661</v>
      </c>
      <c r="X234" s="133">
        <v>6877754349</v>
      </c>
      <c r="Y234" s="133" t="s">
        <v>35</v>
      </c>
      <c r="Z234" s="133" t="s">
        <v>543</v>
      </c>
      <c r="AF234" s="133" t="s">
        <v>467</v>
      </c>
      <c r="AG234" s="133" t="s">
        <v>121</v>
      </c>
    </row>
    <row r="235" spans="1:33" x14ac:dyDescent="0.2">
      <c r="A235" s="139">
        <f>Table1[[#This Row],[Qual a Numeração da Nota Fiscal com divergência ?]]</f>
        <v>1580506</v>
      </c>
      <c r="B235" s="146" t="s">
        <v>33</v>
      </c>
      <c r="C235" s="147" t="s">
        <v>111</v>
      </c>
      <c r="D235" s="147" t="s">
        <v>43</v>
      </c>
      <c r="E235" s="148">
        <f>WEEKNUM(Table1[[#This Row],[Dt da abertura]],1)</f>
        <v>26</v>
      </c>
      <c r="F235" s="147">
        <v>46200</v>
      </c>
      <c r="G235" s="147">
        <v>46198</v>
      </c>
      <c r="H235" s="147">
        <v>46203</v>
      </c>
      <c r="I235" s="147">
        <v>46205</v>
      </c>
      <c r="J235" s="147"/>
      <c r="K235" s="149" t="s">
        <v>114</v>
      </c>
      <c r="L235" s="149" t="s">
        <v>11</v>
      </c>
      <c r="M235" s="149" t="str">
        <f>VLOOKUP(U235,Hierarquia!A:K,6,0)</f>
        <v>FADEL</v>
      </c>
      <c r="N235" s="149"/>
      <c r="O235" s="149" t="s">
        <v>115</v>
      </c>
      <c r="P235" s="133">
        <v>606</v>
      </c>
      <c r="Q235" s="135">
        <v>46198.750428240703</v>
      </c>
      <c r="R235" s="133" t="s">
        <v>116</v>
      </c>
      <c r="S235" s="133" t="s">
        <v>133</v>
      </c>
      <c r="T235" s="133" t="s">
        <v>26</v>
      </c>
      <c r="U235" s="133" t="s">
        <v>285</v>
      </c>
      <c r="V235" s="135">
        <v>46198</v>
      </c>
      <c r="W235" s="133">
        <v>1580506</v>
      </c>
      <c r="X235" s="133">
        <v>6877748028</v>
      </c>
      <c r="Y235" s="133" t="s">
        <v>35</v>
      </c>
      <c r="Z235" s="133" t="s">
        <v>544</v>
      </c>
      <c r="AF235" s="133" t="s">
        <v>223</v>
      </c>
      <c r="AG235" s="133" t="s">
        <v>121</v>
      </c>
    </row>
    <row r="236" spans="1:33" x14ac:dyDescent="0.2">
      <c r="A236" s="139">
        <f>Table1[[#This Row],[Qual a Numeração da Nota Fiscal com divergência ?]]</f>
        <v>1580508</v>
      </c>
      <c r="B236" s="146" t="s">
        <v>33</v>
      </c>
      <c r="C236" s="147" t="s">
        <v>111</v>
      </c>
      <c r="D236" s="147" t="s">
        <v>43</v>
      </c>
      <c r="E236" s="148">
        <f>WEEKNUM(Table1[[#This Row],[Dt da abertura]],1)</f>
        <v>26</v>
      </c>
      <c r="F236" s="147">
        <v>46200</v>
      </c>
      <c r="G236" s="147">
        <v>46198</v>
      </c>
      <c r="H236" s="147">
        <v>46203</v>
      </c>
      <c r="I236" s="147">
        <v>46205</v>
      </c>
      <c r="J236" s="147"/>
      <c r="K236" s="149" t="s">
        <v>114</v>
      </c>
      <c r="L236" s="149" t="s">
        <v>11</v>
      </c>
      <c r="M236" s="149" t="str">
        <f>VLOOKUP(U236,Hierarquia!A:K,6,0)</f>
        <v>FADEL</v>
      </c>
      <c r="N236" s="149"/>
      <c r="O236" s="149" t="s">
        <v>115</v>
      </c>
      <c r="P236" s="133">
        <v>607</v>
      </c>
      <c r="Q236" s="135">
        <v>46198.751689814802</v>
      </c>
      <c r="R236" s="133" t="s">
        <v>116</v>
      </c>
      <c r="S236" s="133" t="s">
        <v>133</v>
      </c>
      <c r="T236" s="133" t="s">
        <v>26</v>
      </c>
      <c r="U236" s="133" t="s">
        <v>377</v>
      </c>
      <c r="V236" s="135">
        <v>46198</v>
      </c>
      <c r="W236" s="133">
        <v>1580508</v>
      </c>
      <c r="X236" s="133">
        <v>6877748029</v>
      </c>
      <c r="Y236" s="133" t="s">
        <v>35</v>
      </c>
      <c r="Z236" s="133" t="s">
        <v>545</v>
      </c>
      <c r="AF236" s="133" t="s">
        <v>223</v>
      </c>
      <c r="AG236" s="133" t="s">
        <v>121</v>
      </c>
    </row>
    <row r="237" spans="1:33" x14ac:dyDescent="0.2">
      <c r="A237" s="139">
        <f>Table1[[#This Row],[Qual a Numeração da Nota Fiscal com divergência ?]]</f>
        <v>1580764</v>
      </c>
      <c r="B237" s="146" t="s">
        <v>33</v>
      </c>
      <c r="C237" s="147" t="s">
        <v>111</v>
      </c>
      <c r="D237" s="147" t="s">
        <v>43</v>
      </c>
      <c r="E237" s="148">
        <f>WEEKNUM(Table1[[#This Row],[Dt da abertura]],1)</f>
        <v>26</v>
      </c>
      <c r="F237" s="147">
        <v>46200</v>
      </c>
      <c r="G237" s="147">
        <v>46198</v>
      </c>
      <c r="H237" s="147">
        <v>46203</v>
      </c>
      <c r="I237" s="147">
        <v>46205</v>
      </c>
      <c r="J237" s="147"/>
      <c r="K237" s="149" t="s">
        <v>114</v>
      </c>
      <c r="L237" s="149" t="s">
        <v>11</v>
      </c>
      <c r="M237" s="149" t="str">
        <f>VLOOKUP(U237,Hierarquia!A:K,6,0)</f>
        <v>FADEL</v>
      </c>
      <c r="N237" s="149"/>
      <c r="O237" s="149" t="s">
        <v>115</v>
      </c>
      <c r="P237" s="133">
        <v>608</v>
      </c>
      <c r="Q237" s="135">
        <v>46198.753101851798</v>
      </c>
      <c r="R237" s="133" t="s">
        <v>116</v>
      </c>
      <c r="S237" s="133" t="s">
        <v>133</v>
      </c>
      <c r="T237" s="133" t="s">
        <v>26</v>
      </c>
      <c r="U237" s="133" t="s">
        <v>134</v>
      </c>
      <c r="V237" s="135">
        <v>46198</v>
      </c>
      <c r="W237" s="133">
        <v>1580764</v>
      </c>
      <c r="X237" s="133">
        <v>6877752887</v>
      </c>
      <c r="Y237" s="133" t="s">
        <v>35</v>
      </c>
      <c r="Z237" s="133" t="s">
        <v>546</v>
      </c>
      <c r="AF237" s="133" t="s">
        <v>223</v>
      </c>
      <c r="AG237" s="133" t="s">
        <v>121</v>
      </c>
    </row>
    <row r="238" spans="1:33" x14ac:dyDescent="0.2">
      <c r="A238" s="139">
        <f>Table1[[#This Row],[Qual a Numeração da Nota Fiscal com divergência ?]]</f>
        <v>1580363</v>
      </c>
      <c r="B238" s="146" t="s">
        <v>33</v>
      </c>
      <c r="C238" s="147" t="s">
        <v>111</v>
      </c>
      <c r="D238" s="147" t="s">
        <v>43</v>
      </c>
      <c r="E238" s="148">
        <f>WEEKNUM(Table1[[#This Row],[Dt da abertura]],1)</f>
        <v>26</v>
      </c>
      <c r="F238" s="147">
        <v>46200</v>
      </c>
      <c r="G238" s="147">
        <v>46198</v>
      </c>
      <c r="H238" s="147">
        <v>46203</v>
      </c>
      <c r="I238" s="147">
        <v>46205</v>
      </c>
      <c r="J238" s="147"/>
      <c r="K238" s="149" t="s">
        <v>114</v>
      </c>
      <c r="L238" s="149" t="s">
        <v>11</v>
      </c>
      <c r="M238" s="149" t="str">
        <f>VLOOKUP(U238,Hierarquia!A:K,6,0)</f>
        <v>FADEL</v>
      </c>
      <c r="N238" s="149"/>
      <c r="O238" s="149" t="s">
        <v>115</v>
      </c>
      <c r="P238" s="133">
        <v>609</v>
      </c>
      <c r="Q238" s="135">
        <v>46198.753819444399</v>
      </c>
      <c r="R238" s="133" t="s">
        <v>116</v>
      </c>
      <c r="S238" s="133" t="s">
        <v>133</v>
      </c>
      <c r="T238" s="133" t="s">
        <v>26</v>
      </c>
      <c r="U238" s="133" t="s">
        <v>547</v>
      </c>
      <c r="V238" s="135">
        <v>46198</v>
      </c>
      <c r="W238" s="133">
        <v>1580363</v>
      </c>
      <c r="X238" s="133">
        <v>6877764359</v>
      </c>
      <c r="Y238" s="133" t="s">
        <v>35</v>
      </c>
      <c r="Z238" s="133" t="s">
        <v>546</v>
      </c>
      <c r="AF238" s="133" t="s">
        <v>223</v>
      </c>
      <c r="AG238" s="133" t="s">
        <v>121</v>
      </c>
    </row>
    <row r="239" spans="1:33" x14ac:dyDescent="0.2">
      <c r="A239" s="139">
        <f>Table1[[#This Row],[Qual a Numeração da Nota Fiscal com divergência ?]]</f>
        <v>1580765</v>
      </c>
      <c r="B239" s="146" t="s">
        <v>33</v>
      </c>
      <c r="C239" s="147" t="s">
        <v>111</v>
      </c>
      <c r="D239" s="147" t="s">
        <v>43</v>
      </c>
      <c r="E239" s="148">
        <f>WEEKNUM(Table1[[#This Row],[Dt da abertura]],1)</f>
        <v>26</v>
      </c>
      <c r="F239" s="147">
        <v>46200</v>
      </c>
      <c r="G239" s="147">
        <v>46198</v>
      </c>
      <c r="H239" s="147">
        <v>46203</v>
      </c>
      <c r="I239" s="147">
        <v>46205</v>
      </c>
      <c r="J239" s="147"/>
      <c r="K239" s="149" t="s">
        <v>114</v>
      </c>
      <c r="L239" s="149" t="s">
        <v>11</v>
      </c>
      <c r="M239" s="149" t="str">
        <f>VLOOKUP(U239,Hierarquia!A:K,6,0)</f>
        <v>FADEL</v>
      </c>
      <c r="N239" s="149"/>
      <c r="O239" s="149" t="s">
        <v>115</v>
      </c>
      <c r="P239" s="133">
        <v>610</v>
      </c>
      <c r="Q239" s="135">
        <v>46198.754583333299</v>
      </c>
      <c r="R239" s="133" t="s">
        <v>116</v>
      </c>
      <c r="S239" s="133" t="s">
        <v>133</v>
      </c>
      <c r="T239" s="133" t="s">
        <v>26</v>
      </c>
      <c r="U239" s="133" t="s">
        <v>179</v>
      </c>
      <c r="V239" s="135">
        <v>46198</v>
      </c>
      <c r="W239" s="133">
        <v>1580765</v>
      </c>
      <c r="X239" s="133">
        <v>6877752888</v>
      </c>
      <c r="Y239" s="133" t="s">
        <v>35</v>
      </c>
      <c r="Z239" s="133" t="s">
        <v>545</v>
      </c>
      <c r="AF239" s="133" t="s">
        <v>223</v>
      </c>
      <c r="AG239" s="133" t="s">
        <v>121</v>
      </c>
    </row>
    <row r="240" spans="1:33" x14ac:dyDescent="0.2">
      <c r="A240" s="139">
        <f>Table1[[#This Row],[Qual a Numeração da Nota Fiscal com divergência ?]]</f>
        <v>1580503</v>
      </c>
      <c r="B240" s="146" t="s">
        <v>33</v>
      </c>
      <c r="C240" s="147" t="s">
        <v>111</v>
      </c>
      <c r="D240" s="147" t="s">
        <v>43</v>
      </c>
      <c r="E240" s="148">
        <f>WEEKNUM(Table1[[#This Row],[Dt da abertura]],1)</f>
        <v>26</v>
      </c>
      <c r="F240" s="147">
        <v>46200</v>
      </c>
      <c r="G240" s="147">
        <v>46198</v>
      </c>
      <c r="H240" s="147">
        <v>46203</v>
      </c>
      <c r="I240" s="147">
        <v>46205</v>
      </c>
      <c r="J240" s="147"/>
      <c r="K240" s="149" t="s">
        <v>114</v>
      </c>
      <c r="L240" s="149" t="s">
        <v>11</v>
      </c>
      <c r="M240" s="149" t="str">
        <f>VLOOKUP(U240,Hierarquia!A:K,6,0)</f>
        <v>FADEL</v>
      </c>
      <c r="N240" s="149"/>
      <c r="O240" s="149" t="s">
        <v>115</v>
      </c>
      <c r="P240" s="133">
        <v>611</v>
      </c>
      <c r="Q240" s="135">
        <v>46198.758136574099</v>
      </c>
      <c r="R240" s="133" t="s">
        <v>116</v>
      </c>
      <c r="S240" s="133" t="s">
        <v>133</v>
      </c>
      <c r="T240" s="133" t="s">
        <v>26</v>
      </c>
      <c r="U240" s="133" t="s">
        <v>377</v>
      </c>
      <c r="V240" s="135">
        <v>46198</v>
      </c>
      <c r="W240" s="133">
        <v>1580503</v>
      </c>
      <c r="X240" s="133">
        <v>6877870524</v>
      </c>
      <c r="Y240" s="133" t="s">
        <v>16</v>
      </c>
      <c r="Z240" s="133" t="s">
        <v>548</v>
      </c>
      <c r="AF240" s="133" t="s">
        <v>223</v>
      </c>
      <c r="AG240" s="133" t="s">
        <v>131</v>
      </c>
    </row>
    <row r="241" spans="1:33" x14ac:dyDescent="0.2">
      <c r="A241" s="139">
        <f>Table1[[#This Row],[Qual a Numeração da Nota Fiscal com divergência ?]]</f>
        <v>1578931</v>
      </c>
      <c r="B241" s="146" t="s">
        <v>33</v>
      </c>
      <c r="C241" s="147" t="s">
        <v>111</v>
      </c>
      <c r="D241" s="147" t="s">
        <v>43</v>
      </c>
      <c r="E241" s="148">
        <f>WEEKNUM(Table1[[#This Row],[Dt da abertura]],1)</f>
        <v>26</v>
      </c>
      <c r="F241" s="147">
        <v>46200</v>
      </c>
      <c r="G241" s="147">
        <v>46198</v>
      </c>
      <c r="H241" s="147">
        <v>46203</v>
      </c>
      <c r="I241" s="147">
        <v>46205</v>
      </c>
      <c r="J241" s="147"/>
      <c r="K241" s="149" t="s">
        <v>114</v>
      </c>
      <c r="L241" s="149" t="s">
        <v>11</v>
      </c>
      <c r="M241" s="149" t="str">
        <f>VLOOKUP(U241,Hierarquia!A:K,6,0)</f>
        <v>FADEL</v>
      </c>
      <c r="N241" s="149"/>
      <c r="O241" s="149" t="s">
        <v>115</v>
      </c>
      <c r="P241" s="133">
        <v>612</v>
      </c>
      <c r="Q241" s="135">
        <v>46198.808333333298</v>
      </c>
      <c r="R241" s="133" t="s">
        <v>116</v>
      </c>
      <c r="S241" s="133" t="s">
        <v>133</v>
      </c>
      <c r="T241" s="133" t="s">
        <v>26</v>
      </c>
      <c r="U241" s="133" t="s">
        <v>179</v>
      </c>
      <c r="V241" s="135">
        <v>46195</v>
      </c>
      <c r="W241" s="133">
        <v>1578931</v>
      </c>
      <c r="X241" s="133">
        <v>6877679889</v>
      </c>
      <c r="Y241" s="133" t="s">
        <v>35</v>
      </c>
      <c r="Z241" s="133" t="s">
        <v>549</v>
      </c>
      <c r="AF241" s="133" t="s">
        <v>467</v>
      </c>
      <c r="AG241" s="133" t="s">
        <v>131</v>
      </c>
    </row>
    <row r="242" spans="1:33" hidden="1" x14ac:dyDescent="0.2">
      <c r="A242" s="139">
        <f>Table1[[#This Row],[Qual a Numeração da Nota Fiscal com divergência ?]]</f>
        <v>442233</v>
      </c>
      <c r="B242" s="146" t="s">
        <v>25</v>
      </c>
      <c r="C242" s="147" t="s">
        <v>111</v>
      </c>
      <c r="D242" s="147" t="s">
        <v>43</v>
      </c>
      <c r="E242" s="148">
        <f>WEEKNUM(Table1[[#This Row],[Dt da abertura]],1)</f>
        <v>26</v>
      </c>
      <c r="F242" s="147">
        <v>46200</v>
      </c>
      <c r="G242" s="147">
        <v>46199</v>
      </c>
      <c r="H242" s="147">
        <v>46203</v>
      </c>
      <c r="I242" s="147">
        <v>46200</v>
      </c>
      <c r="J242" s="147"/>
      <c r="K242" s="149" t="s">
        <v>114</v>
      </c>
      <c r="L242" s="149" t="s">
        <v>11</v>
      </c>
      <c r="M242" s="149" t="str">
        <f>VLOOKUP(U242,Hierarquia!A:K,6,0)</f>
        <v>BAT</v>
      </c>
      <c r="N242" s="149"/>
      <c r="O242" s="149" t="s">
        <v>115</v>
      </c>
      <c r="P242" s="133">
        <v>614</v>
      </c>
      <c r="Q242" s="135">
        <v>46199.433032407404</v>
      </c>
      <c r="R242" s="133" t="s">
        <v>116</v>
      </c>
      <c r="S242" s="133" t="s">
        <v>156</v>
      </c>
      <c r="T242" s="133" t="s">
        <v>28</v>
      </c>
      <c r="U242" s="133" t="s">
        <v>157</v>
      </c>
      <c r="V242" s="135">
        <v>46161</v>
      </c>
      <c r="W242" s="133">
        <v>442233</v>
      </c>
      <c r="X242" s="133">
        <v>442233</v>
      </c>
      <c r="Y242" s="133" t="s">
        <v>34</v>
      </c>
      <c r="Z242" s="133" t="s">
        <v>550</v>
      </c>
      <c r="AF242" s="133" t="s">
        <v>551</v>
      </c>
      <c r="AG242" s="133" t="s">
        <v>121</v>
      </c>
    </row>
    <row r="243" spans="1:33" x14ac:dyDescent="0.2">
      <c r="A243" s="139">
        <f>Table1[[#This Row],[Qual a Numeração da Nota Fiscal com divergência ?]]</f>
        <v>1581162</v>
      </c>
      <c r="B243" s="146" t="s">
        <v>33</v>
      </c>
      <c r="C243" s="147" t="s">
        <v>111</v>
      </c>
      <c r="D243" s="147" t="s">
        <v>43</v>
      </c>
      <c r="E243" s="148">
        <f>WEEKNUM(Table1[[#This Row],[Dt da abertura]],1)</f>
        <v>26</v>
      </c>
      <c r="F243" s="147">
        <v>46200</v>
      </c>
      <c r="G243" s="147">
        <v>46199</v>
      </c>
      <c r="H243" s="147">
        <v>46203</v>
      </c>
      <c r="I243" s="147">
        <v>46205</v>
      </c>
      <c r="J243" s="147"/>
      <c r="K243" s="149" t="s">
        <v>114</v>
      </c>
      <c r="L243" s="149" t="s">
        <v>11</v>
      </c>
      <c r="M243" s="149" t="str">
        <f>VLOOKUP(U243,Hierarquia!A:K,6,0)</f>
        <v>FADEL</v>
      </c>
      <c r="N243" s="149"/>
      <c r="O243" s="149" t="s">
        <v>115</v>
      </c>
      <c r="P243" s="133">
        <v>615</v>
      </c>
      <c r="Q243" s="135">
        <v>46199.725949074098</v>
      </c>
      <c r="R243" s="133" t="s">
        <v>116</v>
      </c>
      <c r="S243" s="133" t="s">
        <v>133</v>
      </c>
      <c r="T243" s="133" t="s">
        <v>26</v>
      </c>
      <c r="U243" s="133" t="s">
        <v>377</v>
      </c>
      <c r="V243" s="135">
        <v>46199</v>
      </c>
      <c r="W243" s="133">
        <v>1581162</v>
      </c>
      <c r="X243" s="133">
        <v>6877882042</v>
      </c>
      <c r="Y243" s="133" t="s">
        <v>35</v>
      </c>
      <c r="Z243" s="133" t="s">
        <v>552</v>
      </c>
      <c r="AF243" s="133" t="s">
        <v>336</v>
      </c>
      <c r="AG243" s="133" t="s">
        <v>121</v>
      </c>
    </row>
    <row r="244" spans="1:33" hidden="1" x14ac:dyDescent="0.2">
      <c r="A244" s="139">
        <f>Table1[[#This Row],[Qual a Numeração da Nota Fiscal com divergência ?]]</f>
        <v>1580314</v>
      </c>
      <c r="B244" s="146" t="s">
        <v>30</v>
      </c>
      <c r="C244" s="147" t="s">
        <v>111</v>
      </c>
      <c r="D244" s="147" t="s">
        <v>43</v>
      </c>
      <c r="E244" s="148">
        <f>WEEKNUM(Table1[[#This Row],[Dt da abertura]],1)</f>
        <v>27</v>
      </c>
      <c r="F244" s="147">
        <v>46204</v>
      </c>
      <c r="G244" s="147">
        <v>46202</v>
      </c>
      <c r="H244" s="147">
        <v>46206</v>
      </c>
      <c r="I244" s="147"/>
      <c r="J244" s="147"/>
      <c r="K244" s="149" t="s">
        <v>114</v>
      </c>
      <c r="L244" s="149" t="s">
        <v>11</v>
      </c>
      <c r="M244" s="149" t="str">
        <f>VLOOKUP(U244,Hierarquia!A:K,6,0)</f>
        <v>BAT</v>
      </c>
      <c r="N244" s="149"/>
      <c r="O244" s="149" t="s">
        <v>115</v>
      </c>
      <c r="P244" s="133">
        <v>616</v>
      </c>
      <c r="Q244" s="135">
        <v>46202.486400463</v>
      </c>
      <c r="R244" s="133" t="s">
        <v>116</v>
      </c>
      <c r="S244" s="133" t="s">
        <v>553</v>
      </c>
      <c r="T244" s="133" t="s">
        <v>28</v>
      </c>
      <c r="U244" s="133" t="s">
        <v>429</v>
      </c>
      <c r="V244" s="135">
        <v>46202</v>
      </c>
      <c r="W244" s="133">
        <v>1580314</v>
      </c>
      <c r="X244" s="133">
        <v>6877859261</v>
      </c>
      <c r="Y244" s="133" t="s">
        <v>35</v>
      </c>
      <c r="Z244" s="133" t="s">
        <v>554</v>
      </c>
      <c r="AF244" s="133" t="s">
        <v>555</v>
      </c>
      <c r="AG244" s="133" t="s">
        <v>131</v>
      </c>
    </row>
    <row r="245" spans="1:33" hidden="1" x14ac:dyDescent="0.2">
      <c r="A245" s="139">
        <f>Table1[[#This Row],[Qual a Numeração da Nota Fiscal com divergência ?]]</f>
        <v>1581563</v>
      </c>
      <c r="B245" s="146" t="s">
        <v>30</v>
      </c>
      <c r="C245" s="147" t="s">
        <v>111</v>
      </c>
      <c r="D245" s="147" t="s">
        <v>43</v>
      </c>
      <c r="E245" s="148">
        <f>WEEKNUM(Table1[[#This Row],[Dt da abertura]],1)</f>
        <v>27</v>
      </c>
      <c r="F245" s="147">
        <v>46204</v>
      </c>
      <c r="G245" s="147">
        <v>46203</v>
      </c>
      <c r="H245" s="147">
        <v>46206</v>
      </c>
      <c r="I245" s="147"/>
      <c r="J245" s="147"/>
      <c r="K245" s="149" t="s">
        <v>114</v>
      </c>
      <c r="L245" s="149" t="s">
        <v>11</v>
      </c>
      <c r="M245" s="149" t="str">
        <f>VLOOKUP(U245,Hierarquia!A:K,6,0)</f>
        <v>BAT</v>
      </c>
      <c r="N245" s="149"/>
      <c r="O245" s="149" t="s">
        <v>115</v>
      </c>
      <c r="P245" s="133">
        <v>617</v>
      </c>
      <c r="Q245" s="135">
        <v>46203.381678240701</v>
      </c>
      <c r="R245" s="133" t="s">
        <v>116</v>
      </c>
      <c r="S245" s="133" t="s">
        <v>413</v>
      </c>
      <c r="T245" s="133" t="s">
        <v>28</v>
      </c>
      <c r="U245" s="133" t="s">
        <v>414</v>
      </c>
      <c r="V245" s="135">
        <v>46203</v>
      </c>
      <c r="W245" s="133">
        <v>1581563</v>
      </c>
      <c r="X245" s="133">
        <v>6877906156</v>
      </c>
      <c r="Y245" s="133" t="s">
        <v>35</v>
      </c>
      <c r="Z245" s="133" t="s">
        <v>556</v>
      </c>
      <c r="AF245" s="133" t="s">
        <v>256</v>
      </c>
      <c r="AG245" s="133" t="s">
        <v>126</v>
      </c>
    </row>
    <row r="246" spans="1:33" x14ac:dyDescent="0.2">
      <c r="A246" s="139">
        <f>Table1[[#This Row],[Qual a Numeração da Nota Fiscal com divergência ?]]</f>
        <v>1581787</v>
      </c>
      <c r="B246" s="146" t="s">
        <v>30</v>
      </c>
      <c r="C246" s="147" t="s">
        <v>111</v>
      </c>
      <c r="D246" s="147" t="s">
        <v>43</v>
      </c>
      <c r="E246" s="148">
        <f>WEEKNUM(Table1[[#This Row],[Dt da abertura]],1)</f>
        <v>27</v>
      </c>
      <c r="F246" s="147">
        <v>46204</v>
      </c>
      <c r="G246" s="147">
        <v>46203</v>
      </c>
      <c r="H246" s="147">
        <v>46206</v>
      </c>
      <c r="I246" s="147"/>
      <c r="J246" s="147"/>
      <c r="K246" s="149" t="s">
        <v>114</v>
      </c>
      <c r="L246" s="149" t="s">
        <v>11</v>
      </c>
      <c r="M246" s="149" t="str">
        <f>VLOOKUP(U246,Hierarquia!A:K,6,0)</f>
        <v>FADEL</v>
      </c>
      <c r="N246" s="149"/>
      <c r="O246" s="149" t="s">
        <v>115</v>
      </c>
      <c r="P246" s="133">
        <v>618</v>
      </c>
      <c r="Q246" s="135">
        <v>46203.4742708333</v>
      </c>
      <c r="R246" s="133" t="s">
        <v>116</v>
      </c>
      <c r="S246" s="133" t="s">
        <v>133</v>
      </c>
      <c r="T246" s="133" t="s">
        <v>26</v>
      </c>
      <c r="U246" s="133" t="s">
        <v>152</v>
      </c>
      <c r="V246" s="135">
        <v>46202</v>
      </c>
      <c r="W246" s="133">
        <v>1581787</v>
      </c>
      <c r="X246" s="133">
        <v>6877915741</v>
      </c>
      <c r="Y246" s="133" t="s">
        <v>35</v>
      </c>
      <c r="Z246" s="133" t="s">
        <v>557</v>
      </c>
      <c r="AF246" s="133" t="s">
        <v>223</v>
      </c>
      <c r="AG246" s="133" t="s">
        <v>121</v>
      </c>
    </row>
    <row r="247" spans="1:33" x14ac:dyDescent="0.2">
      <c r="A247" s="139">
        <f>Table1[[#This Row],[Qual a Numeração da Nota Fiscal com divergência ?]]</f>
        <v>1581996</v>
      </c>
      <c r="B247" s="146" t="s">
        <v>33</v>
      </c>
      <c r="C247" s="147" t="s">
        <v>111</v>
      </c>
      <c r="D247" s="147" t="s">
        <v>37</v>
      </c>
      <c r="E247" s="148">
        <f>WEEKNUM(Table1[[#This Row],[Dt da abertura]],1)</f>
        <v>27</v>
      </c>
      <c r="F247" s="147">
        <v>46204</v>
      </c>
      <c r="G247" s="147">
        <v>46204</v>
      </c>
      <c r="H247" s="147">
        <v>46206</v>
      </c>
      <c r="I247" s="147"/>
      <c r="J247" s="147"/>
      <c r="K247" s="149" t="s">
        <v>114</v>
      </c>
      <c r="L247" s="149" t="s">
        <v>11</v>
      </c>
      <c r="M247" s="149" t="str">
        <f>VLOOKUP(U247,Hierarquia!A:K,6,0)</f>
        <v>FADEL</v>
      </c>
      <c r="N247" s="149"/>
      <c r="O247" s="149" t="s">
        <v>115</v>
      </c>
      <c r="P247" s="133">
        <v>619</v>
      </c>
      <c r="Q247" s="135">
        <v>46204.588865740698</v>
      </c>
      <c r="R247" s="133" t="s">
        <v>116</v>
      </c>
      <c r="S247" s="133" t="s">
        <v>133</v>
      </c>
      <c r="T247" s="133" t="s">
        <v>26</v>
      </c>
      <c r="U247" s="133" t="s">
        <v>146</v>
      </c>
      <c r="V247" s="135">
        <v>46203</v>
      </c>
      <c r="W247" s="133">
        <v>1581996</v>
      </c>
      <c r="X247" s="133">
        <v>6877869992</v>
      </c>
      <c r="Y247" s="133" t="s">
        <v>35</v>
      </c>
      <c r="Z247" s="133" t="s">
        <v>558</v>
      </c>
      <c r="AF247" s="133" t="s">
        <v>223</v>
      </c>
      <c r="AG247" s="133" t="s">
        <v>131</v>
      </c>
    </row>
    <row r="248" spans="1:33" hidden="1" x14ac:dyDescent="0.2">
      <c r="A248" s="139">
        <f>Table1[[#This Row],[Qual a Numeração da Nota Fiscal com divergência ?]]</f>
        <v>1581049</v>
      </c>
      <c r="B248" s="146" t="s">
        <v>30</v>
      </c>
      <c r="C248" s="147" t="s">
        <v>111</v>
      </c>
      <c r="D248" s="147" t="s">
        <v>37</v>
      </c>
      <c r="E248" s="148">
        <f>WEEKNUM(Table1[[#This Row],[Dt da abertura]],1)</f>
        <v>27</v>
      </c>
      <c r="F248" s="147">
        <v>46206</v>
      </c>
      <c r="G248" s="147">
        <v>46205</v>
      </c>
      <c r="H248" s="147">
        <v>46210</v>
      </c>
      <c r="I248" s="147"/>
      <c r="J248" s="147"/>
      <c r="K248" s="149" t="s">
        <v>114</v>
      </c>
      <c r="L248" s="149" t="s">
        <v>11</v>
      </c>
      <c r="M248" s="149" t="str">
        <f>VLOOKUP(U248,Hierarquia!A:K,6,0)</f>
        <v>BAT</v>
      </c>
      <c r="N248" s="149"/>
      <c r="O248" s="149" t="s">
        <v>115</v>
      </c>
      <c r="P248" s="133">
        <v>620</v>
      </c>
      <c r="Q248" s="135">
        <v>46205.340405092596</v>
      </c>
      <c r="R248" s="133" t="s">
        <v>116</v>
      </c>
      <c r="S248" s="133" t="s">
        <v>428</v>
      </c>
      <c r="T248" s="133" t="s">
        <v>28</v>
      </c>
      <c r="U248" s="133" t="s">
        <v>429</v>
      </c>
      <c r="V248" s="135">
        <v>46204</v>
      </c>
      <c r="W248" s="133">
        <v>1581049</v>
      </c>
      <c r="X248" s="133">
        <v>6877864235</v>
      </c>
      <c r="Y248" s="133" t="s">
        <v>35</v>
      </c>
      <c r="Z248" s="133" t="s">
        <v>559</v>
      </c>
      <c r="AF248" s="133">
        <v>1581049</v>
      </c>
      <c r="AG248" s="133" t="s">
        <v>131</v>
      </c>
    </row>
    <row r="249" spans="1:33" x14ac:dyDescent="0.2">
      <c r="A249" s="139">
        <f>Table1[[#This Row],[Qual a Numeração da Nota Fiscal com divergência ?]]</f>
        <v>1582677</v>
      </c>
      <c r="B249" s="146" t="s">
        <v>33</v>
      </c>
      <c r="C249" s="147" t="s">
        <v>111</v>
      </c>
      <c r="D249" s="147" t="s">
        <v>37</v>
      </c>
      <c r="E249" s="148">
        <f>WEEKNUM(Table1[[#This Row],[Dt da abertura]],1)</f>
        <v>27</v>
      </c>
      <c r="F249" s="147">
        <v>46206</v>
      </c>
      <c r="G249" s="147">
        <v>46205</v>
      </c>
      <c r="H249" s="147">
        <v>46210</v>
      </c>
      <c r="I249" s="147"/>
      <c r="J249" s="147"/>
      <c r="K249" s="149" t="s">
        <v>114</v>
      </c>
      <c r="L249" s="149" t="s">
        <v>11</v>
      </c>
      <c r="M249" s="149" t="str">
        <f>VLOOKUP(U249,Hierarquia!A:K,6,0)</f>
        <v>FADEL</v>
      </c>
      <c r="N249" s="149"/>
      <c r="O249" s="149" t="s">
        <v>115</v>
      </c>
      <c r="P249" s="133">
        <v>621</v>
      </c>
      <c r="Q249" s="135">
        <v>46205.387372685203</v>
      </c>
      <c r="R249" s="133" t="s">
        <v>116</v>
      </c>
      <c r="S249" s="133" t="s">
        <v>133</v>
      </c>
      <c r="T249" s="133" t="s">
        <v>26</v>
      </c>
      <c r="U249" s="133" t="s">
        <v>168</v>
      </c>
      <c r="V249" s="135">
        <v>46204</v>
      </c>
      <c r="W249" s="133">
        <v>1582677</v>
      </c>
      <c r="X249" s="133">
        <v>6877966433</v>
      </c>
      <c r="Y249" s="133" t="s">
        <v>35</v>
      </c>
      <c r="Z249" s="133" t="s">
        <v>560</v>
      </c>
      <c r="AF249" s="133" t="s">
        <v>223</v>
      </c>
      <c r="AG249" s="133" t="s">
        <v>121</v>
      </c>
    </row>
    <row r="250" spans="1:33" hidden="1" x14ac:dyDescent="0.2">
      <c r="A250" s="139">
        <f>Table1[[#This Row],[Qual a Numeração da Nota Fiscal com divergência ?]]</f>
        <v>1582907</v>
      </c>
      <c r="B250" s="146" t="s">
        <v>30</v>
      </c>
      <c r="C250" s="147" t="s">
        <v>111</v>
      </c>
      <c r="D250" s="147" t="s">
        <v>37</v>
      </c>
      <c r="E250" s="148">
        <f>WEEKNUM(Table1[[#This Row],[Dt da abertura]],1)</f>
        <v>27</v>
      </c>
      <c r="F250" s="147">
        <v>46206</v>
      </c>
      <c r="G250" s="147">
        <v>46205</v>
      </c>
      <c r="H250" s="147">
        <v>46210</v>
      </c>
      <c r="I250" s="147"/>
      <c r="J250" s="147"/>
      <c r="K250" s="149" t="s">
        <v>114</v>
      </c>
      <c r="L250" s="149" t="s">
        <v>11</v>
      </c>
      <c r="M250" s="149" t="str">
        <f>VLOOKUP(U250,Hierarquia!A:K,6,0)</f>
        <v>BAT</v>
      </c>
      <c r="N250" s="149"/>
      <c r="O250" s="149" t="s">
        <v>115</v>
      </c>
      <c r="P250" s="133">
        <v>622</v>
      </c>
      <c r="Q250" s="135">
        <v>46205.4066550926</v>
      </c>
      <c r="R250" s="133" t="s">
        <v>116</v>
      </c>
      <c r="S250" s="133" t="s">
        <v>561</v>
      </c>
      <c r="T250" s="133" t="s">
        <v>28</v>
      </c>
      <c r="U250" s="133" t="s">
        <v>172</v>
      </c>
      <c r="V250" s="135">
        <v>46205</v>
      </c>
      <c r="W250" s="133">
        <v>1582907</v>
      </c>
      <c r="X250" s="133">
        <v>6877969115</v>
      </c>
      <c r="Y250" s="133" t="s">
        <v>35</v>
      </c>
      <c r="Z250" s="133" t="s">
        <v>562</v>
      </c>
      <c r="AF250" s="133">
        <v>0</v>
      </c>
      <c r="AG250" s="133" t="s">
        <v>131</v>
      </c>
    </row>
    <row r="251" spans="1:33" hidden="1" x14ac:dyDescent="0.2">
      <c r="A251" s="139">
        <f>Table1[[#This Row],[Qual a Numeração da Nota Fiscal com divergência ?]]</f>
        <v>1579937</v>
      </c>
      <c r="B251" s="146" t="s">
        <v>33</v>
      </c>
      <c r="C251" s="147" t="s">
        <v>111</v>
      </c>
      <c r="D251" s="147" t="s">
        <v>37</v>
      </c>
      <c r="E251" s="148">
        <f>WEEKNUM(Table1[[#This Row],[Dt da abertura]],1)</f>
        <v>27</v>
      </c>
      <c r="F251" s="147">
        <v>46206</v>
      </c>
      <c r="G251" s="147">
        <v>46205</v>
      </c>
      <c r="H251" s="147"/>
      <c r="I251" s="147"/>
      <c r="J251" s="147"/>
      <c r="K251" s="149" t="s">
        <v>114</v>
      </c>
      <c r="L251" s="149" t="s">
        <v>11</v>
      </c>
      <c r="M251" s="149" t="str">
        <f>VLOOKUP(U251,Hierarquia!A:K,6,0)</f>
        <v>BAT</v>
      </c>
      <c r="N251" s="149"/>
      <c r="O251" s="149" t="s">
        <v>115</v>
      </c>
      <c r="P251" s="133">
        <v>623</v>
      </c>
      <c r="Q251" s="135">
        <v>46205.429270833301</v>
      </c>
      <c r="R251" s="133" t="s">
        <v>116</v>
      </c>
      <c r="S251" s="133" t="s">
        <v>163</v>
      </c>
      <c r="T251" s="133" t="s">
        <v>28</v>
      </c>
      <c r="U251" s="133" t="s">
        <v>164</v>
      </c>
      <c r="V251" s="135">
        <v>46203</v>
      </c>
      <c r="W251" s="133">
        <v>1579937</v>
      </c>
      <c r="X251" s="133">
        <v>6877734192</v>
      </c>
      <c r="Y251" s="133" t="s">
        <v>32</v>
      </c>
      <c r="Z251" s="133" t="s">
        <v>563</v>
      </c>
      <c r="AF251" s="133" t="s">
        <v>166</v>
      </c>
      <c r="AG251" s="133" t="s">
        <v>126</v>
      </c>
    </row>
    <row r="252" spans="1:33" x14ac:dyDescent="0.2">
      <c r="A252" s="139">
        <f>Table1[[#This Row],[Qual a Numeração da Nota Fiscal com divergência ?]]</f>
        <v>1583253</v>
      </c>
      <c r="B252" s="146" t="s">
        <v>33</v>
      </c>
      <c r="C252" s="147" t="s">
        <v>111</v>
      </c>
      <c r="D252" s="147" t="s">
        <v>37</v>
      </c>
      <c r="E252" s="148">
        <f>WEEKNUM(Table1[[#This Row],[Dt da abertura]],1)</f>
        <v>27</v>
      </c>
      <c r="F252" s="147">
        <v>46206</v>
      </c>
      <c r="G252" s="147">
        <v>46205</v>
      </c>
      <c r="H252" s="147">
        <v>46210</v>
      </c>
      <c r="I252" s="147"/>
      <c r="J252" s="147"/>
      <c r="K252" s="149" t="s">
        <v>114</v>
      </c>
      <c r="L252" s="149" t="s">
        <v>11</v>
      </c>
      <c r="M252" s="149" t="str">
        <f>VLOOKUP(U252,Hierarquia!A:K,6,0)</f>
        <v>FADEL</v>
      </c>
      <c r="N252" s="149"/>
      <c r="O252" s="149" t="s">
        <v>115</v>
      </c>
      <c r="P252" s="133">
        <v>624</v>
      </c>
      <c r="Q252" s="135">
        <v>46205.706585648099</v>
      </c>
      <c r="R252" s="133" t="s">
        <v>116</v>
      </c>
      <c r="S252" s="133" t="s">
        <v>133</v>
      </c>
      <c r="T252" s="133" t="s">
        <v>26</v>
      </c>
      <c r="U252" s="133" t="s">
        <v>273</v>
      </c>
      <c r="V252" s="135">
        <v>46205</v>
      </c>
      <c r="W252" s="133">
        <v>1583253</v>
      </c>
      <c r="X252" s="133">
        <v>6877979921</v>
      </c>
      <c r="Y252" s="133" t="s">
        <v>34</v>
      </c>
      <c r="Z252" s="133" t="s">
        <v>564</v>
      </c>
      <c r="AF252" s="133" t="s">
        <v>223</v>
      </c>
      <c r="AG252" s="133" t="s">
        <v>121</v>
      </c>
    </row>
    <row r="253" spans="1:33" x14ac:dyDescent="0.2">
      <c r="A253" s="139">
        <f>Table1[[#This Row],[Qual a Numeração da Nota Fiscal com divergência ?]]</f>
        <v>1583724</v>
      </c>
      <c r="B253" s="146" t="s">
        <v>33</v>
      </c>
      <c r="C253" s="147" t="s">
        <v>111</v>
      </c>
      <c r="D253" s="147" t="s">
        <v>37</v>
      </c>
      <c r="E253" s="148">
        <f>WEEKNUM(Table1[[#This Row],[Dt da abertura]],1)</f>
        <v>28</v>
      </c>
      <c r="F253" s="147">
        <v>46209</v>
      </c>
      <c r="G253" s="147">
        <v>46209</v>
      </c>
      <c r="H253" s="147">
        <v>46211</v>
      </c>
      <c r="I253" s="147"/>
      <c r="J253" s="147"/>
      <c r="K253" s="149" t="s">
        <v>114</v>
      </c>
      <c r="L253" s="149" t="s">
        <v>11</v>
      </c>
      <c r="M253" s="149" t="str">
        <f>VLOOKUP(U253,Hierarquia!A:K,6,0)</f>
        <v>FADEL</v>
      </c>
      <c r="N253" s="149"/>
      <c r="O253" s="149" t="s">
        <v>115</v>
      </c>
      <c r="P253" s="133">
        <v>626</v>
      </c>
      <c r="Q253" s="135">
        <v>46209.353125000001</v>
      </c>
      <c r="R253" s="133" t="s">
        <v>116</v>
      </c>
      <c r="S253" s="133" t="s">
        <v>133</v>
      </c>
      <c r="T253" s="133" t="s">
        <v>26</v>
      </c>
      <c r="U253" s="133" t="s">
        <v>273</v>
      </c>
      <c r="V253" s="135">
        <v>46206</v>
      </c>
      <c r="W253" s="133">
        <v>1583724</v>
      </c>
      <c r="X253" s="133">
        <v>6877899349</v>
      </c>
      <c r="Y253" s="133" t="s">
        <v>35</v>
      </c>
      <c r="Z253" s="133" t="s">
        <v>565</v>
      </c>
      <c r="AF253" s="133" t="s">
        <v>223</v>
      </c>
      <c r="AG253" s="133" t="s">
        <v>131</v>
      </c>
    </row>
    <row r="254" spans="1:33" x14ac:dyDescent="0.2">
      <c r="A254" s="139">
        <f>Table1[[#This Row],[Qual a Numeração da Nota Fiscal com divergência ?]]</f>
        <v>1584000</v>
      </c>
      <c r="B254" s="146" t="s">
        <v>33</v>
      </c>
      <c r="C254" s="147" t="s">
        <v>111</v>
      </c>
      <c r="D254" s="147" t="s">
        <v>37</v>
      </c>
      <c r="E254" s="148">
        <f>WEEKNUM(Table1[[#This Row],[Dt da abertura]],1)</f>
        <v>28</v>
      </c>
      <c r="F254" s="147">
        <v>46209</v>
      </c>
      <c r="G254" s="147">
        <v>46209</v>
      </c>
      <c r="H254" s="147">
        <v>46211</v>
      </c>
      <c r="I254" s="147"/>
      <c r="J254" s="147"/>
      <c r="K254" s="149" t="s">
        <v>114</v>
      </c>
      <c r="L254" s="149" t="s">
        <v>11</v>
      </c>
      <c r="M254" s="149" t="str">
        <f>VLOOKUP(U254,Hierarquia!A:K,6,0)</f>
        <v>FADEL</v>
      </c>
      <c r="N254" s="149"/>
      <c r="O254" s="149" t="s">
        <v>115</v>
      </c>
      <c r="P254" s="133">
        <v>627</v>
      </c>
      <c r="Q254" s="135">
        <v>46209.430983796301</v>
      </c>
      <c r="R254" s="133" t="s">
        <v>116</v>
      </c>
      <c r="S254" s="133" t="s">
        <v>133</v>
      </c>
      <c r="T254" s="133" t="s">
        <v>26</v>
      </c>
      <c r="U254" s="133" t="s">
        <v>316</v>
      </c>
      <c r="V254" s="135">
        <v>46206</v>
      </c>
      <c r="W254" s="133">
        <v>1584000</v>
      </c>
      <c r="X254" s="133">
        <v>6878010159</v>
      </c>
      <c r="Y254" s="133" t="s">
        <v>35</v>
      </c>
      <c r="Z254" s="133" t="s">
        <v>566</v>
      </c>
      <c r="AF254" s="133" t="s">
        <v>223</v>
      </c>
      <c r="AG254" s="133" t="s">
        <v>131</v>
      </c>
    </row>
    <row r="255" spans="1:33" x14ac:dyDescent="0.2">
      <c r="A255" s="139">
        <f>Table1[[#This Row],[Qual a Numeração da Nota Fiscal com divergência ?]]</f>
        <v>1583360</v>
      </c>
      <c r="B255" s="146" t="s">
        <v>30</v>
      </c>
      <c r="C255" s="147" t="s">
        <v>111</v>
      </c>
      <c r="D255" s="147" t="s">
        <v>37</v>
      </c>
      <c r="E255" s="148">
        <f>WEEKNUM(Table1[[#This Row],[Dt da abertura]],1)</f>
        <v>28</v>
      </c>
      <c r="F255" s="147">
        <v>46209</v>
      </c>
      <c r="G255" s="147">
        <v>46209</v>
      </c>
      <c r="H255" s="147">
        <v>46211</v>
      </c>
      <c r="I255" s="147"/>
      <c r="J255" s="147"/>
      <c r="K255" s="149" t="s">
        <v>114</v>
      </c>
      <c r="L255" s="149" t="s">
        <v>11</v>
      </c>
      <c r="M255" s="149" t="str">
        <f>VLOOKUP(U255,Hierarquia!A:K,6,0)</f>
        <v>FADEL</v>
      </c>
      <c r="N255" s="149"/>
      <c r="O255" s="149" t="s">
        <v>115</v>
      </c>
      <c r="P255" s="133">
        <v>628</v>
      </c>
      <c r="Q255" s="135">
        <v>46209.617476851803</v>
      </c>
      <c r="R255" s="133" t="s">
        <v>116</v>
      </c>
      <c r="S255" s="133" t="s">
        <v>133</v>
      </c>
      <c r="T255" s="133" t="s">
        <v>26</v>
      </c>
      <c r="U255" s="133" t="s">
        <v>179</v>
      </c>
      <c r="V255" s="135">
        <v>46205</v>
      </c>
      <c r="W255" s="133">
        <v>1583360</v>
      </c>
      <c r="X255" s="133">
        <v>6877994244</v>
      </c>
      <c r="Y255" s="133" t="s">
        <v>35</v>
      </c>
      <c r="Z255" s="133" t="s">
        <v>567</v>
      </c>
      <c r="AF255" s="133" t="s">
        <v>568</v>
      </c>
      <c r="AG255" s="133" t="s">
        <v>131</v>
      </c>
    </row>
    <row r="256" spans="1:33" hidden="1" x14ac:dyDescent="0.2">
      <c r="A256" s="139">
        <f>Table1[[#This Row],[Qual a Numeração da Nota Fiscal com divergência ?]]</f>
        <v>1578058</v>
      </c>
      <c r="B256" s="146" t="s">
        <v>25</v>
      </c>
      <c r="C256" s="147" t="s">
        <v>111</v>
      </c>
      <c r="D256" s="147" t="s">
        <v>37</v>
      </c>
      <c r="E256" s="148">
        <f>WEEKNUM(Table1[[#This Row],[Dt da abertura]],1)</f>
        <v>28</v>
      </c>
      <c r="F256" s="147">
        <v>46212</v>
      </c>
      <c r="G256" s="147">
        <v>46210</v>
      </c>
      <c r="H256" s="147">
        <v>46216</v>
      </c>
      <c r="I256" s="147"/>
      <c r="J256" s="147"/>
      <c r="K256" s="149" t="s">
        <v>114</v>
      </c>
      <c r="L256" s="149" t="s">
        <v>11</v>
      </c>
      <c r="M256" s="149" t="str">
        <f>VLOOKUP(U256,Hierarquia!A:K,6,0)</f>
        <v>BAT</v>
      </c>
      <c r="N256" s="149"/>
      <c r="O256" s="149" t="s">
        <v>115</v>
      </c>
      <c r="P256" s="133">
        <v>629</v>
      </c>
      <c r="Q256" s="135">
        <v>46210.315752314797</v>
      </c>
      <c r="R256" s="133" t="s">
        <v>116</v>
      </c>
      <c r="S256" s="133" t="s">
        <v>464</v>
      </c>
      <c r="T256" s="133" t="s">
        <v>28</v>
      </c>
      <c r="U256" s="133" t="s">
        <v>465</v>
      </c>
      <c r="V256" s="135">
        <v>46210</v>
      </c>
      <c r="W256" s="133">
        <v>1578058</v>
      </c>
      <c r="X256" s="133">
        <v>6877549538</v>
      </c>
      <c r="Y256" s="133" t="s">
        <v>35</v>
      </c>
      <c r="Z256" s="133" t="s">
        <v>569</v>
      </c>
      <c r="AF256" s="133" t="s">
        <v>570</v>
      </c>
      <c r="AG256" s="133" t="s">
        <v>178</v>
      </c>
    </row>
    <row r="257" spans="1:35" hidden="1" x14ac:dyDescent="0.2">
      <c r="A257" s="139">
        <f>Table1[[#This Row],[Qual a Numeração da Nota Fiscal com divergência ?]]</f>
        <v>1583952</v>
      </c>
      <c r="B257" s="146" t="s">
        <v>30</v>
      </c>
      <c r="C257" s="147" t="s">
        <v>111</v>
      </c>
      <c r="D257" s="147" t="s">
        <v>37</v>
      </c>
      <c r="E257" s="148">
        <f>WEEKNUM(Table1[[#This Row],[Dt da abertura]],1)</f>
        <v>28</v>
      </c>
      <c r="F257" s="147">
        <v>46212</v>
      </c>
      <c r="G257" s="147">
        <v>46210</v>
      </c>
      <c r="H257" s="147">
        <v>46216</v>
      </c>
      <c r="I257" s="147"/>
      <c r="J257" s="147"/>
      <c r="K257" s="149" t="s">
        <v>114</v>
      </c>
      <c r="L257" s="149" t="s">
        <v>11</v>
      </c>
      <c r="M257" s="149" t="str">
        <f>VLOOKUP(U257,Hierarquia!A:K,6,0)</f>
        <v>BAT</v>
      </c>
      <c r="N257" s="149"/>
      <c r="O257" s="149" t="s">
        <v>115</v>
      </c>
      <c r="P257" s="133">
        <v>630</v>
      </c>
      <c r="Q257" s="135">
        <v>46210.651446759301</v>
      </c>
      <c r="R257" s="133" t="s">
        <v>116</v>
      </c>
      <c r="S257" s="133" t="s">
        <v>156</v>
      </c>
      <c r="T257" s="133" t="s">
        <v>28</v>
      </c>
      <c r="U257" s="133" t="s">
        <v>157</v>
      </c>
      <c r="V257" s="135">
        <v>46209</v>
      </c>
      <c r="W257" s="133">
        <v>1583952</v>
      </c>
      <c r="X257" s="133">
        <v>6877958746</v>
      </c>
      <c r="Y257" s="133" t="s">
        <v>32</v>
      </c>
      <c r="Z257" s="133" t="s">
        <v>571</v>
      </c>
      <c r="AF257" s="133">
        <v>0</v>
      </c>
      <c r="AG257" s="133" t="s">
        <v>126</v>
      </c>
    </row>
    <row r="258" spans="1:35" hidden="1" x14ac:dyDescent="0.2">
      <c r="A258" s="139">
        <f>Table1[[#This Row],[Qual a Numeração da Nota Fiscal com divergência ?]]</f>
        <v>1583670</v>
      </c>
      <c r="B258" s="146" t="s">
        <v>30</v>
      </c>
      <c r="C258" s="147" t="s">
        <v>111</v>
      </c>
      <c r="D258" s="147" t="s">
        <v>37</v>
      </c>
      <c r="E258" s="148">
        <f>WEEKNUM(Table1[[#This Row],[Dt da abertura]],1)</f>
        <v>28</v>
      </c>
      <c r="F258" s="147">
        <v>46212</v>
      </c>
      <c r="G258" s="147">
        <v>46210</v>
      </c>
      <c r="H258" s="147">
        <v>46216</v>
      </c>
      <c r="I258" s="147"/>
      <c r="J258" s="147"/>
      <c r="K258" s="149" t="s">
        <v>114</v>
      </c>
      <c r="L258" s="149" t="s">
        <v>11</v>
      </c>
      <c r="M258" s="149" t="str">
        <f>VLOOKUP(U258,Hierarquia!A:K,6,0)</f>
        <v>BAT</v>
      </c>
      <c r="N258" s="149"/>
      <c r="O258" s="149" t="s">
        <v>115</v>
      </c>
      <c r="P258" s="133">
        <v>631</v>
      </c>
      <c r="Q258" s="135">
        <v>46210.653043981503</v>
      </c>
      <c r="R258" s="133" t="s">
        <v>116</v>
      </c>
      <c r="S258" s="133" t="s">
        <v>156</v>
      </c>
      <c r="T258" s="133" t="s">
        <v>28</v>
      </c>
      <c r="U258" s="133" t="s">
        <v>157</v>
      </c>
      <c r="V258" s="135">
        <v>46209</v>
      </c>
      <c r="W258" s="133">
        <v>1583670</v>
      </c>
      <c r="X258" s="133">
        <v>6877861176</v>
      </c>
      <c r="Y258" s="133" t="s">
        <v>35</v>
      </c>
      <c r="Z258" s="133" t="s">
        <v>572</v>
      </c>
      <c r="AF258" s="133">
        <v>0</v>
      </c>
      <c r="AG258" s="133" t="s">
        <v>126</v>
      </c>
    </row>
    <row r="259" spans="1:35" hidden="1" x14ac:dyDescent="0.2">
      <c r="A259" s="139">
        <f>Table1[[#This Row],[Qual a Numeração da Nota Fiscal com divergência ?]]</f>
        <v>1584248</v>
      </c>
      <c r="B259" s="146" t="s">
        <v>30</v>
      </c>
      <c r="C259" s="147" t="s">
        <v>111</v>
      </c>
      <c r="D259" s="147" t="s">
        <v>37</v>
      </c>
      <c r="E259" s="148">
        <f>WEEKNUM(Table1[[#This Row],[Dt da abertura]],1)</f>
        <v>28</v>
      </c>
      <c r="F259" s="147">
        <v>46212</v>
      </c>
      <c r="G259" s="147">
        <v>46210</v>
      </c>
      <c r="H259" s="147">
        <v>46216</v>
      </c>
      <c r="I259" s="147"/>
      <c r="J259" s="147"/>
      <c r="K259" s="149" t="s">
        <v>114</v>
      </c>
      <c r="L259" s="149" t="s">
        <v>11</v>
      </c>
      <c r="M259" s="149" t="str">
        <f>VLOOKUP(U259,Hierarquia!A:K,6,0)</f>
        <v>BAT</v>
      </c>
      <c r="N259" s="149"/>
      <c r="O259" s="149" t="s">
        <v>115</v>
      </c>
      <c r="P259" s="133">
        <v>632</v>
      </c>
      <c r="Q259" s="135">
        <v>46210.831724536998</v>
      </c>
      <c r="R259" s="133" t="s">
        <v>116</v>
      </c>
      <c r="S259" s="133" t="s">
        <v>254</v>
      </c>
      <c r="T259" s="133" t="s">
        <v>28</v>
      </c>
      <c r="U259" s="133" t="s">
        <v>255</v>
      </c>
      <c r="V259" s="135">
        <v>46210</v>
      </c>
      <c r="W259" s="133">
        <v>1584248</v>
      </c>
      <c r="X259" s="133">
        <v>6877957441</v>
      </c>
      <c r="Y259" s="133" t="s">
        <v>35</v>
      </c>
      <c r="Z259" s="133" t="s">
        <v>573</v>
      </c>
      <c r="AF259" s="133" t="s">
        <v>256</v>
      </c>
      <c r="AG259" s="133" t="s">
        <v>131</v>
      </c>
    </row>
    <row r="260" spans="1:35" hidden="1" x14ac:dyDescent="0.2">
      <c r="A260" s="139">
        <f>Table1[[#This Row],[Qual a Numeração da Nota Fiscal com divergência ?]]</f>
        <v>1583513</v>
      </c>
      <c r="B260" s="146" t="s">
        <v>30</v>
      </c>
      <c r="C260" s="147" t="s">
        <v>111</v>
      </c>
      <c r="D260" s="147" t="s">
        <v>37</v>
      </c>
      <c r="E260" s="148">
        <f>WEEKNUM(Table1[[#This Row],[Dt da abertura]],1)</f>
        <v>28</v>
      </c>
      <c r="F260" s="147">
        <v>46212</v>
      </c>
      <c r="G260" s="147">
        <v>46211</v>
      </c>
      <c r="H260" s="147">
        <v>46216</v>
      </c>
      <c r="I260" s="147"/>
      <c r="J260" s="147"/>
      <c r="K260" s="149" t="s">
        <v>114</v>
      </c>
      <c r="L260" s="149" t="s">
        <v>11</v>
      </c>
      <c r="M260" s="149" t="str">
        <f>VLOOKUP(U260,Hierarquia!A:K,6,0)</f>
        <v>BAT</v>
      </c>
      <c r="N260" s="149"/>
      <c r="O260" s="149" t="s">
        <v>115</v>
      </c>
      <c r="P260" s="133">
        <v>633</v>
      </c>
      <c r="Q260" s="135">
        <v>46211.369837963</v>
      </c>
      <c r="R260" s="133" t="s">
        <v>116</v>
      </c>
      <c r="S260" s="133" t="s">
        <v>307</v>
      </c>
      <c r="T260" s="133" t="s">
        <v>28</v>
      </c>
      <c r="U260" s="133" t="s">
        <v>231</v>
      </c>
      <c r="V260" s="135">
        <v>46210</v>
      </c>
      <c r="W260" s="133">
        <v>1583513</v>
      </c>
      <c r="X260" s="133">
        <v>6877993296</v>
      </c>
      <c r="Y260" s="133" t="s">
        <v>35</v>
      </c>
      <c r="Z260" s="133" t="s">
        <v>574</v>
      </c>
      <c r="AF260" s="133" t="s">
        <v>309</v>
      </c>
      <c r="AG260" s="133" t="s">
        <v>131</v>
      </c>
    </row>
    <row r="261" spans="1:35" hidden="1" x14ac:dyDescent="0.2">
      <c r="A261" s="139">
        <f>Table1[[#This Row],[Qual a Numeração da Nota Fiscal com divergência ?]]</f>
        <v>1583516</v>
      </c>
      <c r="B261" s="146" t="s">
        <v>30</v>
      </c>
      <c r="C261" s="147" t="s">
        <v>111</v>
      </c>
      <c r="D261" s="147" t="s">
        <v>37</v>
      </c>
      <c r="E261" s="148">
        <f>WEEKNUM(Table1[[#This Row],[Dt da abertura]],1)</f>
        <v>28</v>
      </c>
      <c r="F261" s="147">
        <v>46212</v>
      </c>
      <c r="G261" s="147">
        <v>46211</v>
      </c>
      <c r="H261" s="147">
        <v>46216</v>
      </c>
      <c r="I261" s="147"/>
      <c r="J261" s="147"/>
      <c r="K261" s="149" t="s">
        <v>114</v>
      </c>
      <c r="L261" s="149" t="s">
        <v>11</v>
      </c>
      <c r="M261" s="149" t="str">
        <f>VLOOKUP(U261,Hierarquia!A:K,6,0)</f>
        <v>BAT</v>
      </c>
      <c r="N261" s="149"/>
      <c r="O261" s="149" t="s">
        <v>115</v>
      </c>
      <c r="P261" s="133">
        <v>634</v>
      </c>
      <c r="Q261" s="135">
        <v>46211.389293981498</v>
      </c>
      <c r="R261" s="133" t="s">
        <v>116</v>
      </c>
      <c r="S261" s="133" t="s">
        <v>553</v>
      </c>
      <c r="T261" s="133" t="s">
        <v>28</v>
      </c>
      <c r="U261" s="133" t="s">
        <v>429</v>
      </c>
      <c r="V261" s="135">
        <v>46210</v>
      </c>
      <c r="W261" s="133">
        <v>1583516</v>
      </c>
      <c r="X261" s="133">
        <v>6878007282</v>
      </c>
      <c r="Y261" s="133" t="s">
        <v>35</v>
      </c>
      <c r="Z261" s="133" t="s">
        <v>575</v>
      </c>
      <c r="AF261" s="133">
        <v>1583516</v>
      </c>
      <c r="AG261" s="133" t="s">
        <v>131</v>
      </c>
    </row>
    <row r="262" spans="1:35" hidden="1" x14ac:dyDescent="0.2">
      <c r="A262" s="139">
        <f>Table1[[#This Row],[Qual a Numeração da Nota Fiscal com divergência ?]]</f>
        <v>1584838</v>
      </c>
      <c r="B262" s="146" t="s">
        <v>33</v>
      </c>
      <c r="C262" s="147" t="s">
        <v>111</v>
      </c>
      <c r="D262" s="147" t="s">
        <v>37</v>
      </c>
      <c r="E262" s="148">
        <f>WEEKNUM(Table1[[#This Row],[Dt da abertura]],1)</f>
        <v>28</v>
      </c>
      <c r="F262" s="147">
        <v>46212</v>
      </c>
      <c r="G262" s="147">
        <v>46211</v>
      </c>
      <c r="H262" s="147">
        <v>46216</v>
      </c>
      <c r="I262" s="147"/>
      <c r="J262" s="147"/>
      <c r="K262" s="149" t="s">
        <v>114</v>
      </c>
      <c r="L262" s="149" t="s">
        <v>11</v>
      </c>
      <c r="M262" s="149" t="str">
        <f>VLOOKUP(U262,Hierarquia!A:K,6,0)</f>
        <v>BAT</v>
      </c>
      <c r="N262" s="149"/>
      <c r="O262" s="149" t="s">
        <v>115</v>
      </c>
      <c r="P262" s="133">
        <v>635</v>
      </c>
      <c r="Q262" s="135">
        <v>46211.505196759303</v>
      </c>
      <c r="R262" s="133" t="s">
        <v>116</v>
      </c>
      <c r="S262" s="133" t="s">
        <v>123</v>
      </c>
      <c r="T262" s="133" t="s">
        <v>28</v>
      </c>
      <c r="U262" s="133" t="s">
        <v>124</v>
      </c>
      <c r="V262" s="135">
        <v>46211</v>
      </c>
      <c r="W262" s="133">
        <v>1584838</v>
      </c>
      <c r="X262" s="133">
        <v>6878049436</v>
      </c>
      <c r="Y262" s="133" t="s">
        <v>34</v>
      </c>
      <c r="Z262" s="133" t="s">
        <v>576</v>
      </c>
      <c r="AF262" s="133">
        <v>0</v>
      </c>
      <c r="AG262" s="133" t="s">
        <v>126</v>
      </c>
    </row>
    <row r="263" spans="1:35" hidden="1" x14ac:dyDescent="0.2">
      <c r="A263" s="139">
        <f>Table1[[#This Row],[Qual a Numeração da Nota Fiscal com divergência ?]]</f>
        <v>15854209</v>
      </c>
      <c r="B263" s="146" t="s">
        <v>25</v>
      </c>
      <c r="C263" s="147" t="s">
        <v>111</v>
      </c>
      <c r="D263" s="147" t="s">
        <v>37</v>
      </c>
      <c r="E263" s="148">
        <f>WEEKNUM(Table1[[#This Row],[Dt da abertura]],1)</f>
        <v>28</v>
      </c>
      <c r="F263" s="147">
        <v>46212</v>
      </c>
      <c r="G263" s="147">
        <v>46211</v>
      </c>
      <c r="H263" s="147">
        <v>46216</v>
      </c>
      <c r="I263" s="147"/>
      <c r="J263" s="147"/>
      <c r="K263" s="149" t="s">
        <v>114</v>
      </c>
      <c r="L263" s="149" t="s">
        <v>11</v>
      </c>
      <c r="M263" s="149" t="str">
        <f>VLOOKUP(U263,Hierarquia!A:K,6,0)</f>
        <v>BAT</v>
      </c>
      <c r="N263" s="149"/>
      <c r="O263" s="149" t="s">
        <v>115</v>
      </c>
      <c r="P263" s="133">
        <v>636</v>
      </c>
      <c r="Q263" s="135">
        <v>46212</v>
      </c>
      <c r="R263" s="133" t="s">
        <v>116</v>
      </c>
      <c r="S263" s="135" t="s">
        <v>171</v>
      </c>
      <c r="T263" s="133" t="s">
        <v>28</v>
      </c>
      <c r="U263" s="133" t="s">
        <v>172</v>
      </c>
      <c r="V263" s="135">
        <v>46212</v>
      </c>
      <c r="W263" s="133">
        <v>15854209</v>
      </c>
      <c r="X263" s="133">
        <v>0</v>
      </c>
      <c r="Y263" s="133" t="s">
        <v>32</v>
      </c>
      <c r="Z263" s="133">
        <v>0</v>
      </c>
      <c r="AF263" s="133">
        <v>0</v>
      </c>
      <c r="AG263" s="133" t="s">
        <v>126</v>
      </c>
    </row>
    <row r="264" spans="1:35" hidden="1" x14ac:dyDescent="0.2">
      <c r="A264" s="139">
        <f>Table1[[#This Row],[Qual a Numeração da Nota Fiscal com divergência ?]]</f>
        <v>15854799</v>
      </c>
      <c r="B264" s="146" t="s">
        <v>25</v>
      </c>
      <c r="C264" s="147" t="s">
        <v>111</v>
      </c>
      <c r="D264" s="147" t="s">
        <v>37</v>
      </c>
      <c r="E264" s="148">
        <f>WEEKNUM(Table1[[#This Row],[Dt da abertura]],1)</f>
        <v>28</v>
      </c>
      <c r="F264" s="147">
        <v>46212</v>
      </c>
      <c r="G264" s="147">
        <v>46211</v>
      </c>
      <c r="H264" s="147">
        <v>46216</v>
      </c>
      <c r="I264" s="147"/>
      <c r="J264" s="147"/>
      <c r="K264" s="149" t="s">
        <v>114</v>
      </c>
      <c r="L264" s="149" t="s">
        <v>11</v>
      </c>
      <c r="M264" s="149" t="str">
        <f>VLOOKUP(U264,Hierarquia!A:K,6,0)</f>
        <v>BAT</v>
      </c>
      <c r="N264" s="149"/>
      <c r="O264" s="149" t="s">
        <v>115</v>
      </c>
      <c r="P264" s="133">
        <v>637</v>
      </c>
      <c r="Q264" s="135">
        <v>46212</v>
      </c>
      <c r="R264" s="133" t="s">
        <v>116</v>
      </c>
      <c r="S264" s="135" t="s">
        <v>171</v>
      </c>
      <c r="T264" s="133" t="s">
        <v>28</v>
      </c>
      <c r="U264" s="133" t="s">
        <v>172</v>
      </c>
      <c r="V264" s="135">
        <v>46212</v>
      </c>
      <c r="W264" s="133">
        <v>15854799</v>
      </c>
      <c r="X264" s="133">
        <v>0</v>
      </c>
      <c r="Y264" s="133" t="s">
        <v>32</v>
      </c>
      <c r="Z264" s="133">
        <v>0</v>
      </c>
      <c r="AF264" s="133">
        <v>0</v>
      </c>
      <c r="AG264" s="133" t="s">
        <v>178</v>
      </c>
      <c r="AI264" s="133">
        <v>0</v>
      </c>
    </row>
    <row r="265" spans="1:35" hidden="1" x14ac:dyDescent="0.2">
      <c r="A265" s="139">
        <f>Table1[[#This Row],[Qual a Numeração da Nota Fiscal com divergência ?]]</f>
        <v>15854559</v>
      </c>
      <c r="B265" s="146" t="s">
        <v>25</v>
      </c>
      <c r="C265" s="147" t="s">
        <v>111</v>
      </c>
      <c r="D265" s="147" t="s">
        <v>37</v>
      </c>
      <c r="E265" s="148">
        <f>WEEKNUM(Table1[[#This Row],[Dt da abertura]],1)</f>
        <v>28</v>
      </c>
      <c r="F265" s="147">
        <v>46212</v>
      </c>
      <c r="G265" s="147">
        <v>46211</v>
      </c>
      <c r="H265" s="147">
        <v>46216</v>
      </c>
      <c r="I265" s="147"/>
      <c r="J265" s="147"/>
      <c r="K265" s="149" t="s">
        <v>114</v>
      </c>
      <c r="L265" s="149" t="s">
        <v>11</v>
      </c>
      <c r="M265" s="149" t="str">
        <f>VLOOKUP(U265,Hierarquia!A:K,6,0)</f>
        <v>BAT</v>
      </c>
      <c r="N265" s="149"/>
      <c r="O265" s="149" t="s">
        <v>115</v>
      </c>
      <c r="P265" s="133">
        <v>638</v>
      </c>
      <c r="Q265" s="135">
        <v>46212</v>
      </c>
      <c r="R265" s="133" t="s">
        <v>116</v>
      </c>
      <c r="S265" s="135" t="s">
        <v>561</v>
      </c>
      <c r="T265" s="133" t="s">
        <v>28</v>
      </c>
      <c r="U265" s="133" t="s">
        <v>172</v>
      </c>
      <c r="V265" s="135">
        <v>46212</v>
      </c>
      <c r="W265" s="133">
        <v>15854559</v>
      </c>
      <c r="X265" s="133">
        <v>0</v>
      </c>
      <c r="Y265" s="133" t="s">
        <v>32</v>
      </c>
      <c r="Z265" s="133">
        <v>0</v>
      </c>
      <c r="AF265" s="133">
        <v>0</v>
      </c>
      <c r="AG265" s="133" t="s">
        <v>126</v>
      </c>
    </row>
    <row r="266" spans="1:35" hidden="1" x14ac:dyDescent="0.2">
      <c r="A266" s="139">
        <f>Table1[[#This Row],[Qual a Numeração da Nota Fiscal com divergência ?]]</f>
        <v>15854839</v>
      </c>
      <c r="B266" s="146" t="s">
        <v>25</v>
      </c>
      <c r="C266" s="147" t="s">
        <v>111</v>
      </c>
      <c r="D266" s="147" t="s">
        <v>37</v>
      </c>
      <c r="E266" s="148">
        <f>WEEKNUM(Table1[[#This Row],[Dt da abertura]],1)</f>
        <v>28</v>
      </c>
      <c r="F266" s="147">
        <v>46212</v>
      </c>
      <c r="G266" s="147">
        <v>46211</v>
      </c>
      <c r="H266" s="147">
        <v>46216</v>
      </c>
      <c r="I266" s="147"/>
      <c r="J266" s="147"/>
      <c r="K266" s="149" t="s">
        <v>114</v>
      </c>
      <c r="L266" s="149" t="s">
        <v>11</v>
      </c>
      <c r="M266" s="149" t="str">
        <f>VLOOKUP(U266,Hierarquia!A:K,6,0)</f>
        <v>BAT</v>
      </c>
      <c r="N266" s="149"/>
      <c r="O266" s="149" t="s">
        <v>115</v>
      </c>
      <c r="P266" s="133">
        <v>639</v>
      </c>
      <c r="Q266" s="135">
        <v>46212</v>
      </c>
      <c r="R266" s="133" t="s">
        <v>116</v>
      </c>
      <c r="S266" s="135" t="s">
        <v>171</v>
      </c>
      <c r="T266" s="133" t="s">
        <v>28</v>
      </c>
      <c r="U266" s="133" t="s">
        <v>172</v>
      </c>
      <c r="V266" s="135">
        <v>46212</v>
      </c>
      <c r="W266" s="133">
        <v>15854839</v>
      </c>
      <c r="X266" s="133">
        <v>0</v>
      </c>
      <c r="Y266" s="133" t="s">
        <v>32</v>
      </c>
      <c r="Z266" s="133">
        <v>0</v>
      </c>
      <c r="AF266" s="133">
        <v>0</v>
      </c>
      <c r="AG266" s="133" t="s">
        <v>178</v>
      </c>
      <c r="AI266" s="133">
        <v>0</v>
      </c>
    </row>
    <row r="267" spans="1:35" x14ac:dyDescent="0.2">
      <c r="A267" s="139">
        <f>Table1[[#This Row],[Qual a Numeração da Nota Fiscal com divergência ?]]</f>
        <v>1585860</v>
      </c>
      <c r="B267" s="146" t="s">
        <v>33</v>
      </c>
      <c r="C267" s="147" t="s">
        <v>111</v>
      </c>
      <c r="D267" s="147" t="s">
        <v>37</v>
      </c>
      <c r="E267" s="148">
        <f>WEEKNUM(Table1[[#This Row],[Dt da abertura]],1)</f>
        <v>28</v>
      </c>
      <c r="F267" s="147">
        <v>46212</v>
      </c>
      <c r="G267" s="147">
        <v>46211</v>
      </c>
      <c r="H267" s="147">
        <v>46216</v>
      </c>
      <c r="I267" s="147"/>
      <c r="J267" s="147"/>
      <c r="K267" s="149" t="s">
        <v>114</v>
      </c>
      <c r="L267" s="149" t="s">
        <v>11</v>
      </c>
      <c r="M267" s="149" t="str">
        <f>VLOOKUP(U267,Hierarquia!A:K,6,0)</f>
        <v>FADEL</v>
      </c>
      <c r="N267" s="149"/>
      <c r="O267" s="149" t="s">
        <v>115</v>
      </c>
      <c r="P267" s="133">
        <v>640</v>
      </c>
      <c r="Q267" s="135">
        <v>46212</v>
      </c>
      <c r="R267" s="133" t="s">
        <v>116</v>
      </c>
      <c r="S267" s="135" t="s">
        <v>133</v>
      </c>
      <c r="T267" s="133" t="s">
        <v>26</v>
      </c>
      <c r="U267" s="133" t="s">
        <v>349</v>
      </c>
      <c r="V267" s="135">
        <v>46212</v>
      </c>
      <c r="W267" s="133">
        <v>1585860</v>
      </c>
      <c r="X267" s="133">
        <v>6877906048</v>
      </c>
      <c r="Y267" s="133" t="s">
        <v>35</v>
      </c>
      <c r="Z267" s="133" t="s">
        <v>577</v>
      </c>
      <c r="AF267" s="133">
        <v>10807641</v>
      </c>
      <c r="AG267" s="133" t="s">
        <v>131</v>
      </c>
    </row>
    <row r="268" spans="1:35" hidden="1" x14ac:dyDescent="0.2">
      <c r="A268" s="139">
        <f>Table1[[#This Row],[Qual a Numeração da Nota Fiscal com divergência ?]]</f>
        <v>1585480</v>
      </c>
      <c r="B268" s="146" t="s">
        <v>30</v>
      </c>
      <c r="C268" s="147" t="s">
        <v>111</v>
      </c>
      <c r="D268" s="147" t="s">
        <v>37</v>
      </c>
      <c r="E268" s="148">
        <f>WEEKNUM(Table1[[#This Row],[Dt da abertura]],1)</f>
        <v>28</v>
      </c>
      <c r="F268" s="147">
        <v>46212</v>
      </c>
      <c r="G268" s="147">
        <v>46212</v>
      </c>
      <c r="H268" s="147">
        <v>46224</v>
      </c>
      <c r="I268" s="147"/>
      <c r="J268" s="147"/>
      <c r="K268" s="149" t="s">
        <v>114</v>
      </c>
      <c r="L268" s="149" t="s">
        <v>11</v>
      </c>
      <c r="M268" s="149" t="str">
        <f>VLOOKUP(U268,Hierarquia!A:K,6,0)</f>
        <v>BAT</v>
      </c>
      <c r="N268" s="149"/>
      <c r="O268" s="149" t="s">
        <v>115</v>
      </c>
      <c r="P268" s="133">
        <v>641</v>
      </c>
      <c r="Q268" s="135">
        <v>46212</v>
      </c>
      <c r="R268" s="133" t="s">
        <v>116</v>
      </c>
      <c r="S268" s="135" t="s">
        <v>128</v>
      </c>
      <c r="T268" s="133" t="s">
        <v>28</v>
      </c>
      <c r="U268" s="133" t="s">
        <v>129</v>
      </c>
      <c r="V268" s="135">
        <v>46212</v>
      </c>
      <c r="W268" s="133">
        <v>1585480</v>
      </c>
      <c r="X268" s="133">
        <v>6878079723</v>
      </c>
      <c r="Y268" s="133" t="s">
        <v>35</v>
      </c>
      <c r="Z268" s="133" t="s">
        <v>578</v>
      </c>
      <c r="AF268" s="133">
        <v>0</v>
      </c>
      <c r="AG268" s="133" t="s">
        <v>126</v>
      </c>
      <c r="AI268" s="133" t="s">
        <v>579</v>
      </c>
    </row>
    <row r="269" spans="1:35" hidden="1" x14ac:dyDescent="0.2">
      <c r="A269" s="139">
        <f>Table1[[#This Row],[Qual a Numeração da Nota Fiscal com divergência ?]]</f>
        <v>1584799</v>
      </c>
      <c r="B269" s="146" t="s">
        <v>33</v>
      </c>
      <c r="C269" s="147" t="s">
        <v>111</v>
      </c>
      <c r="D269" s="147" t="s">
        <v>37</v>
      </c>
      <c r="E269" s="148">
        <f>WEEKNUM(Table1[[#This Row],[Dt da abertura]],1)</f>
        <v>28</v>
      </c>
      <c r="F269" s="147">
        <v>46212</v>
      </c>
      <c r="G269" s="147">
        <v>46211</v>
      </c>
      <c r="H269" s="147">
        <v>46216</v>
      </c>
      <c r="I269" s="147"/>
      <c r="J269" s="147"/>
      <c r="K269" s="149" t="s">
        <v>114</v>
      </c>
      <c r="L269" s="149" t="s">
        <v>11</v>
      </c>
      <c r="M269" s="149" t="str">
        <f>VLOOKUP(U269,Hierarquia!A:K,6,0)</f>
        <v>BAT</v>
      </c>
      <c r="N269" s="149"/>
      <c r="O269" s="149" t="s">
        <v>115</v>
      </c>
      <c r="P269" s="133">
        <v>642</v>
      </c>
      <c r="Q269" s="135">
        <v>46212</v>
      </c>
      <c r="R269" s="133" t="s">
        <v>116</v>
      </c>
      <c r="S269" s="135" t="s">
        <v>128</v>
      </c>
      <c r="T269" s="133" t="s">
        <v>28</v>
      </c>
      <c r="U269" s="133" t="s">
        <v>129</v>
      </c>
      <c r="V269" s="135">
        <v>46212</v>
      </c>
      <c r="W269" s="133">
        <v>1584799</v>
      </c>
      <c r="X269" s="133">
        <v>6878033449</v>
      </c>
      <c r="Y269" s="133" t="s">
        <v>35</v>
      </c>
      <c r="Z269" s="133" t="s">
        <v>580</v>
      </c>
      <c r="AF269" s="133">
        <v>0</v>
      </c>
      <c r="AG269" s="133" t="s">
        <v>131</v>
      </c>
      <c r="AI269" s="133" t="s">
        <v>581</v>
      </c>
    </row>
    <row r="270" spans="1:35" hidden="1" x14ac:dyDescent="0.2">
      <c r="A270" s="139">
        <f>Table1[[#This Row],[Qual a Numeração da Nota Fiscal com divergência ?]]</f>
        <v>1584248</v>
      </c>
      <c r="B270" s="146" t="s">
        <v>30</v>
      </c>
      <c r="C270" s="147" t="s">
        <v>111</v>
      </c>
      <c r="D270" s="147" t="s">
        <v>37</v>
      </c>
      <c r="E270" s="148">
        <f>WEEKNUM(Table1[[#This Row],[Dt da abertura]],1)</f>
        <v>28</v>
      </c>
      <c r="F270" s="147">
        <v>46219</v>
      </c>
      <c r="G270" s="147">
        <v>46213</v>
      </c>
      <c r="H270" s="147">
        <v>46224</v>
      </c>
      <c r="I270" s="147">
        <v>46224</v>
      </c>
      <c r="J270" s="147"/>
      <c r="K270" s="149" t="s">
        <v>114</v>
      </c>
      <c r="L270" s="149" t="s">
        <v>11</v>
      </c>
      <c r="M270" s="149" t="str">
        <f>VLOOKUP(U270,Hierarquia!A:K,6,0)</f>
        <v>BAT</v>
      </c>
      <c r="N270" s="149"/>
      <c r="O270" s="149" t="s">
        <v>115</v>
      </c>
      <c r="P270" s="133">
        <v>643</v>
      </c>
      <c r="Q270" s="135">
        <v>46213.442361111112</v>
      </c>
      <c r="R270" s="133" t="s">
        <v>116</v>
      </c>
      <c r="S270" s="133" t="s">
        <v>254</v>
      </c>
      <c r="T270" s="133" t="s">
        <v>28</v>
      </c>
      <c r="U270" s="133" t="s">
        <v>255</v>
      </c>
      <c r="V270" s="135">
        <v>46210</v>
      </c>
      <c r="W270" s="133">
        <v>1584248</v>
      </c>
      <c r="X270" s="133">
        <v>6877957441</v>
      </c>
      <c r="Y270" s="133" t="s">
        <v>35</v>
      </c>
      <c r="Z270" s="175" t="s">
        <v>582</v>
      </c>
      <c r="AF270" s="133" t="s">
        <v>256</v>
      </c>
      <c r="AG270" s="133" t="s">
        <v>131</v>
      </c>
    </row>
    <row r="271" spans="1:35" x14ac:dyDescent="0.2">
      <c r="A271" s="139">
        <f>Table1[[#This Row],[Qual a Numeração da Nota Fiscal com divergência ?]]</f>
        <v>1586557</v>
      </c>
      <c r="B271" s="146" t="s">
        <v>33</v>
      </c>
      <c r="C271" s="147" t="s">
        <v>111</v>
      </c>
      <c r="D271" s="147" t="s">
        <v>37</v>
      </c>
      <c r="E271" s="148">
        <f>WEEKNUM(Table1[[#This Row],[Dt da abertura]],1)</f>
        <v>29</v>
      </c>
      <c r="F271" s="147">
        <v>46219</v>
      </c>
      <c r="G271" s="147">
        <v>46216</v>
      </c>
      <c r="H271" s="147">
        <v>46220</v>
      </c>
      <c r="I271" s="147"/>
      <c r="J271" s="147"/>
      <c r="K271" s="149" t="s">
        <v>114</v>
      </c>
      <c r="L271" s="149" t="s">
        <v>11</v>
      </c>
      <c r="M271" s="149" t="str">
        <f>VLOOKUP(U271,Hierarquia!A:K,6,0)</f>
        <v>FADEL</v>
      </c>
      <c r="N271" s="149"/>
      <c r="O271" s="149" t="s">
        <v>115</v>
      </c>
      <c r="P271" s="133">
        <v>644</v>
      </c>
      <c r="Q271" s="135">
        <v>46216.412546296298</v>
      </c>
      <c r="R271" s="133" t="s">
        <v>116</v>
      </c>
      <c r="S271" s="133" t="s">
        <v>133</v>
      </c>
      <c r="T271" s="133" t="s">
        <v>26</v>
      </c>
      <c r="U271" s="133" t="s">
        <v>547</v>
      </c>
      <c r="V271" s="135">
        <v>46213</v>
      </c>
      <c r="W271" s="133">
        <v>1586557</v>
      </c>
      <c r="X271" s="133">
        <v>6877940727</v>
      </c>
      <c r="Y271" s="133" t="s">
        <v>34</v>
      </c>
      <c r="Z271" s="133" t="s">
        <v>583</v>
      </c>
      <c r="AF271" s="133" t="s">
        <v>223</v>
      </c>
      <c r="AG271" s="133" t="s">
        <v>121</v>
      </c>
    </row>
    <row r="272" spans="1:35" hidden="1" x14ac:dyDescent="0.2">
      <c r="A272" s="139">
        <f>Table1[[#This Row],[Qual a Numeração da Nota Fiscal com divergência ?]]</f>
        <v>1586268</v>
      </c>
      <c r="B272" s="146" t="s">
        <v>33</v>
      </c>
      <c r="C272" s="147" t="s">
        <v>111</v>
      </c>
      <c r="D272" s="147" t="s">
        <v>37</v>
      </c>
      <c r="E272" s="148">
        <f>WEEKNUM(Table1[[#This Row],[Dt da abertura]],1)</f>
        <v>29</v>
      </c>
      <c r="F272" s="147">
        <v>46219</v>
      </c>
      <c r="G272" s="147">
        <v>46217</v>
      </c>
      <c r="H272" s="147">
        <v>46220</v>
      </c>
      <c r="I272" s="147"/>
      <c r="J272" s="147"/>
      <c r="K272" s="149" t="s">
        <v>114</v>
      </c>
      <c r="L272" s="149" t="s">
        <v>11</v>
      </c>
      <c r="M272" s="149" t="str">
        <f>VLOOKUP(U272,Hierarquia!A:K,6,0)</f>
        <v>BAT</v>
      </c>
      <c r="N272" s="149"/>
      <c r="O272" s="149" t="s">
        <v>115</v>
      </c>
      <c r="P272" s="133">
        <v>645</v>
      </c>
      <c r="Q272" s="135">
        <v>46217.507488425923</v>
      </c>
      <c r="R272" s="133" t="s">
        <v>116</v>
      </c>
      <c r="S272" s="133" t="s">
        <v>156</v>
      </c>
      <c r="T272" s="133" t="s">
        <v>28</v>
      </c>
      <c r="U272" s="133" t="s">
        <v>157</v>
      </c>
      <c r="V272" s="135">
        <v>46219</v>
      </c>
      <c r="W272" s="133">
        <v>1586268</v>
      </c>
      <c r="X272" s="133">
        <v>6878104832</v>
      </c>
      <c r="Y272" s="133" t="s">
        <v>34</v>
      </c>
      <c r="Z272" s="133" t="s">
        <v>584</v>
      </c>
      <c r="AF272" s="133">
        <v>10827563</v>
      </c>
      <c r="AG272" s="133" t="s">
        <v>131</v>
      </c>
    </row>
    <row r="273" spans="1:33" hidden="1" x14ac:dyDescent="0.2">
      <c r="A273" s="139">
        <f>Table1[[#This Row],[Qual a Numeração da Nota Fiscal com divergência ?]]</f>
        <v>1586870</v>
      </c>
      <c r="B273" s="146" t="s">
        <v>33</v>
      </c>
      <c r="C273" s="147" t="s">
        <v>111</v>
      </c>
      <c r="D273" s="147" t="s">
        <v>37</v>
      </c>
      <c r="E273" s="148">
        <f>WEEKNUM(Table1[[#This Row],[Dt da abertura]],1)</f>
        <v>29</v>
      </c>
      <c r="F273" s="147">
        <v>46219</v>
      </c>
      <c r="G273" s="147">
        <v>46217</v>
      </c>
      <c r="H273" s="147">
        <v>46220</v>
      </c>
      <c r="I273" s="147">
        <v>46220</v>
      </c>
      <c r="J273" s="147"/>
      <c r="K273" s="149" t="s">
        <v>114</v>
      </c>
      <c r="L273" s="149" t="s">
        <v>11</v>
      </c>
      <c r="M273" s="149" t="str">
        <f>VLOOKUP(U273,Hierarquia!A:K,6,0)</f>
        <v>BAT</v>
      </c>
      <c r="N273" s="149"/>
      <c r="O273" s="149" t="s">
        <v>115</v>
      </c>
      <c r="P273" s="133">
        <v>646</v>
      </c>
      <c r="Q273" s="135">
        <v>46217.525625000002</v>
      </c>
      <c r="R273" s="133" t="s">
        <v>116</v>
      </c>
      <c r="S273" s="133" t="s">
        <v>585</v>
      </c>
      <c r="T273" s="133" t="s">
        <v>28</v>
      </c>
      <c r="U273" s="133" t="s">
        <v>586</v>
      </c>
      <c r="V273" s="135">
        <v>46217</v>
      </c>
      <c r="W273" s="133">
        <v>1586870</v>
      </c>
      <c r="X273" s="133">
        <v>6878135166</v>
      </c>
      <c r="Y273" s="133" t="s">
        <v>35</v>
      </c>
      <c r="Z273" s="133" t="s">
        <v>587</v>
      </c>
      <c r="AF273" s="133" t="s">
        <v>588</v>
      </c>
      <c r="AG273" s="133" t="s">
        <v>131</v>
      </c>
    </row>
    <row r="274" spans="1:33" hidden="1" x14ac:dyDescent="0.2">
      <c r="A274" s="139">
        <f>Table1[[#This Row],[Qual a Numeração da Nota Fiscal com divergência ?]]</f>
        <v>1586870</v>
      </c>
      <c r="B274" s="146" t="s">
        <v>33</v>
      </c>
      <c r="C274" s="147" t="s">
        <v>111</v>
      </c>
      <c r="D274" s="147" t="s">
        <v>37</v>
      </c>
      <c r="E274" s="148">
        <f>WEEKNUM(Table1[[#This Row],[Dt da abertura]],1)</f>
        <v>29</v>
      </c>
      <c r="F274" s="147">
        <v>46219</v>
      </c>
      <c r="G274" s="147">
        <v>46217</v>
      </c>
      <c r="H274" s="147">
        <v>46220</v>
      </c>
      <c r="I274" s="147">
        <v>46220</v>
      </c>
      <c r="J274" s="147"/>
      <c r="K274" s="149" t="s">
        <v>114</v>
      </c>
      <c r="L274" s="149" t="s">
        <v>11</v>
      </c>
      <c r="M274" s="149" t="str">
        <f>VLOOKUP(U274,Hierarquia!A:K,6,0)</f>
        <v>BAT</v>
      </c>
      <c r="N274" s="149"/>
      <c r="O274" s="149" t="s">
        <v>115</v>
      </c>
      <c r="P274" s="133">
        <v>647</v>
      </c>
      <c r="Q274" s="135">
        <v>46217.530671296299</v>
      </c>
      <c r="R274" s="133" t="s">
        <v>116</v>
      </c>
      <c r="S274" s="133" t="s">
        <v>585</v>
      </c>
      <c r="T274" s="133" t="s">
        <v>28</v>
      </c>
      <c r="U274" s="133" t="s">
        <v>586</v>
      </c>
      <c r="V274" s="135">
        <v>46217</v>
      </c>
      <c r="W274" s="133">
        <v>1586870</v>
      </c>
      <c r="X274" s="133">
        <v>6878135166</v>
      </c>
      <c r="Y274" s="133" t="s">
        <v>36</v>
      </c>
      <c r="Z274" s="133" t="s">
        <v>589</v>
      </c>
      <c r="AF274" s="133" t="s">
        <v>588</v>
      </c>
      <c r="AG274" s="133" t="s">
        <v>131</v>
      </c>
    </row>
    <row r="275" spans="1:33" hidden="1" x14ac:dyDescent="0.2">
      <c r="A275" s="139">
        <f>Table1[[#This Row],[Qual a Numeração da Nota Fiscal com divergência ?]]</f>
        <v>1586676</v>
      </c>
      <c r="B275" s="146" t="s">
        <v>33</v>
      </c>
      <c r="C275" s="147" t="s">
        <v>111</v>
      </c>
      <c r="D275" s="147" t="s">
        <v>37</v>
      </c>
      <c r="E275" s="148">
        <f>WEEKNUM(Table1[[#This Row],[Dt da abertura]],1)</f>
        <v>29</v>
      </c>
      <c r="F275" s="147">
        <v>46219</v>
      </c>
      <c r="G275" s="147">
        <v>46217</v>
      </c>
      <c r="H275" s="147">
        <v>46223</v>
      </c>
      <c r="I275" s="147">
        <v>46226</v>
      </c>
      <c r="J275" s="147"/>
      <c r="K275" s="149" t="s">
        <v>114</v>
      </c>
      <c r="L275" s="149" t="s">
        <v>11</v>
      </c>
      <c r="M275" s="149" t="str">
        <f>VLOOKUP(U275,Hierarquia!A:K,6,0)</f>
        <v>BAT</v>
      </c>
      <c r="N275" s="149"/>
      <c r="O275" s="149" t="s">
        <v>115</v>
      </c>
      <c r="P275" s="133">
        <v>648</v>
      </c>
      <c r="Q275" s="135">
        <v>46217.554398148146</v>
      </c>
      <c r="R275" s="133" t="s">
        <v>116</v>
      </c>
      <c r="S275" s="133" t="s">
        <v>413</v>
      </c>
      <c r="T275" s="133" t="s">
        <v>28</v>
      </c>
      <c r="U275" s="133" t="s">
        <v>414</v>
      </c>
      <c r="V275" s="135">
        <v>46217</v>
      </c>
      <c r="W275" s="133">
        <v>1586676</v>
      </c>
      <c r="X275" s="133">
        <v>6878127081</v>
      </c>
      <c r="Y275" s="133" t="s">
        <v>35</v>
      </c>
      <c r="Z275" s="133" t="s">
        <v>590</v>
      </c>
      <c r="AF275" s="133" t="s">
        <v>452</v>
      </c>
      <c r="AG275" s="133" t="s">
        <v>126</v>
      </c>
    </row>
    <row r="276" spans="1:33" x14ac:dyDescent="0.2">
      <c r="A276" s="139">
        <f>Table1[[#This Row],[Qual a Numeração da Nota Fiscal com divergência ?]]</f>
        <v>1587858</v>
      </c>
      <c r="B276" s="146" t="s">
        <v>33</v>
      </c>
      <c r="C276" s="147" t="s">
        <v>111</v>
      </c>
      <c r="D276" s="147" t="s">
        <v>37</v>
      </c>
      <c r="E276" s="148">
        <f>WEEKNUM(Table1[[#This Row],[Dt da abertura]],1)</f>
        <v>29</v>
      </c>
      <c r="F276" s="147">
        <v>46219</v>
      </c>
      <c r="G276" s="147">
        <v>46219</v>
      </c>
      <c r="H276" s="147">
        <v>46220</v>
      </c>
      <c r="I276" s="147">
        <v>46220</v>
      </c>
      <c r="J276" s="147"/>
      <c r="K276" s="149" t="s">
        <v>114</v>
      </c>
      <c r="L276" s="149" t="s">
        <v>11</v>
      </c>
      <c r="M276" s="149" t="str">
        <f>VLOOKUP(U276,Hierarquia!A:K,6,0)</f>
        <v>FADEL</v>
      </c>
      <c r="N276" s="149"/>
      <c r="O276" s="149" t="s">
        <v>115</v>
      </c>
      <c r="P276" s="133">
        <v>649</v>
      </c>
      <c r="Q276" s="135">
        <v>46219.342326388891</v>
      </c>
      <c r="R276" s="133" t="s">
        <v>116</v>
      </c>
      <c r="S276" s="133" t="s">
        <v>133</v>
      </c>
      <c r="T276" s="133" t="s">
        <v>26</v>
      </c>
      <c r="U276" s="133" t="s">
        <v>152</v>
      </c>
      <c r="V276" s="135">
        <v>46218</v>
      </c>
      <c r="W276" s="133">
        <v>1587858</v>
      </c>
      <c r="X276" s="133">
        <v>6878185016</v>
      </c>
      <c r="Y276" s="133" t="s">
        <v>35</v>
      </c>
      <c r="Z276" s="133" t="s">
        <v>591</v>
      </c>
      <c r="AF276" s="133" t="s">
        <v>223</v>
      </c>
      <c r="AG276" s="133" t="s">
        <v>131</v>
      </c>
    </row>
    <row r="277" spans="1:33" x14ac:dyDescent="0.2">
      <c r="A277" s="139">
        <f>Table1[[#This Row],[Qual a Numeração da Nota Fiscal com divergência ?]]</f>
        <v>1587663</v>
      </c>
      <c r="B277" s="146" t="s">
        <v>33</v>
      </c>
      <c r="C277" s="147" t="s">
        <v>111</v>
      </c>
      <c r="D277" s="147" t="s">
        <v>37</v>
      </c>
      <c r="E277" s="148">
        <f>WEEKNUM(Table1[[#This Row],[Dt da abertura]],1)</f>
        <v>29</v>
      </c>
      <c r="F277" s="147">
        <v>46219</v>
      </c>
      <c r="G277" s="147">
        <v>46219</v>
      </c>
      <c r="H277" s="147">
        <v>46220</v>
      </c>
      <c r="I277" s="147">
        <v>46220</v>
      </c>
      <c r="J277" s="147"/>
      <c r="K277" s="149" t="s">
        <v>114</v>
      </c>
      <c r="L277" s="149" t="s">
        <v>11</v>
      </c>
      <c r="M277" s="149" t="str">
        <f>VLOOKUP(U277,Hierarquia!A:K,6,0)</f>
        <v>FADEL</v>
      </c>
      <c r="N277" s="149"/>
      <c r="O277" s="149" t="s">
        <v>115</v>
      </c>
      <c r="P277" s="133">
        <v>650</v>
      </c>
      <c r="Q277" s="135">
        <v>46219.346319444441</v>
      </c>
      <c r="R277" s="133" t="s">
        <v>116</v>
      </c>
      <c r="S277" s="133" t="s">
        <v>133</v>
      </c>
      <c r="T277" s="133" t="s">
        <v>26</v>
      </c>
      <c r="U277" s="133" t="s">
        <v>303</v>
      </c>
      <c r="V277" s="135">
        <v>46218</v>
      </c>
      <c r="W277" s="133">
        <v>1587663</v>
      </c>
      <c r="X277" s="133">
        <v>6878183345</v>
      </c>
      <c r="Y277" s="133" t="s">
        <v>35</v>
      </c>
      <c r="Z277" s="133" t="s">
        <v>592</v>
      </c>
      <c r="AF277" s="133" t="s">
        <v>223</v>
      </c>
      <c r="AG277" s="133" t="s">
        <v>121</v>
      </c>
    </row>
    <row r="278" spans="1:33" x14ac:dyDescent="0.2">
      <c r="A278" s="139">
        <f>Table1[[#This Row],[Qual a Numeração da Nota Fiscal com divergência ?]]</f>
        <v>1587113</v>
      </c>
      <c r="B278" s="146" t="s">
        <v>30</v>
      </c>
      <c r="C278" s="147" t="s">
        <v>111</v>
      </c>
      <c r="D278" s="147" t="s">
        <v>37</v>
      </c>
      <c r="E278" s="148">
        <f>WEEKNUM(Table1[[#This Row],[Dt da abertura]],1)</f>
        <v>29</v>
      </c>
      <c r="F278" s="147">
        <v>46219</v>
      </c>
      <c r="G278" s="147">
        <v>46219</v>
      </c>
      <c r="H278" s="147">
        <v>46220</v>
      </c>
      <c r="I278" s="147">
        <v>46220</v>
      </c>
      <c r="J278" s="147"/>
      <c r="K278" s="149" t="s">
        <v>114</v>
      </c>
      <c r="L278" s="149" t="s">
        <v>11</v>
      </c>
      <c r="M278" s="149" t="str">
        <f>VLOOKUP(U278,Hierarquia!A:K,6,0)</f>
        <v>FADEL</v>
      </c>
      <c r="N278" s="149"/>
      <c r="O278" s="149" t="s">
        <v>115</v>
      </c>
      <c r="P278" s="133">
        <v>651</v>
      </c>
      <c r="Q278" s="135">
        <v>46219.35696759259</v>
      </c>
      <c r="R278" s="133" t="s">
        <v>116</v>
      </c>
      <c r="S278" s="133" t="s">
        <v>593</v>
      </c>
      <c r="T278" s="133" t="s">
        <v>26</v>
      </c>
      <c r="U278" s="133" t="s">
        <v>118</v>
      </c>
      <c r="V278" s="135">
        <v>46217</v>
      </c>
      <c r="W278" s="133">
        <v>1587113</v>
      </c>
      <c r="X278" s="133">
        <v>6878126749</v>
      </c>
      <c r="Y278" s="133" t="s">
        <v>35</v>
      </c>
      <c r="Z278" s="133" t="s">
        <v>594</v>
      </c>
      <c r="AF278" s="133" t="s">
        <v>223</v>
      </c>
      <c r="AG278" s="133" t="s">
        <v>131</v>
      </c>
    </row>
    <row r="279" spans="1:33" x14ac:dyDescent="0.2">
      <c r="A279" s="139">
        <f>Table1[[#This Row],[Qual a Numeração da Nota Fiscal com divergência ?]]</f>
        <v>1588221</v>
      </c>
      <c r="B279" s="146" t="s">
        <v>33</v>
      </c>
      <c r="C279" s="147" t="s">
        <v>111</v>
      </c>
      <c r="D279" s="147" t="s">
        <v>37</v>
      </c>
      <c r="E279" s="148">
        <f>WEEKNUM(Table1[[#This Row],[Dt da abertura]],1)</f>
        <v>29</v>
      </c>
      <c r="F279" s="147">
        <v>46223</v>
      </c>
      <c r="G279" s="147">
        <v>46219</v>
      </c>
      <c r="H279" s="147">
        <v>46224</v>
      </c>
      <c r="I279" s="147"/>
      <c r="J279" s="147"/>
      <c r="K279" s="149" t="s">
        <v>114</v>
      </c>
      <c r="L279" s="149" t="s">
        <v>11</v>
      </c>
      <c r="M279" s="149" t="str">
        <f>VLOOKUP(U279,Hierarquia!A:K,6,0)</f>
        <v>FADEL</v>
      </c>
      <c r="N279" s="149"/>
      <c r="O279" s="149" t="s">
        <v>115</v>
      </c>
      <c r="P279" s="133">
        <v>653</v>
      </c>
      <c r="Q279" s="135">
        <v>46219.452650462961</v>
      </c>
      <c r="R279" s="133" t="s">
        <v>116</v>
      </c>
      <c r="S279" s="133" t="s">
        <v>133</v>
      </c>
      <c r="T279" s="133" t="s">
        <v>26</v>
      </c>
      <c r="U279" s="133" t="s">
        <v>349</v>
      </c>
      <c r="V279" s="135">
        <v>46219</v>
      </c>
      <c r="W279" s="133">
        <v>1588221</v>
      </c>
      <c r="X279" s="133">
        <v>6878196837</v>
      </c>
      <c r="Y279" s="133" t="s">
        <v>35</v>
      </c>
      <c r="Z279" s="133" t="s">
        <v>595</v>
      </c>
      <c r="AF279" s="133" t="s">
        <v>223</v>
      </c>
      <c r="AG279" s="133" t="s">
        <v>131</v>
      </c>
    </row>
    <row r="280" spans="1:33" s="157" customFormat="1" ht="15.75" hidden="1" x14ac:dyDescent="0.25">
      <c r="A280" s="177">
        <f>Table1[[#This Row],[Qual a Numeração da Nota Fiscal com divergência ?]]</f>
        <v>1587571</v>
      </c>
      <c r="B280" s="178" t="s">
        <v>30</v>
      </c>
      <c r="C280" s="179" t="s">
        <v>111</v>
      </c>
      <c r="D280" s="179" t="s">
        <v>37</v>
      </c>
      <c r="E280" s="180">
        <f>WEEKNUM(Table1[[#This Row],[Dt da abertura]],1)</f>
        <v>29</v>
      </c>
      <c r="F280" s="179">
        <v>46223</v>
      </c>
      <c r="G280" s="179">
        <v>46219</v>
      </c>
      <c r="H280" s="179">
        <v>46225</v>
      </c>
      <c r="I280" s="179">
        <v>46226</v>
      </c>
      <c r="J280" s="179"/>
      <c r="K280" s="178" t="s">
        <v>114</v>
      </c>
      <c r="L280" s="178" t="s">
        <v>11</v>
      </c>
      <c r="M280" s="178" t="str">
        <f>VLOOKUP(U280,Hierarquia!A:K,6,0)</f>
        <v>BAT</v>
      </c>
      <c r="N280" s="178"/>
      <c r="O280" s="178" t="s">
        <v>115</v>
      </c>
      <c r="P280" s="157">
        <v>654</v>
      </c>
      <c r="Q280" s="181">
        <v>46219.752997685187</v>
      </c>
      <c r="R280" s="157" t="s">
        <v>116</v>
      </c>
      <c r="S280" s="157" t="s">
        <v>307</v>
      </c>
      <c r="T280" s="157" t="s">
        <v>28</v>
      </c>
      <c r="U280" s="157" t="s">
        <v>231</v>
      </c>
      <c r="V280" s="181">
        <v>46219</v>
      </c>
      <c r="W280" s="157">
        <v>1587571</v>
      </c>
      <c r="X280" s="157">
        <v>6878158775</v>
      </c>
      <c r="Y280" s="157" t="s">
        <v>35</v>
      </c>
      <c r="Z280" s="182" t="s">
        <v>596</v>
      </c>
      <c r="AF280" s="157" t="s">
        <v>309</v>
      </c>
      <c r="AG280" s="157" t="s">
        <v>131</v>
      </c>
    </row>
    <row r="281" spans="1:33" hidden="1" x14ac:dyDescent="0.2">
      <c r="A281" s="139">
        <f>Table1[[#This Row],[Qual a Numeração da Nota Fiscal com divergência ?]]</f>
        <v>1584248</v>
      </c>
      <c r="B281" s="146" t="s">
        <v>33</v>
      </c>
      <c r="C281" s="147" t="s">
        <v>111</v>
      </c>
      <c r="D281" s="147" t="s">
        <v>37</v>
      </c>
      <c r="E281" s="148">
        <f>WEEKNUM(Table1[[#This Row],[Dt da abertura]],1)</f>
        <v>29</v>
      </c>
      <c r="F281" s="147">
        <v>46223</v>
      </c>
      <c r="G281" s="147">
        <v>46220</v>
      </c>
      <c r="H281" s="147">
        <v>46224</v>
      </c>
      <c r="I281" s="147">
        <v>46224</v>
      </c>
      <c r="J281" s="147"/>
      <c r="K281" s="149" t="s">
        <v>114</v>
      </c>
      <c r="L281" s="149" t="s">
        <v>11</v>
      </c>
      <c r="M281" s="149" t="str">
        <f>VLOOKUP(U281,Hierarquia!A:K,6,0)</f>
        <v>BAT</v>
      </c>
      <c r="N281" s="149"/>
      <c r="O281" s="149" t="s">
        <v>115</v>
      </c>
      <c r="P281" s="133">
        <v>655</v>
      </c>
      <c r="Q281" s="135">
        <v>46220.663425925923</v>
      </c>
      <c r="R281" s="133" t="s">
        <v>116</v>
      </c>
      <c r="S281" s="133" t="s">
        <v>254</v>
      </c>
      <c r="T281" s="133" t="s">
        <v>28</v>
      </c>
      <c r="U281" s="133" t="s">
        <v>255</v>
      </c>
      <c r="V281" s="135">
        <v>46210</v>
      </c>
      <c r="W281" s="133">
        <v>1584248</v>
      </c>
      <c r="X281" s="133">
        <v>6877957441</v>
      </c>
      <c r="Y281" s="133" t="s">
        <v>35</v>
      </c>
      <c r="Z281" s="133" t="s">
        <v>597</v>
      </c>
      <c r="AF281" s="133" t="s">
        <v>256</v>
      </c>
      <c r="AG281" s="133" t="s">
        <v>131</v>
      </c>
    </row>
    <row r="282" spans="1:33" x14ac:dyDescent="0.2">
      <c r="A282" s="139">
        <f>Table1[[#This Row],[Qual a Numeração da Nota Fiscal com divergência ?]]</f>
        <v>1588645</v>
      </c>
      <c r="B282" s="146" t="s">
        <v>33</v>
      </c>
      <c r="C282" s="147" t="s">
        <v>111</v>
      </c>
      <c r="D282" s="147" t="s">
        <v>37</v>
      </c>
      <c r="E282" s="148">
        <f>WEEKNUM(Table1[[#This Row],[Dt da abertura]],1)</f>
        <v>29</v>
      </c>
      <c r="F282" s="147">
        <v>46223</v>
      </c>
      <c r="G282" s="147">
        <v>46220</v>
      </c>
      <c r="H282" s="147">
        <v>46224</v>
      </c>
      <c r="I282" s="147"/>
      <c r="J282" s="147"/>
      <c r="K282" s="149" t="s">
        <v>114</v>
      </c>
      <c r="L282" s="149" t="s">
        <v>11</v>
      </c>
      <c r="M282" s="149" t="str">
        <f>VLOOKUP(U282,Hierarquia!A:K,6,0)</f>
        <v>FADEL</v>
      </c>
      <c r="N282" s="149"/>
      <c r="O282" s="149" t="s">
        <v>115</v>
      </c>
      <c r="P282" s="133">
        <v>656</v>
      </c>
      <c r="Q282" s="135">
        <v>46220.663657407407</v>
      </c>
      <c r="R282" s="133" t="s">
        <v>116</v>
      </c>
      <c r="S282" s="133" t="s">
        <v>133</v>
      </c>
      <c r="T282" s="133" t="s">
        <v>26</v>
      </c>
      <c r="U282" s="133" t="s">
        <v>185</v>
      </c>
      <c r="V282" s="135">
        <v>46220</v>
      </c>
      <c r="W282" s="133">
        <v>1588645</v>
      </c>
      <c r="X282" s="133">
        <v>6878205787</v>
      </c>
      <c r="Y282" s="133" t="s">
        <v>34</v>
      </c>
      <c r="Z282" s="133" t="s">
        <v>598</v>
      </c>
      <c r="AF282" s="133" t="s">
        <v>336</v>
      </c>
      <c r="AG282" s="133" t="s">
        <v>121</v>
      </c>
    </row>
    <row r="283" spans="1:33" hidden="1" x14ac:dyDescent="0.2">
      <c r="A283" s="139">
        <f>Table1[[#This Row],[Qual a Numeração da Nota Fiscal com divergência ?]]</f>
        <v>1587418</v>
      </c>
      <c r="B283" s="146" t="s">
        <v>30</v>
      </c>
      <c r="C283" s="147" t="s">
        <v>111</v>
      </c>
      <c r="D283" s="147" t="s">
        <v>37</v>
      </c>
      <c r="E283" s="148">
        <f>WEEKNUM(Table1[[#This Row],[Dt da abertura]],1)</f>
        <v>30</v>
      </c>
      <c r="F283" s="147">
        <v>46223</v>
      </c>
      <c r="G283" s="147">
        <v>46223</v>
      </c>
      <c r="H283" s="147">
        <v>46224</v>
      </c>
      <c r="I283" s="147"/>
      <c r="J283" s="147"/>
      <c r="K283" s="149" t="s">
        <v>114</v>
      </c>
      <c r="L283" s="149" t="s">
        <v>11</v>
      </c>
      <c r="M283" s="149" t="str">
        <f>VLOOKUP(U283,Hierarquia!A:K,6,0)</f>
        <v>BAT</v>
      </c>
      <c r="N283" s="149"/>
      <c r="O283" s="149" t="s">
        <v>115</v>
      </c>
      <c r="P283" s="133">
        <v>657</v>
      </c>
      <c r="Q283" s="135">
        <v>46223.517476851855</v>
      </c>
      <c r="R283" s="133" t="s">
        <v>116</v>
      </c>
      <c r="S283" s="133" t="s">
        <v>408</v>
      </c>
      <c r="T283" s="133" t="s">
        <v>28</v>
      </c>
      <c r="U283" s="133" t="s">
        <v>409</v>
      </c>
      <c r="V283" s="135">
        <v>46223</v>
      </c>
      <c r="W283" s="133">
        <v>1587418</v>
      </c>
      <c r="X283" s="133">
        <v>6878038651</v>
      </c>
      <c r="Y283" s="133" t="s">
        <v>35</v>
      </c>
      <c r="Z283" s="133" t="s">
        <v>599</v>
      </c>
      <c r="AF283" s="133">
        <v>6878038651</v>
      </c>
      <c r="AG283" s="133" t="s">
        <v>131</v>
      </c>
    </row>
    <row r="284" spans="1:33" s="157" customFormat="1" hidden="1" x14ac:dyDescent="0.2">
      <c r="A284" s="177">
        <f>Table1[[#This Row],[Qual a Numeração da Nota Fiscal com divergência ?]]</f>
        <v>1586695</v>
      </c>
      <c r="B284" s="178" t="s">
        <v>30</v>
      </c>
      <c r="C284" s="179" t="s">
        <v>111</v>
      </c>
      <c r="D284" s="179" t="s">
        <v>37</v>
      </c>
      <c r="E284" s="180">
        <f>WEEKNUM(Table1[[#This Row],[Dt da abertura]],1)</f>
        <v>30</v>
      </c>
      <c r="F284" s="179">
        <v>46223</v>
      </c>
      <c r="G284" s="179">
        <v>46223</v>
      </c>
      <c r="H284" s="179">
        <v>46225</v>
      </c>
      <c r="I284" s="179">
        <v>46227</v>
      </c>
      <c r="J284" s="179"/>
      <c r="K284" s="178" t="s">
        <v>114</v>
      </c>
      <c r="L284" s="178" t="s">
        <v>11</v>
      </c>
      <c r="M284" s="178" t="str">
        <f>VLOOKUP(U284,Hierarquia!A:K,6,0)</f>
        <v>BAT</v>
      </c>
      <c r="N284" s="178"/>
      <c r="O284" s="178" t="s">
        <v>115</v>
      </c>
      <c r="P284" s="157">
        <v>658</v>
      </c>
      <c r="Q284" s="181">
        <v>46223.616643518515</v>
      </c>
      <c r="R284" s="157" t="s">
        <v>116</v>
      </c>
      <c r="S284" s="157" t="s">
        <v>408</v>
      </c>
      <c r="T284" s="157" t="s">
        <v>28</v>
      </c>
      <c r="U284" s="157" t="s">
        <v>409</v>
      </c>
      <c r="V284" s="181">
        <v>46220</v>
      </c>
      <c r="W284" s="157">
        <v>1586695</v>
      </c>
      <c r="X284" s="157">
        <v>6877837889</v>
      </c>
      <c r="Y284" s="157" t="s">
        <v>35</v>
      </c>
      <c r="Z284" s="157" t="s">
        <v>600</v>
      </c>
      <c r="AF284" s="157">
        <v>6877837889</v>
      </c>
      <c r="AG284" s="157" t="s">
        <v>178</v>
      </c>
    </row>
    <row r="285" spans="1:33" hidden="1" x14ac:dyDescent="0.2">
      <c r="A285" s="139">
        <f>Table1[[#This Row],[Qual a Numeração da Nota Fiscal com divergência ?]]</f>
        <v>1585429</v>
      </c>
      <c r="B285" s="146" t="s">
        <v>30</v>
      </c>
      <c r="C285" s="147" t="s">
        <v>111</v>
      </c>
      <c r="D285" s="147" t="s">
        <v>37</v>
      </c>
      <c r="E285" s="148">
        <f>WEEKNUM(Table1[[#This Row],[Dt da abertura]],1)</f>
        <v>30</v>
      </c>
      <c r="F285" s="147">
        <v>46223</v>
      </c>
      <c r="G285" s="147">
        <v>46223</v>
      </c>
      <c r="H285" s="147">
        <v>46225</v>
      </c>
      <c r="I285" s="147">
        <v>46226</v>
      </c>
      <c r="J285" s="147"/>
      <c r="K285" s="149" t="s">
        <v>114</v>
      </c>
      <c r="L285" s="149" t="s">
        <v>11</v>
      </c>
      <c r="M285" s="149" t="str">
        <f>VLOOKUP(U285,Hierarquia!A:K,6,0)</f>
        <v>BAT</v>
      </c>
      <c r="N285" s="149"/>
      <c r="O285" s="149" t="s">
        <v>115</v>
      </c>
      <c r="P285" s="133">
        <v>659</v>
      </c>
      <c r="Q285" s="135">
        <v>46223.618668981479</v>
      </c>
      <c r="R285" s="133" t="s">
        <v>116</v>
      </c>
      <c r="S285" s="133" t="s">
        <v>123</v>
      </c>
      <c r="T285" s="133" t="s">
        <v>28</v>
      </c>
      <c r="U285" s="133" t="s">
        <v>124</v>
      </c>
      <c r="V285" s="135">
        <v>46212</v>
      </c>
      <c r="W285" s="133">
        <v>1585429</v>
      </c>
      <c r="X285" s="133">
        <v>6878082251</v>
      </c>
      <c r="Y285" s="133" t="s">
        <v>32</v>
      </c>
      <c r="Z285" s="133" t="s">
        <v>601</v>
      </c>
      <c r="AF285" s="133">
        <v>0</v>
      </c>
      <c r="AG285" s="133" t="s">
        <v>126</v>
      </c>
    </row>
    <row r="286" spans="1:33" x14ac:dyDescent="0.2">
      <c r="A286" s="139">
        <f>Table1[[#This Row],[Qual a Numeração da Nota Fiscal com divergência ?]]</f>
        <v>1589194</v>
      </c>
      <c r="B286" s="146" t="s">
        <v>30</v>
      </c>
      <c r="C286" s="147" t="s">
        <v>111</v>
      </c>
      <c r="D286" s="147" t="s">
        <v>37</v>
      </c>
      <c r="E286" s="148">
        <f>WEEKNUM(Table1[[#This Row],[Dt da abertura]],1)</f>
        <v>30</v>
      </c>
      <c r="F286" s="147">
        <v>46223</v>
      </c>
      <c r="G286" s="147">
        <v>46223</v>
      </c>
      <c r="H286" s="147">
        <v>46224</v>
      </c>
      <c r="I286" s="147"/>
      <c r="J286" s="147"/>
      <c r="K286" s="149" t="s">
        <v>114</v>
      </c>
      <c r="L286" s="149" t="s">
        <v>11</v>
      </c>
      <c r="M286" s="149" t="str">
        <f>VLOOKUP(U286,Hierarquia!A:K,6,0)</f>
        <v>FADEL</v>
      </c>
      <c r="N286" s="149"/>
      <c r="O286" s="149" t="s">
        <v>115</v>
      </c>
      <c r="P286" s="133">
        <v>660</v>
      </c>
      <c r="Q286" s="135">
        <v>46223.618831018517</v>
      </c>
      <c r="R286" s="133" t="s">
        <v>116</v>
      </c>
      <c r="S286" s="133" t="s">
        <v>133</v>
      </c>
      <c r="T286" s="133" t="s">
        <v>26</v>
      </c>
      <c r="U286" s="133" t="s">
        <v>118</v>
      </c>
      <c r="V286" s="135">
        <v>46223</v>
      </c>
      <c r="W286" s="133">
        <v>1589194</v>
      </c>
      <c r="X286" s="133">
        <v>6878243192</v>
      </c>
      <c r="Y286" s="133" t="s">
        <v>35</v>
      </c>
      <c r="Z286" s="133" t="s">
        <v>602</v>
      </c>
      <c r="AF286" s="133" t="s">
        <v>223</v>
      </c>
      <c r="AG286" s="133" t="s">
        <v>121</v>
      </c>
    </row>
    <row r="287" spans="1:33" hidden="1" x14ac:dyDescent="0.2">
      <c r="A287" s="139">
        <f>Table1[[#This Row],[Qual a Numeração da Nota Fiscal com divergência ?]]</f>
        <v>1587417</v>
      </c>
      <c r="B287" s="146" t="s">
        <v>30</v>
      </c>
      <c r="C287" s="147" t="s">
        <v>111</v>
      </c>
      <c r="D287" s="147" t="s">
        <v>37</v>
      </c>
      <c r="E287" s="148">
        <f>WEEKNUM(Table1[[#This Row],[Dt da abertura]],1)</f>
        <v>30</v>
      </c>
      <c r="F287" s="147">
        <v>46223</v>
      </c>
      <c r="G287" s="147">
        <v>46223</v>
      </c>
      <c r="H287" s="147">
        <v>46225</v>
      </c>
      <c r="I287" s="147">
        <v>46226</v>
      </c>
      <c r="J287" s="147"/>
      <c r="K287" s="149" t="s">
        <v>114</v>
      </c>
      <c r="L287" s="149" t="s">
        <v>11</v>
      </c>
      <c r="M287" s="149" t="str">
        <f>VLOOKUP(U287,Hierarquia!A:K,6,0)</f>
        <v>BAT</v>
      </c>
      <c r="N287" s="149"/>
      <c r="O287" s="149" t="s">
        <v>115</v>
      </c>
      <c r="P287" s="133">
        <v>661</v>
      </c>
      <c r="Q287" s="135">
        <v>46223.648935185185</v>
      </c>
      <c r="R287" s="133" t="s">
        <v>116</v>
      </c>
      <c r="S287" s="133" t="s">
        <v>193</v>
      </c>
      <c r="T287" s="133" t="s">
        <v>28</v>
      </c>
      <c r="U287" s="133" t="s">
        <v>194</v>
      </c>
      <c r="V287" s="135">
        <v>46223</v>
      </c>
      <c r="W287" s="133">
        <v>1587417</v>
      </c>
      <c r="X287" s="133">
        <v>6878011203</v>
      </c>
      <c r="Y287" s="133" t="s">
        <v>35</v>
      </c>
      <c r="Z287" s="133" t="s">
        <v>603</v>
      </c>
      <c r="AF287" s="133" t="s">
        <v>604</v>
      </c>
      <c r="AG287" s="133" t="s">
        <v>178</v>
      </c>
    </row>
    <row r="288" spans="1:33" hidden="1" x14ac:dyDescent="0.2">
      <c r="A288" s="139">
        <f>Table1[[#This Row],[Qual a Numeração da Nota Fiscal com divergência ?]]</f>
        <v>1585987</v>
      </c>
      <c r="B288" s="146" t="s">
        <v>33</v>
      </c>
      <c r="C288" s="147" t="s">
        <v>111</v>
      </c>
      <c r="D288" s="147" t="s">
        <v>37</v>
      </c>
      <c r="E288" s="148">
        <f>WEEKNUM(Table1[[#This Row],[Dt da abertura]],1)</f>
        <v>30</v>
      </c>
      <c r="F288" s="147">
        <v>46223</v>
      </c>
      <c r="G288" s="147">
        <v>46223</v>
      </c>
      <c r="H288" s="147">
        <v>46225</v>
      </c>
      <c r="I288" s="147">
        <v>46230</v>
      </c>
      <c r="J288" s="147"/>
      <c r="K288" s="149" t="s">
        <v>114</v>
      </c>
      <c r="L288" s="149" t="s">
        <v>11</v>
      </c>
      <c r="M288" s="149" t="str">
        <f>VLOOKUP(U288,Hierarquia!A:K,6,0)</f>
        <v>BAT</v>
      </c>
      <c r="N288" s="149"/>
      <c r="O288" s="149" t="s">
        <v>115</v>
      </c>
      <c r="P288" s="133">
        <v>662</v>
      </c>
      <c r="Q288" s="135">
        <v>46223.650833333333</v>
      </c>
      <c r="R288" s="133" t="s">
        <v>116</v>
      </c>
      <c r="S288" s="133" t="s">
        <v>193</v>
      </c>
      <c r="T288" s="133" t="s">
        <v>28</v>
      </c>
      <c r="U288" s="133" t="s">
        <v>194</v>
      </c>
      <c r="V288" s="135">
        <v>46223</v>
      </c>
      <c r="W288" s="133">
        <v>1585987</v>
      </c>
      <c r="X288" s="133">
        <v>6878098297</v>
      </c>
      <c r="Y288" s="133" t="s">
        <v>35</v>
      </c>
      <c r="Z288" s="133" t="s">
        <v>605</v>
      </c>
      <c r="AF288" s="133" t="s">
        <v>196</v>
      </c>
      <c r="AG288" s="133" t="s">
        <v>131</v>
      </c>
    </row>
    <row r="289" spans="1:35" hidden="1" x14ac:dyDescent="0.2">
      <c r="A289" s="139">
        <f>Table1[[#This Row],[Qual a Numeração da Nota Fiscal com divergência ?]]</f>
        <v>1588844</v>
      </c>
      <c r="B289" s="146" t="s">
        <v>33</v>
      </c>
      <c r="C289" s="147" t="s">
        <v>111</v>
      </c>
      <c r="D289" s="147" t="s">
        <v>37</v>
      </c>
      <c r="E289" s="148">
        <f>WEEKNUM(Table1[[#This Row],[Dt da abertura]],1)</f>
        <v>30</v>
      </c>
      <c r="F289" s="147">
        <v>46224</v>
      </c>
      <c r="G289" s="147">
        <v>46224</v>
      </c>
      <c r="H289" s="147">
        <v>46226</v>
      </c>
      <c r="I289" s="147">
        <v>46230</v>
      </c>
      <c r="J289" s="147"/>
      <c r="K289" s="149" t="s">
        <v>114</v>
      </c>
      <c r="L289" s="149" t="s">
        <v>11</v>
      </c>
      <c r="M289" s="149" t="str">
        <f>VLOOKUP(U289,Hierarquia!A:K,6,0)</f>
        <v>BAT</v>
      </c>
      <c r="N289" s="149"/>
      <c r="O289" s="149" t="s">
        <v>115</v>
      </c>
      <c r="P289" s="133">
        <v>663</v>
      </c>
      <c r="Q289" s="135">
        <v>46224.424502314818</v>
      </c>
      <c r="R289" s="133" t="s">
        <v>116</v>
      </c>
      <c r="S289" s="133" t="s">
        <v>128</v>
      </c>
      <c r="T289" s="133" t="s">
        <v>28</v>
      </c>
      <c r="U289" s="133" t="s">
        <v>129</v>
      </c>
      <c r="V289" s="135">
        <v>46226</v>
      </c>
      <c r="W289" s="133">
        <v>1588844</v>
      </c>
      <c r="X289" s="133">
        <v>6878038639</v>
      </c>
      <c r="Y289" s="133" t="s">
        <v>34</v>
      </c>
      <c r="Z289" s="133" t="s">
        <v>606</v>
      </c>
      <c r="AF289" s="133">
        <v>10883254</v>
      </c>
      <c r="AG289" s="133" t="s">
        <v>131</v>
      </c>
    </row>
    <row r="290" spans="1:35" hidden="1" x14ac:dyDescent="0.2">
      <c r="A290" s="139">
        <f>Table1[[#This Row],[Qual a Numeração da Nota Fiscal com divergência ?]]</f>
        <v>1587420</v>
      </c>
      <c r="B290" s="146" t="s">
        <v>33</v>
      </c>
      <c r="C290" s="147" t="s">
        <v>111</v>
      </c>
      <c r="D290" s="147" t="s">
        <v>37</v>
      </c>
      <c r="E290" s="148">
        <f>WEEKNUM(Table1[[#This Row],[Dt da abertura]],1)</f>
        <v>30</v>
      </c>
      <c r="F290" s="147">
        <v>46224</v>
      </c>
      <c r="G290" s="147">
        <v>46224</v>
      </c>
      <c r="H290" s="147">
        <v>46226</v>
      </c>
      <c r="I290" s="147">
        <v>46231</v>
      </c>
      <c r="J290" s="147"/>
      <c r="K290" s="149" t="s">
        <v>114</v>
      </c>
      <c r="L290" s="149" t="s">
        <v>11</v>
      </c>
      <c r="M290" s="149" t="str">
        <f>VLOOKUP(U290,Hierarquia!A:K,6,0)</f>
        <v>BAT</v>
      </c>
      <c r="N290" s="149"/>
      <c r="O290" s="149" t="s">
        <v>115</v>
      </c>
      <c r="P290" s="133">
        <v>664</v>
      </c>
      <c r="Q290" s="135">
        <v>46224.432534722226</v>
      </c>
      <c r="R290" s="133" t="s">
        <v>116</v>
      </c>
      <c r="S290" s="133" t="s">
        <v>607</v>
      </c>
      <c r="T290" s="133" t="s">
        <v>28</v>
      </c>
      <c r="U290" s="133" t="s">
        <v>429</v>
      </c>
      <c r="V290" s="135">
        <v>46223</v>
      </c>
      <c r="W290" s="133">
        <v>1587420</v>
      </c>
      <c r="X290" s="133">
        <v>6878144817</v>
      </c>
      <c r="Y290" s="133" t="s">
        <v>35</v>
      </c>
      <c r="Z290" s="133" t="s">
        <v>608</v>
      </c>
      <c r="AF290" s="133" t="s">
        <v>609</v>
      </c>
      <c r="AG290" s="133" t="s">
        <v>131</v>
      </c>
    </row>
    <row r="291" spans="1:35" hidden="1" x14ac:dyDescent="0.2">
      <c r="A291" s="139">
        <f>Table1[[#This Row],[Qual a Numeração da Nota Fiscal com divergência ?]]</f>
        <v>15895309</v>
      </c>
      <c r="B291" s="146" t="s">
        <v>25</v>
      </c>
      <c r="C291" s="147" t="s">
        <v>111</v>
      </c>
      <c r="D291" s="147" t="s">
        <v>37</v>
      </c>
      <c r="E291" s="148">
        <f>WEEKNUM(Table1[[#This Row],[Dt da abertura]],1)</f>
        <v>30</v>
      </c>
      <c r="F291" s="147">
        <v>46225</v>
      </c>
      <c r="G291" s="147">
        <v>46224</v>
      </c>
      <c r="H291" s="147">
        <v>46226</v>
      </c>
      <c r="I291" s="147">
        <v>46230</v>
      </c>
      <c r="J291" s="147"/>
      <c r="K291" s="149" t="s">
        <v>114</v>
      </c>
      <c r="L291" s="149" t="s">
        <v>11</v>
      </c>
      <c r="M291" s="149" t="str">
        <f>VLOOKUP(U291,Hierarquia!A:K,6,0)</f>
        <v>BAT</v>
      </c>
      <c r="N291" s="149"/>
      <c r="O291" s="149" t="s">
        <v>115</v>
      </c>
      <c r="P291" s="133">
        <v>665</v>
      </c>
      <c r="Q291" s="135">
        <v>46224</v>
      </c>
      <c r="R291" s="133" t="s">
        <v>116</v>
      </c>
      <c r="S291" s="135" t="s">
        <v>365</v>
      </c>
      <c r="T291" s="133" t="s">
        <v>28</v>
      </c>
      <c r="U291" s="133" t="s">
        <v>259</v>
      </c>
      <c r="V291" s="135">
        <v>46224</v>
      </c>
      <c r="W291" s="133">
        <v>15895309</v>
      </c>
      <c r="X291" s="133">
        <v>6878232517</v>
      </c>
      <c r="Y291" s="133" t="s">
        <v>32</v>
      </c>
      <c r="Z291" s="133" t="s">
        <v>610</v>
      </c>
      <c r="AF291" s="133">
        <v>0</v>
      </c>
      <c r="AG291" s="133" t="s">
        <v>126</v>
      </c>
      <c r="AI291" s="133" t="s">
        <v>611</v>
      </c>
    </row>
    <row r="292" spans="1:35" hidden="1" x14ac:dyDescent="0.2">
      <c r="A292" s="139">
        <f>Table1[[#This Row],[Qual a Numeração da Nota Fiscal com divergência ?]]</f>
        <v>1588421</v>
      </c>
      <c r="B292" s="146" t="s">
        <v>30</v>
      </c>
      <c r="C292" s="147" t="s">
        <v>111</v>
      </c>
      <c r="D292" s="147" t="s">
        <v>37</v>
      </c>
      <c r="E292" s="148">
        <f>WEEKNUM(Table1[[#This Row],[Dt da abertura]],1)</f>
        <v>30</v>
      </c>
      <c r="F292" s="147">
        <v>46225</v>
      </c>
      <c r="G292" s="147">
        <v>46225</v>
      </c>
      <c r="H292" s="147">
        <v>46227</v>
      </c>
      <c r="I292" s="147">
        <v>46230</v>
      </c>
      <c r="J292" s="147"/>
      <c r="K292" s="149" t="s">
        <v>114</v>
      </c>
      <c r="L292" s="149" t="s">
        <v>11</v>
      </c>
      <c r="M292" s="149" t="str">
        <f>VLOOKUP(U292,Hierarquia!A:K,6,0)</f>
        <v>BAT</v>
      </c>
      <c r="N292" s="149"/>
      <c r="O292" s="149" t="s">
        <v>115</v>
      </c>
      <c r="P292" s="133">
        <v>666</v>
      </c>
      <c r="Q292" s="135">
        <v>46225</v>
      </c>
      <c r="R292" s="133" t="s">
        <v>116</v>
      </c>
      <c r="S292" s="135" t="s">
        <v>123</v>
      </c>
      <c r="T292" s="133" t="s">
        <v>28</v>
      </c>
      <c r="U292" s="133" t="s">
        <v>124</v>
      </c>
      <c r="V292" s="135">
        <v>46223</v>
      </c>
      <c r="W292" s="133">
        <v>1588421</v>
      </c>
      <c r="X292" s="133">
        <v>6878200732</v>
      </c>
      <c r="Y292" s="133" t="s">
        <v>35</v>
      </c>
      <c r="Z292" s="133" t="s">
        <v>612</v>
      </c>
      <c r="AF292" s="133">
        <v>0</v>
      </c>
      <c r="AG292" s="133" t="s">
        <v>126</v>
      </c>
      <c r="AI292" s="133">
        <v>0</v>
      </c>
    </row>
    <row r="293" spans="1:35" x14ac:dyDescent="0.2">
      <c r="A293" s="139">
        <f>Table1[[#This Row],[Qual a Numeração da Nota Fiscal com divergência ?]]</f>
        <v>1590288</v>
      </c>
      <c r="B293" s="146" t="s">
        <v>33</v>
      </c>
      <c r="C293" s="147" t="s">
        <v>111</v>
      </c>
      <c r="D293" s="147" t="s">
        <v>37</v>
      </c>
      <c r="E293" s="148">
        <f>WEEKNUM(Table1[[#This Row],[Dt da abertura]],1)</f>
        <v>30</v>
      </c>
      <c r="F293" s="147">
        <v>46225</v>
      </c>
      <c r="G293" s="147">
        <v>46225</v>
      </c>
      <c r="H293" s="147">
        <v>46227</v>
      </c>
      <c r="I293" s="147">
        <v>46230</v>
      </c>
      <c r="J293" s="147"/>
      <c r="K293" s="149" t="s">
        <v>114</v>
      </c>
      <c r="L293" s="149" t="s">
        <v>11</v>
      </c>
      <c r="M293" s="149" t="str">
        <f>VLOOKUP(U293,Hierarquia!A:K,6,0)</f>
        <v>FADEL</v>
      </c>
      <c r="N293" s="149"/>
      <c r="O293" s="149" t="s">
        <v>115</v>
      </c>
      <c r="P293" s="133">
        <v>668</v>
      </c>
      <c r="Q293" s="135">
        <v>46225</v>
      </c>
      <c r="R293" s="133" t="s">
        <v>116</v>
      </c>
      <c r="S293" s="135" t="s">
        <v>133</v>
      </c>
      <c r="T293" s="133" t="s">
        <v>26</v>
      </c>
      <c r="U293" s="133" t="s">
        <v>324</v>
      </c>
      <c r="V293" s="135">
        <v>46225</v>
      </c>
      <c r="W293" s="133">
        <v>1590288</v>
      </c>
      <c r="X293" s="133">
        <v>6878285218</v>
      </c>
      <c r="Y293" s="133" t="s">
        <v>34</v>
      </c>
      <c r="Z293" s="133" t="s">
        <v>613</v>
      </c>
      <c r="AF293" s="133" t="s">
        <v>223</v>
      </c>
      <c r="AG293" s="133" t="s">
        <v>121</v>
      </c>
    </row>
    <row r="294" spans="1:35" x14ac:dyDescent="0.2">
      <c r="A294" s="139">
        <f>Table1[[#This Row],[Qual a Numeração da Nota Fiscal com divergência ?]]</f>
        <v>1590087</v>
      </c>
      <c r="B294" s="146" t="s">
        <v>33</v>
      </c>
      <c r="C294" s="147" t="s">
        <v>111</v>
      </c>
      <c r="D294" s="147" t="s">
        <v>37</v>
      </c>
      <c r="E294" s="148">
        <f>WEEKNUM(Table1[[#This Row],[Dt da abertura]],1)</f>
        <v>30</v>
      </c>
      <c r="F294" s="147">
        <v>46225</v>
      </c>
      <c r="G294" s="147">
        <v>46225</v>
      </c>
      <c r="H294" s="147">
        <v>46227</v>
      </c>
      <c r="I294" s="147">
        <v>46230</v>
      </c>
      <c r="J294" s="147"/>
      <c r="K294" s="149" t="s">
        <v>114</v>
      </c>
      <c r="L294" s="149" t="s">
        <v>11</v>
      </c>
      <c r="M294" s="149" t="str">
        <f>VLOOKUP(U294,Hierarquia!A:K,6,0)</f>
        <v>FADEL</v>
      </c>
      <c r="N294" s="149"/>
      <c r="O294" s="149" t="s">
        <v>115</v>
      </c>
      <c r="P294" s="133">
        <v>669</v>
      </c>
      <c r="Q294" s="135">
        <v>46225</v>
      </c>
      <c r="R294" s="133" t="s">
        <v>116</v>
      </c>
      <c r="S294" s="135" t="s">
        <v>133</v>
      </c>
      <c r="T294" s="133" t="s">
        <v>26</v>
      </c>
      <c r="U294" s="133" t="s">
        <v>324</v>
      </c>
      <c r="V294" s="135">
        <v>46225</v>
      </c>
      <c r="W294" s="133">
        <v>1590087</v>
      </c>
      <c r="X294" s="133">
        <v>6878228994</v>
      </c>
      <c r="Y294" s="133" t="s">
        <v>35</v>
      </c>
      <c r="Z294" s="133" t="s">
        <v>614</v>
      </c>
      <c r="AF294" s="133" t="s">
        <v>223</v>
      </c>
      <c r="AG294" s="133" t="s">
        <v>121</v>
      </c>
    </row>
    <row r="295" spans="1:35" x14ac:dyDescent="0.2">
      <c r="A295" s="139">
        <f>Table1[[#This Row],[Qual a Numeração da Nota Fiscal com divergência ?]]</f>
        <v>1590159</v>
      </c>
      <c r="B295" s="146" t="s">
        <v>33</v>
      </c>
      <c r="C295" s="147" t="s">
        <v>111</v>
      </c>
      <c r="D295" s="147" t="s">
        <v>37</v>
      </c>
      <c r="E295" s="148">
        <f>WEEKNUM(Table1[[#This Row],[Dt da abertura]],1)</f>
        <v>30</v>
      </c>
      <c r="F295" s="147">
        <v>46225</v>
      </c>
      <c r="G295" s="147">
        <v>46225</v>
      </c>
      <c r="H295" s="147">
        <v>46227</v>
      </c>
      <c r="I295" s="147">
        <v>46230</v>
      </c>
      <c r="J295" s="147"/>
      <c r="K295" s="149" t="s">
        <v>114</v>
      </c>
      <c r="L295" s="149" t="s">
        <v>11</v>
      </c>
      <c r="M295" s="149" t="str">
        <f>VLOOKUP(U295,Hierarquia!A:K,6,0)</f>
        <v>FADEL</v>
      </c>
      <c r="N295" s="149"/>
      <c r="O295" s="149" t="s">
        <v>115</v>
      </c>
      <c r="P295" s="133">
        <v>670</v>
      </c>
      <c r="Q295" s="135">
        <v>46225</v>
      </c>
      <c r="R295" s="133" t="s">
        <v>116</v>
      </c>
      <c r="S295" s="135" t="s">
        <v>133</v>
      </c>
      <c r="T295" s="133" t="s">
        <v>26</v>
      </c>
      <c r="U295" s="133" t="s">
        <v>472</v>
      </c>
      <c r="V295" s="135">
        <v>46225</v>
      </c>
      <c r="W295" s="133">
        <v>1590159</v>
      </c>
      <c r="X295" s="133">
        <v>6878284343</v>
      </c>
      <c r="Y295" s="133" t="s">
        <v>34</v>
      </c>
      <c r="Z295" s="133" t="s">
        <v>615</v>
      </c>
      <c r="AF295" s="133" t="s">
        <v>223</v>
      </c>
      <c r="AG295" s="133" t="s">
        <v>121</v>
      </c>
    </row>
    <row r="296" spans="1:35" x14ac:dyDescent="0.2">
      <c r="A296" s="139">
        <f>Table1[[#This Row],[Qual a Numeração da Nota Fiscal com divergência ?]]</f>
        <v>1590564</v>
      </c>
      <c r="B296" s="146" t="s">
        <v>33</v>
      </c>
      <c r="C296" s="147" t="s">
        <v>111</v>
      </c>
      <c r="D296" s="147" t="s">
        <v>37</v>
      </c>
      <c r="E296" s="148">
        <f>WEEKNUM(Table1[[#This Row],[Dt da abertura]],1)</f>
        <v>30</v>
      </c>
      <c r="F296" s="147">
        <v>46225</v>
      </c>
      <c r="G296" s="147">
        <v>46225</v>
      </c>
      <c r="H296" s="147">
        <v>46227</v>
      </c>
      <c r="I296" s="147"/>
      <c r="J296" s="147"/>
      <c r="K296" s="149" t="s">
        <v>114</v>
      </c>
      <c r="L296" s="149" t="s">
        <v>11</v>
      </c>
      <c r="M296" s="149" t="str">
        <f>VLOOKUP(U296,Hierarquia!A:K,6,0)</f>
        <v>FADEL</v>
      </c>
      <c r="N296" s="149"/>
      <c r="O296" s="149" t="s">
        <v>115</v>
      </c>
      <c r="P296" s="133">
        <v>671</v>
      </c>
      <c r="Q296" s="135">
        <v>46225</v>
      </c>
      <c r="R296" s="133" t="s">
        <v>116</v>
      </c>
      <c r="S296" s="135" t="s">
        <v>133</v>
      </c>
      <c r="T296" s="133" t="s">
        <v>26</v>
      </c>
      <c r="U296" s="133" t="s">
        <v>168</v>
      </c>
      <c r="V296" s="135">
        <v>46225</v>
      </c>
      <c r="W296" s="133">
        <v>1590564</v>
      </c>
      <c r="X296" s="133">
        <v>6878296802</v>
      </c>
      <c r="Y296" s="133" t="s">
        <v>34</v>
      </c>
      <c r="Z296" s="133" t="s">
        <v>616</v>
      </c>
      <c r="AF296" s="133" t="s">
        <v>223</v>
      </c>
      <c r="AG296" s="133" t="s">
        <v>131</v>
      </c>
    </row>
    <row r="297" spans="1:35" x14ac:dyDescent="0.2">
      <c r="A297" s="139">
        <f>Table1[[#This Row],[Qual a Numeração da Nota Fiscal com divergência ?]]</f>
        <v>1590434</v>
      </c>
      <c r="B297" s="146" t="s">
        <v>33</v>
      </c>
      <c r="C297" s="147" t="s">
        <v>111</v>
      </c>
      <c r="D297" s="147" t="s">
        <v>37</v>
      </c>
      <c r="E297" s="148">
        <f>WEEKNUM(Table1[[#This Row],[Dt da abertura]],1)</f>
        <v>30</v>
      </c>
      <c r="F297" s="147">
        <v>46225</v>
      </c>
      <c r="G297" s="147">
        <v>46225</v>
      </c>
      <c r="H297" s="147">
        <v>46227</v>
      </c>
      <c r="I297" s="147"/>
      <c r="J297" s="147"/>
      <c r="K297" s="149" t="s">
        <v>114</v>
      </c>
      <c r="L297" s="149" t="s">
        <v>11</v>
      </c>
      <c r="M297" s="149" t="str">
        <f>VLOOKUP(U297,Hierarquia!A:K,6,0)</f>
        <v>FADEL</v>
      </c>
      <c r="N297" s="149"/>
      <c r="O297" s="149" t="s">
        <v>115</v>
      </c>
      <c r="P297" s="133">
        <v>672</v>
      </c>
      <c r="Q297" s="135">
        <v>46225</v>
      </c>
      <c r="R297" s="133" t="s">
        <v>116</v>
      </c>
      <c r="S297" s="135" t="s">
        <v>133</v>
      </c>
      <c r="T297" s="133" t="s">
        <v>26</v>
      </c>
      <c r="U297" s="133" t="s">
        <v>540</v>
      </c>
      <c r="V297" s="135">
        <v>46225</v>
      </c>
      <c r="W297" s="133">
        <v>1590434</v>
      </c>
      <c r="X297" s="133">
        <v>6878296490</v>
      </c>
      <c r="Y297" s="133" t="s">
        <v>35</v>
      </c>
      <c r="Z297" s="133" t="s">
        <v>617</v>
      </c>
      <c r="AF297" s="133" t="s">
        <v>376</v>
      </c>
      <c r="AG297" s="133" t="s">
        <v>121</v>
      </c>
      <c r="AI297" s="133" t="s">
        <v>618</v>
      </c>
    </row>
    <row r="298" spans="1:35" hidden="1" x14ac:dyDescent="0.2">
      <c r="A298" s="139">
        <f>Table1[[#This Row],[Qual a Numeração da Nota Fiscal com divergência ?]]</f>
        <v>1588576</v>
      </c>
      <c r="B298" s="146" t="s">
        <v>30</v>
      </c>
      <c r="C298" s="147" t="s">
        <v>111</v>
      </c>
      <c r="D298" s="147" t="s">
        <v>37</v>
      </c>
      <c r="E298" s="148">
        <f>WEEKNUM(Table1[[#This Row],[Dt da abertura]],1)</f>
        <v>30</v>
      </c>
      <c r="F298" s="147">
        <v>46226</v>
      </c>
      <c r="G298" s="147">
        <v>46226</v>
      </c>
      <c r="H298" s="147">
        <v>46231</v>
      </c>
      <c r="I298" s="147">
        <v>46230</v>
      </c>
      <c r="J298" s="147"/>
      <c r="K298" s="149" t="s">
        <v>114</v>
      </c>
      <c r="L298" s="149" t="s">
        <v>11</v>
      </c>
      <c r="M298" s="149" t="str">
        <f>VLOOKUP(U298,Hierarquia!A:K,6,0)</f>
        <v>BAT</v>
      </c>
      <c r="N298" s="149"/>
      <c r="O298" s="149" t="s">
        <v>115</v>
      </c>
      <c r="P298" s="133">
        <v>673</v>
      </c>
      <c r="Q298" s="135">
        <v>46226</v>
      </c>
      <c r="R298" s="133" t="s">
        <v>116</v>
      </c>
      <c r="S298" s="135" t="s">
        <v>128</v>
      </c>
      <c r="T298" s="133" t="s">
        <v>28</v>
      </c>
      <c r="U298" s="133" t="s">
        <v>129</v>
      </c>
      <c r="V298" s="135">
        <v>46220</v>
      </c>
      <c r="W298" s="133">
        <v>1588576</v>
      </c>
      <c r="X298" s="133">
        <v>6878212622</v>
      </c>
      <c r="Y298" s="133" t="s">
        <v>35</v>
      </c>
      <c r="Z298" s="133" t="s">
        <v>619</v>
      </c>
      <c r="AF298" s="133">
        <v>0</v>
      </c>
      <c r="AG298" s="133" t="s">
        <v>131</v>
      </c>
      <c r="AI298" s="133" t="s">
        <v>620</v>
      </c>
    </row>
    <row r="299" spans="1:35" hidden="1" x14ac:dyDescent="0.2">
      <c r="A299" s="139">
        <f>Table1[[#This Row],[Qual a Numeração da Nota Fiscal com divergência ?]]</f>
        <v>1590528</v>
      </c>
      <c r="B299" s="146" t="s">
        <v>33</v>
      </c>
      <c r="C299" s="147" t="s">
        <v>111</v>
      </c>
      <c r="D299" s="147" t="s">
        <v>37</v>
      </c>
      <c r="E299" s="148">
        <f>WEEKNUM(Table1[[#This Row],[Dt da abertura]],1)</f>
        <v>30</v>
      </c>
      <c r="F299" s="147">
        <v>46226</v>
      </c>
      <c r="G299" s="147">
        <v>46226</v>
      </c>
      <c r="H299" s="147">
        <v>46231</v>
      </c>
      <c r="I299" s="147">
        <v>46230</v>
      </c>
      <c r="J299" s="147"/>
      <c r="K299" s="149" t="s">
        <v>114</v>
      </c>
      <c r="L299" s="149" t="s">
        <v>11</v>
      </c>
      <c r="M299" s="149" t="str">
        <f>VLOOKUP(U299,Hierarquia!A:K,6,0)</f>
        <v>BAT</v>
      </c>
      <c r="N299" s="149"/>
      <c r="O299" s="149" t="s">
        <v>115</v>
      </c>
      <c r="P299" s="133">
        <v>674</v>
      </c>
      <c r="Q299" s="135">
        <v>46226</v>
      </c>
      <c r="R299" s="133" t="s">
        <v>116</v>
      </c>
      <c r="S299" s="135" t="s">
        <v>128</v>
      </c>
      <c r="T299" s="133" t="s">
        <v>28</v>
      </c>
      <c r="U299" s="133" t="s">
        <v>129</v>
      </c>
      <c r="V299" s="135">
        <v>46230</v>
      </c>
      <c r="W299" s="133">
        <v>1590528</v>
      </c>
      <c r="X299" s="133">
        <v>6878215488</v>
      </c>
      <c r="Y299" s="133" t="s">
        <v>35</v>
      </c>
      <c r="Z299" s="133" t="s">
        <v>621</v>
      </c>
      <c r="AF299" s="133">
        <v>0</v>
      </c>
      <c r="AG299" s="133" t="s">
        <v>131</v>
      </c>
      <c r="AI299" s="133" t="s">
        <v>622</v>
      </c>
    </row>
    <row r="300" spans="1:35" hidden="1" x14ac:dyDescent="0.2">
      <c r="A300" s="139">
        <f>Table1[[#This Row],[Qual a Numeração da Nota Fiscal com divergência ?]]</f>
        <v>1589469</v>
      </c>
      <c r="B300" s="146" t="s">
        <v>33</v>
      </c>
      <c r="C300" s="147" t="s">
        <v>111</v>
      </c>
      <c r="D300" s="147" t="s">
        <v>37</v>
      </c>
      <c r="E300" s="148">
        <f>WEEKNUM(Table1[[#This Row],[Dt da abertura]],1)</f>
        <v>30</v>
      </c>
      <c r="F300" s="147">
        <v>46226</v>
      </c>
      <c r="G300" s="147">
        <v>46226</v>
      </c>
      <c r="H300" s="147">
        <v>46231</v>
      </c>
      <c r="I300" s="147">
        <v>46230</v>
      </c>
      <c r="J300" s="147"/>
      <c r="K300" s="149" t="s">
        <v>114</v>
      </c>
      <c r="L300" s="149" t="s">
        <v>11</v>
      </c>
      <c r="M300" s="149" t="str">
        <f>VLOOKUP(U300,Hierarquia!A:K,6,0)</f>
        <v>BAT</v>
      </c>
      <c r="N300" s="149"/>
      <c r="O300" s="149" t="s">
        <v>115</v>
      </c>
      <c r="P300" s="133">
        <v>675</v>
      </c>
      <c r="Q300" s="135">
        <v>46227</v>
      </c>
      <c r="R300" s="133" t="s">
        <v>116</v>
      </c>
      <c r="S300" s="135" t="s">
        <v>128</v>
      </c>
      <c r="T300" s="133" t="s">
        <v>28</v>
      </c>
      <c r="U300" s="133" t="s">
        <v>129</v>
      </c>
      <c r="V300" s="135">
        <v>46224</v>
      </c>
      <c r="W300" s="133">
        <v>1589469</v>
      </c>
      <c r="X300" s="133">
        <v>6878250552</v>
      </c>
      <c r="Y300" s="133" t="s">
        <v>35</v>
      </c>
      <c r="Z300" s="133" t="s">
        <v>623</v>
      </c>
      <c r="AF300" s="133">
        <v>0</v>
      </c>
      <c r="AG300" s="133" t="s">
        <v>126</v>
      </c>
      <c r="AI300" s="133">
        <v>0</v>
      </c>
    </row>
    <row r="301" spans="1:35" x14ac:dyDescent="0.2">
      <c r="A301" s="139">
        <f>Table1[[#This Row],[Qual a Numeração da Nota Fiscal com divergência ?]]</f>
        <v>1591221</v>
      </c>
      <c r="B301" s="146" t="s">
        <v>30</v>
      </c>
      <c r="C301" s="147" t="s">
        <v>111</v>
      </c>
      <c r="D301" s="147" t="s">
        <v>37</v>
      </c>
      <c r="E301" s="148">
        <f>WEEKNUM(Table1[[#This Row],[Dt da abertura]],1)</f>
        <v>31</v>
      </c>
      <c r="F301" s="147">
        <v>46230</v>
      </c>
      <c r="G301" s="147">
        <v>46230</v>
      </c>
      <c r="H301" s="147">
        <v>46232</v>
      </c>
      <c r="I301" s="147">
        <v>46232</v>
      </c>
      <c r="J301" s="147"/>
      <c r="K301" s="149" t="s">
        <v>114</v>
      </c>
      <c r="L301" s="149" t="s">
        <v>11</v>
      </c>
      <c r="M301" s="149" t="str">
        <f>VLOOKUP(U301,Hierarquia!A:K,6,0)</f>
        <v>FADEL</v>
      </c>
      <c r="N301" s="149"/>
      <c r="O301" s="149" t="s">
        <v>115</v>
      </c>
      <c r="P301" s="133">
        <v>676</v>
      </c>
      <c r="Q301" s="135">
        <v>46227</v>
      </c>
      <c r="R301" s="133" t="s">
        <v>116</v>
      </c>
      <c r="S301" s="135" t="s">
        <v>133</v>
      </c>
      <c r="T301" s="133" t="s">
        <v>26</v>
      </c>
      <c r="U301" s="133" t="s">
        <v>160</v>
      </c>
      <c r="V301" s="135">
        <v>46227</v>
      </c>
      <c r="W301" s="133">
        <v>1591221</v>
      </c>
      <c r="X301" s="133">
        <v>6878306122</v>
      </c>
      <c r="Y301" s="133" t="s">
        <v>35</v>
      </c>
      <c r="Z301" s="133" t="s">
        <v>624</v>
      </c>
      <c r="AF301" s="133" t="s">
        <v>376</v>
      </c>
      <c r="AG301" s="133" t="s">
        <v>131</v>
      </c>
      <c r="AI301" s="133" t="s">
        <v>625</v>
      </c>
    </row>
    <row r="302" spans="1:35" hidden="1" x14ac:dyDescent="0.2">
      <c r="A302" s="139">
        <f>Table1[[#This Row],[Qual a Numeração da Nota Fiscal com divergência ?]]</f>
        <v>1590015</v>
      </c>
      <c r="B302" s="146" t="s">
        <v>33</v>
      </c>
      <c r="C302" s="147" t="s">
        <v>111</v>
      </c>
      <c r="D302" s="147" t="s">
        <v>37</v>
      </c>
      <c r="E302" s="148">
        <f>WEEKNUM(Table1[[#This Row],[Dt da abertura]],1)</f>
        <v>31</v>
      </c>
      <c r="F302" s="147">
        <v>46230</v>
      </c>
      <c r="G302" s="147">
        <v>46230</v>
      </c>
      <c r="H302" s="147">
        <v>46232</v>
      </c>
      <c r="I302" s="147">
        <v>46232</v>
      </c>
      <c r="J302" s="147"/>
      <c r="K302" s="149" t="s">
        <v>114</v>
      </c>
      <c r="L302" s="149" t="s">
        <v>11</v>
      </c>
      <c r="M302" s="149" t="str">
        <f>VLOOKUP(U302,Hierarquia!A:K,6,0)</f>
        <v>BAT</v>
      </c>
      <c r="N302" s="149"/>
      <c r="O302" s="149" t="s">
        <v>115</v>
      </c>
      <c r="P302" s="133">
        <v>677</v>
      </c>
      <c r="Q302" s="135">
        <v>46230</v>
      </c>
      <c r="R302" s="133" t="s">
        <v>116</v>
      </c>
      <c r="S302" s="135" t="s">
        <v>408</v>
      </c>
      <c r="T302" s="133" t="s">
        <v>28</v>
      </c>
      <c r="U302" s="133" t="s">
        <v>409</v>
      </c>
      <c r="V302" s="135">
        <v>46227</v>
      </c>
      <c r="W302" s="133">
        <v>1590015</v>
      </c>
      <c r="X302" s="133">
        <v>6878283105</v>
      </c>
      <c r="Y302" s="133" t="s">
        <v>35</v>
      </c>
      <c r="Z302" s="133" t="s">
        <v>626</v>
      </c>
      <c r="AF302" s="133">
        <v>6878283105</v>
      </c>
      <c r="AG302" s="133" t="s">
        <v>131</v>
      </c>
      <c r="AI302" s="133" t="s">
        <v>627</v>
      </c>
    </row>
    <row r="303" spans="1:35" hidden="1" x14ac:dyDescent="0.2">
      <c r="A303" s="139">
        <f>Table1[[#This Row],[Qual a Numeração da Nota Fiscal com divergência ?]]</f>
        <v>1591213</v>
      </c>
      <c r="B303" s="146" t="s">
        <v>30</v>
      </c>
      <c r="C303" s="147" t="s">
        <v>111</v>
      </c>
      <c r="D303" s="147" t="s">
        <v>37</v>
      </c>
      <c r="E303" s="148">
        <f>WEEKNUM(Table1[[#This Row],[Dt da abertura]],1)</f>
        <v>31</v>
      </c>
      <c r="F303" s="147">
        <v>46230</v>
      </c>
      <c r="G303" s="147">
        <v>46230</v>
      </c>
      <c r="H303" s="147">
        <v>46232</v>
      </c>
      <c r="I303" s="147">
        <v>46232</v>
      </c>
      <c r="J303" s="147"/>
      <c r="K303" s="149" t="s">
        <v>114</v>
      </c>
      <c r="L303" s="149" t="s">
        <v>11</v>
      </c>
      <c r="M303" s="149" t="str">
        <f>VLOOKUP(U303,Hierarquia!A:K,6,0)</f>
        <v>BAT</v>
      </c>
      <c r="N303" s="149"/>
      <c r="O303" s="149" t="s">
        <v>115</v>
      </c>
      <c r="P303" s="133">
        <v>678</v>
      </c>
      <c r="Q303" s="135">
        <v>46230</v>
      </c>
      <c r="R303" s="133" t="s">
        <v>116</v>
      </c>
      <c r="S303" s="135" t="s">
        <v>628</v>
      </c>
      <c r="T303" s="133" t="s">
        <v>28</v>
      </c>
      <c r="U303" s="133" t="s">
        <v>586</v>
      </c>
      <c r="V303" s="135">
        <v>46230</v>
      </c>
      <c r="W303" s="133">
        <v>1591213</v>
      </c>
      <c r="X303" s="133">
        <v>0</v>
      </c>
      <c r="Y303" s="133" t="s">
        <v>35</v>
      </c>
      <c r="Z303" s="133" t="s">
        <v>629</v>
      </c>
      <c r="AF303" s="133">
        <v>226362</v>
      </c>
      <c r="AG303" s="133" t="s">
        <v>121</v>
      </c>
    </row>
    <row r="304" spans="1:35" x14ac:dyDescent="0.2">
      <c r="A304" s="139">
        <f>Table1[[#This Row],[Qual a Numeração da Nota Fiscal com divergência ?]]</f>
        <v>1590958</v>
      </c>
      <c r="B304" s="146" t="s">
        <v>33</v>
      </c>
      <c r="C304" s="147" t="s">
        <v>111</v>
      </c>
      <c r="D304" s="147" t="s">
        <v>37</v>
      </c>
      <c r="E304" s="148">
        <f>WEEKNUM(Table1[[#This Row],[Dt da abertura]],1)</f>
        <v>31</v>
      </c>
      <c r="F304" s="147">
        <v>46231</v>
      </c>
      <c r="G304" s="147">
        <v>46231</v>
      </c>
      <c r="H304" s="147">
        <v>46233</v>
      </c>
      <c r="I304" s="147">
        <v>46232</v>
      </c>
      <c r="J304" s="147"/>
      <c r="K304" s="149" t="s">
        <v>114</v>
      </c>
      <c r="L304" s="149" t="s">
        <v>11</v>
      </c>
      <c r="M304" s="149" t="str">
        <f>VLOOKUP(U304,Hierarquia!A:K,6,0)</f>
        <v>FADEL</v>
      </c>
      <c r="N304" s="149"/>
      <c r="O304" s="149" t="s">
        <v>115</v>
      </c>
      <c r="P304" s="133">
        <v>679</v>
      </c>
      <c r="Q304" s="135">
        <v>46231</v>
      </c>
      <c r="R304" s="133" t="s">
        <v>116</v>
      </c>
      <c r="S304" s="135" t="s">
        <v>133</v>
      </c>
      <c r="T304" s="133" t="s">
        <v>26</v>
      </c>
      <c r="U304" s="133" t="s">
        <v>134</v>
      </c>
      <c r="V304" s="135">
        <v>46227</v>
      </c>
      <c r="W304" s="133">
        <v>1590958</v>
      </c>
      <c r="X304" s="133">
        <v>6878321546</v>
      </c>
      <c r="Y304" s="133" t="s">
        <v>35</v>
      </c>
      <c r="Z304" s="133" t="s">
        <v>630</v>
      </c>
      <c r="AF304" s="133" t="s">
        <v>467</v>
      </c>
      <c r="AG304" s="133" t="s">
        <v>121</v>
      </c>
    </row>
    <row r="305" spans="1:35" hidden="1" x14ac:dyDescent="0.2">
      <c r="A305" s="139">
        <f>Table1[[#This Row],[Qual a Numeração da Nota Fiscal com divergência ?]]</f>
        <v>1590171</v>
      </c>
      <c r="B305" s="146" t="s">
        <v>31</v>
      </c>
      <c r="C305" s="147" t="s">
        <v>111</v>
      </c>
      <c r="D305" s="147" t="s">
        <v>37</v>
      </c>
      <c r="E305" s="148">
        <f>WEEKNUM(Table1[[#This Row],[Dt da abertura]],1)</f>
        <v>31</v>
      </c>
      <c r="F305" s="147">
        <v>46231</v>
      </c>
      <c r="G305" s="147">
        <v>46231</v>
      </c>
      <c r="H305" s="147">
        <v>46233</v>
      </c>
      <c r="I305" s="147"/>
      <c r="J305" s="147"/>
      <c r="K305" s="149" t="s">
        <v>114</v>
      </c>
      <c r="L305" s="149" t="s">
        <v>11</v>
      </c>
      <c r="M305" s="149" t="str">
        <f>VLOOKUP(U305,Hierarquia!A:K,6,0)</f>
        <v>BAT</v>
      </c>
      <c r="N305" s="149"/>
      <c r="O305" s="149" t="s">
        <v>115</v>
      </c>
      <c r="P305" s="133">
        <v>680</v>
      </c>
      <c r="Q305" s="135">
        <v>46231</v>
      </c>
      <c r="R305" s="133" t="s">
        <v>116</v>
      </c>
      <c r="S305" s="135" t="s">
        <v>631</v>
      </c>
      <c r="T305" s="133" t="s">
        <v>28</v>
      </c>
      <c r="U305" s="133" t="s">
        <v>429</v>
      </c>
      <c r="V305" s="135">
        <v>46231</v>
      </c>
      <c r="W305" s="133">
        <v>1590171</v>
      </c>
      <c r="X305" s="133">
        <v>6878288670</v>
      </c>
      <c r="Y305" s="133" t="s">
        <v>35</v>
      </c>
      <c r="Z305" s="133" t="s">
        <v>632</v>
      </c>
      <c r="AF305" s="133">
        <v>6878288670</v>
      </c>
      <c r="AG305" s="133" t="s">
        <v>126</v>
      </c>
      <c r="AI305" s="133" t="s">
        <v>633</v>
      </c>
    </row>
    <row r="306" spans="1:35" hidden="1" x14ac:dyDescent="0.2">
      <c r="A306" s="139" t="str">
        <f>Table1[[#This Row],[Qual a Numeração da Nota Fiscal com divergência ?]]</f>
        <v>1590171-9</v>
      </c>
      <c r="B306" s="146" t="s">
        <v>33</v>
      </c>
      <c r="C306" s="147" t="s">
        <v>111</v>
      </c>
      <c r="D306" s="147" t="s">
        <v>37</v>
      </c>
      <c r="E306" s="148">
        <f>WEEKNUM(Table1[[#This Row],[Dt da abertura]],1)</f>
        <v>31</v>
      </c>
      <c r="F306" s="147">
        <v>46231</v>
      </c>
      <c r="G306" s="147">
        <v>46231</v>
      </c>
      <c r="H306" s="147">
        <v>46233</v>
      </c>
      <c r="I306" s="147">
        <v>46232</v>
      </c>
      <c r="J306" s="147"/>
      <c r="K306" s="149" t="s">
        <v>114</v>
      </c>
      <c r="L306" s="149" t="s">
        <v>11</v>
      </c>
      <c r="M306" s="149" t="str">
        <f>VLOOKUP(U306,Hierarquia!A:K,6,0)</f>
        <v>BAT</v>
      </c>
      <c r="N306" s="149"/>
      <c r="O306" s="149" t="s">
        <v>115</v>
      </c>
      <c r="P306" s="133">
        <v>681</v>
      </c>
      <c r="Q306" s="135">
        <v>46231</v>
      </c>
      <c r="R306" s="133" t="s">
        <v>116</v>
      </c>
      <c r="S306" s="135" t="s">
        <v>631</v>
      </c>
      <c r="T306" s="133" t="s">
        <v>28</v>
      </c>
      <c r="U306" s="133" t="s">
        <v>429</v>
      </c>
      <c r="V306" s="135">
        <v>46226</v>
      </c>
      <c r="W306" s="133" t="s">
        <v>808</v>
      </c>
      <c r="X306" s="133">
        <v>6878288670</v>
      </c>
      <c r="Y306" s="133" t="s">
        <v>35</v>
      </c>
      <c r="Z306" s="133" t="s">
        <v>634</v>
      </c>
      <c r="AF306" s="133">
        <v>6878288670</v>
      </c>
      <c r="AG306" s="133" t="s">
        <v>126</v>
      </c>
      <c r="AI306" s="133" t="s">
        <v>633</v>
      </c>
    </row>
    <row r="307" spans="1:35" hidden="1" x14ac:dyDescent="0.2">
      <c r="B307" s="146" t="s">
        <v>31</v>
      </c>
      <c r="C307" s="147" t="s">
        <v>111</v>
      </c>
      <c r="D307" s="147" t="s">
        <v>37</v>
      </c>
      <c r="E307" s="148">
        <f>WEEKNUM(Table1[[#This Row],[Dt da abertura]],1)</f>
        <v>31</v>
      </c>
      <c r="F307" s="147" t="s">
        <v>812</v>
      </c>
      <c r="G307" s="147">
        <v>46232</v>
      </c>
      <c r="H307" s="147">
        <v>46234</v>
      </c>
      <c r="I307" s="147"/>
      <c r="J307" s="147"/>
      <c r="K307" s="149" t="s">
        <v>114</v>
      </c>
      <c r="L307" s="149" t="s">
        <v>11</v>
      </c>
      <c r="M307" s="149" t="str">
        <f>VLOOKUP(U307,Hierarquia!A:K,6,0)</f>
        <v>BAT</v>
      </c>
      <c r="N307" s="149"/>
      <c r="O307" s="149" t="s">
        <v>115</v>
      </c>
      <c r="P307" s="133">
        <v>682</v>
      </c>
      <c r="Q307" s="135">
        <v>46232</v>
      </c>
      <c r="R307" s="133" t="s">
        <v>116</v>
      </c>
      <c r="S307" s="183" t="s">
        <v>585</v>
      </c>
      <c r="T307" s="133" t="s">
        <v>28</v>
      </c>
      <c r="U307" s="133" t="s">
        <v>586</v>
      </c>
      <c r="V307" s="183">
        <v>46232</v>
      </c>
      <c r="W307" s="133">
        <v>1591461</v>
      </c>
      <c r="X307" s="133">
        <v>6878331016</v>
      </c>
      <c r="Y307" s="133" t="s">
        <v>35</v>
      </c>
      <c r="AC307" s="133" t="s">
        <v>809</v>
      </c>
      <c r="AE307" s="133">
        <v>226362</v>
      </c>
      <c r="AF307" s="133" t="s">
        <v>131</v>
      </c>
      <c r="AI307" s="133" t="s">
        <v>810</v>
      </c>
    </row>
    <row r="308" spans="1:35" x14ac:dyDescent="0.2">
      <c r="B308" s="146" t="s">
        <v>31</v>
      </c>
      <c r="C308" s="147" t="s">
        <v>111</v>
      </c>
      <c r="D308" s="147" t="s">
        <v>37</v>
      </c>
      <c r="E308" s="148">
        <f>WEEKNUM(Table1[[#This Row],[Dt da abertura]],1)</f>
        <v>31</v>
      </c>
      <c r="F308" s="147" t="s">
        <v>812</v>
      </c>
      <c r="G308" s="147">
        <v>46232</v>
      </c>
      <c r="H308" s="147">
        <v>46234</v>
      </c>
      <c r="I308" s="147"/>
      <c r="J308" s="147"/>
      <c r="K308" s="149" t="s">
        <v>114</v>
      </c>
      <c r="L308" s="149" t="s">
        <v>11</v>
      </c>
      <c r="M308" s="149" t="str">
        <f>VLOOKUP(U308,Hierarquia!A:K,6,0)</f>
        <v>FADEL</v>
      </c>
      <c r="N308" s="149"/>
      <c r="O308" s="149" t="s">
        <v>115</v>
      </c>
      <c r="P308" s="133">
        <v>683</v>
      </c>
      <c r="Q308" s="135">
        <v>46232</v>
      </c>
      <c r="R308" s="133" t="s">
        <v>116</v>
      </c>
      <c r="S308" s="183" t="s">
        <v>133</v>
      </c>
      <c r="T308" s="133" t="s">
        <v>26</v>
      </c>
      <c r="U308" s="133" t="s">
        <v>118</v>
      </c>
      <c r="V308" s="183">
        <v>46232</v>
      </c>
      <c r="W308" s="133">
        <v>1592068</v>
      </c>
      <c r="X308" s="133">
        <v>6878373280</v>
      </c>
      <c r="Y308" s="133" t="s">
        <v>35</v>
      </c>
      <c r="AC308" s="133" t="s">
        <v>811</v>
      </c>
      <c r="AE308" s="133" t="s">
        <v>467</v>
      </c>
      <c r="AF308" s="133" t="s">
        <v>121</v>
      </c>
    </row>
  </sheetData>
  <phoneticPr fontId="4" type="noConversion"/>
  <conditionalFormatting sqref="B3:C3 B4:H4 B5:D61 F5:H60 E5:E137 F61:G61 H61:H66">
    <cfRule type="cellIs" dxfId="353" priority="310" operator="equal">
      <formula>"PENDENTE"</formula>
    </cfRule>
    <cfRule type="cellIs" dxfId="352" priority="311" operator="equal">
      <formula>"IMPROCEDENTE"</formula>
    </cfRule>
    <cfRule type="cellIs" dxfId="351" priority="312" operator="equal">
      <formula>"PROCEDENTE"</formula>
    </cfRule>
  </conditionalFormatting>
  <conditionalFormatting sqref="I49">
    <cfRule type="cellIs" dxfId="350" priority="94" operator="equal">
      <formula>"PENDENTE"</formula>
    </cfRule>
    <cfRule type="cellIs" dxfId="349" priority="95" operator="equal">
      <formula>"IMPROCEDENTE"</formula>
    </cfRule>
    <cfRule type="cellIs" dxfId="348" priority="96" operator="equal">
      <formula>"PROCEDENTE"</formula>
    </cfRule>
  </conditionalFormatting>
  <conditionalFormatting sqref="P88:P89 B62:D132 B133:B183 F62:G66 F67:H131">
    <cfRule type="cellIs" dxfId="347" priority="91" operator="equal">
      <formula>"PENDENTE"</formula>
    </cfRule>
    <cfRule type="cellIs" dxfId="346" priority="92" operator="equal">
      <formula>"IMPROCEDENTE"</formula>
    </cfRule>
    <cfRule type="cellIs" dxfId="345" priority="93" operator="equal">
      <formula>"PROCEDENTE"</formula>
    </cfRule>
  </conditionalFormatting>
  <conditionalFormatting sqref="C133:D139">
    <cfRule type="cellIs" dxfId="344" priority="88" operator="equal">
      <formula>"PENDENTE"</formula>
    </cfRule>
    <cfRule type="cellIs" dxfId="343" priority="89" operator="equal">
      <formula>"IMPROCEDENTE"</formula>
    </cfRule>
    <cfRule type="cellIs" dxfId="342" priority="90" operator="equal">
      <formula>"PROCEDENTE"</formula>
    </cfRule>
  </conditionalFormatting>
  <conditionalFormatting sqref="F132:H139 H140:H145">
    <cfRule type="cellIs" dxfId="341" priority="85" operator="equal">
      <formula>"PENDENTE"</formula>
    </cfRule>
    <cfRule type="cellIs" dxfId="340" priority="86" operator="equal">
      <formula>"IMPROCEDENTE"</formula>
    </cfRule>
    <cfRule type="cellIs" dxfId="339" priority="87" operator="equal">
      <formula>"PROCEDENTE"</formula>
    </cfRule>
  </conditionalFormatting>
  <conditionalFormatting sqref="H146:H287 H292:H295 H298:H308">
    <cfRule type="cellIs" dxfId="338" priority="82" operator="equal">
      <formula>"PENDENTE"</formula>
    </cfRule>
    <cfRule type="cellIs" dxfId="337" priority="83" operator="equal">
      <formula>"IMPROCEDENTE"</formula>
    </cfRule>
    <cfRule type="cellIs" dxfId="336" priority="84" operator="equal">
      <formula>"PROCEDENTE"</formula>
    </cfRule>
  </conditionalFormatting>
  <conditionalFormatting sqref="C140:D168 C169:C287 C292:C295 C298:C308">
    <cfRule type="cellIs" dxfId="335" priority="79" operator="equal">
      <formula>"PENDENTE"</formula>
    </cfRule>
    <cfRule type="cellIs" dxfId="334" priority="80" operator="equal">
      <formula>"IMPROCEDENTE"</formula>
    </cfRule>
    <cfRule type="cellIs" dxfId="333" priority="81" operator="equal">
      <formula>"PROCEDENTE"</formula>
    </cfRule>
  </conditionalFormatting>
  <conditionalFormatting sqref="F140:G168">
    <cfRule type="cellIs" dxfId="332" priority="76" operator="equal">
      <formula>"PENDENTE"</formula>
    </cfRule>
    <cfRule type="cellIs" dxfId="331" priority="77" operator="equal">
      <formula>"IMPROCEDENTE"</formula>
    </cfRule>
    <cfRule type="cellIs" dxfId="330" priority="78" operator="equal">
      <formula>"PROCEDENTE"</formula>
    </cfRule>
  </conditionalFormatting>
  <conditionalFormatting sqref="F169:F221">
    <cfRule type="cellIs" dxfId="329" priority="73" operator="equal">
      <formula>"PENDENTE"</formula>
    </cfRule>
    <cfRule type="cellIs" dxfId="328" priority="74" operator="equal">
      <formula>"IMPROCEDENTE"</formula>
    </cfRule>
    <cfRule type="cellIs" dxfId="327" priority="75" operator="equal">
      <formula>"PROCEDENTE"</formula>
    </cfRule>
  </conditionalFormatting>
  <conditionalFormatting sqref="G169:G287 G292:G295 G298:G308">
    <cfRule type="cellIs" dxfId="326" priority="70" operator="equal">
      <formula>"PENDENTE"</formula>
    </cfRule>
    <cfRule type="cellIs" dxfId="325" priority="71" operator="equal">
      <formula>"IMPROCEDENTE"</formula>
    </cfRule>
    <cfRule type="cellIs" dxfId="324" priority="72" operator="equal">
      <formula>"PROCEDENTE"</formula>
    </cfRule>
  </conditionalFormatting>
  <conditionalFormatting sqref="D184:D287 D292:D295 D298:D308">
    <cfRule type="cellIs" dxfId="323" priority="67" operator="equal">
      <formula>"PENDENTE"</formula>
    </cfRule>
    <cfRule type="cellIs" dxfId="322" priority="68" operator="equal">
      <formula>"IMPROCEDENTE"</formula>
    </cfRule>
    <cfRule type="cellIs" dxfId="321" priority="69" operator="equal">
      <formula>"PROCEDENTE"</formula>
    </cfRule>
  </conditionalFormatting>
  <conditionalFormatting sqref="B184">
    <cfRule type="cellIs" dxfId="320" priority="61" operator="equal">
      <formula>"PENDENTE"</formula>
    </cfRule>
    <cfRule type="cellIs" dxfId="319" priority="62" operator="equal">
      <formula>"IMPROCEDENTE"</formula>
    </cfRule>
    <cfRule type="cellIs" dxfId="318" priority="63" operator="equal">
      <formula>"PROCEDENTE"</formula>
    </cfRule>
  </conditionalFormatting>
  <conditionalFormatting sqref="D169:D183">
    <cfRule type="cellIs" dxfId="317" priority="58" operator="equal">
      <formula>"PENDENTE"</formula>
    </cfRule>
    <cfRule type="cellIs" dxfId="316" priority="59" operator="equal">
      <formula>"IMPROCEDENTE"</formula>
    </cfRule>
    <cfRule type="cellIs" dxfId="315" priority="60" operator="equal">
      <formula>"PROCEDENTE"</formula>
    </cfRule>
  </conditionalFormatting>
  <conditionalFormatting sqref="B185:B190 B192:B287 B292:B295 B298:B308">
    <cfRule type="cellIs" dxfId="314" priority="55" operator="equal">
      <formula>"PENDENTE"</formula>
    </cfRule>
    <cfRule type="cellIs" dxfId="313" priority="56" operator="equal">
      <formula>"IMPROCEDENTE"</formula>
    </cfRule>
    <cfRule type="cellIs" dxfId="312" priority="57" operator="equal">
      <formula>"PROCEDENTE"</formula>
    </cfRule>
  </conditionalFormatting>
  <conditionalFormatting sqref="I214:I289 I291:I295 I298:I308">
    <cfRule type="cellIs" dxfId="311" priority="52" operator="equal">
      <formula>"PENDENTE"</formula>
    </cfRule>
    <cfRule type="cellIs" dxfId="310" priority="53" operator="equal">
      <formula>"IMPROCEDENTE"</formula>
    </cfRule>
    <cfRule type="cellIs" dxfId="309" priority="54" operator="equal">
      <formula>"PROCEDENTE"</formula>
    </cfRule>
  </conditionalFormatting>
  <conditionalFormatting sqref="F222">
    <cfRule type="cellIs" dxfId="308" priority="49" operator="equal">
      <formula>"PENDENTE"</formula>
    </cfRule>
    <cfRule type="cellIs" dxfId="307" priority="50" operator="equal">
      <formula>"IMPROCEDENTE"</formula>
    </cfRule>
    <cfRule type="cellIs" dxfId="306" priority="51" operator="equal">
      <formula>"PROCEDENTE"</formula>
    </cfRule>
  </conditionalFormatting>
  <conditionalFormatting sqref="F223:F287 F292:F295 F298:F308">
    <cfRule type="cellIs" dxfId="305" priority="46" operator="equal">
      <formula>"PENDENTE"</formula>
    </cfRule>
    <cfRule type="cellIs" dxfId="304" priority="47" operator="equal">
      <formula>"IMPROCEDENTE"</formula>
    </cfRule>
    <cfRule type="cellIs" dxfId="303" priority="48" operator="equal">
      <formula>"PROCEDENTE"</formula>
    </cfRule>
  </conditionalFormatting>
  <conditionalFormatting sqref="B191">
    <cfRule type="cellIs" dxfId="302" priority="43" operator="equal">
      <formula>"PENDENTE"</formula>
    </cfRule>
    <cfRule type="cellIs" dxfId="301" priority="44" operator="equal">
      <formula>"IMPROCEDENTE"</formula>
    </cfRule>
    <cfRule type="cellIs" dxfId="300" priority="45" operator="equal">
      <formula>"PROCEDENTE"</formula>
    </cfRule>
  </conditionalFormatting>
  <conditionalFormatting sqref="H288:H291">
    <cfRule type="cellIs" dxfId="299" priority="40" operator="equal">
      <formula>"PENDENTE"</formula>
    </cfRule>
    <cfRule type="cellIs" dxfId="298" priority="41" operator="equal">
      <formula>"IMPROCEDENTE"</formula>
    </cfRule>
    <cfRule type="cellIs" dxfId="297" priority="42" operator="equal">
      <formula>"PROCEDENTE"</formula>
    </cfRule>
  </conditionalFormatting>
  <conditionalFormatting sqref="C288:C291">
    <cfRule type="cellIs" dxfId="296" priority="37" operator="equal">
      <formula>"PENDENTE"</formula>
    </cfRule>
    <cfRule type="cellIs" dxfId="295" priority="38" operator="equal">
      <formula>"IMPROCEDENTE"</formula>
    </cfRule>
    <cfRule type="cellIs" dxfId="294" priority="39" operator="equal">
      <formula>"PROCEDENTE"</formula>
    </cfRule>
  </conditionalFormatting>
  <conditionalFormatting sqref="G288:G291">
    <cfRule type="cellIs" dxfId="293" priority="34" operator="equal">
      <formula>"PENDENTE"</formula>
    </cfRule>
    <cfRule type="cellIs" dxfId="292" priority="35" operator="equal">
      <formula>"IMPROCEDENTE"</formula>
    </cfRule>
    <cfRule type="cellIs" dxfId="291" priority="36" operator="equal">
      <formula>"PROCEDENTE"</formula>
    </cfRule>
  </conditionalFormatting>
  <conditionalFormatting sqref="D288:D291">
    <cfRule type="cellIs" dxfId="290" priority="31" operator="equal">
      <formula>"PENDENTE"</formula>
    </cfRule>
    <cfRule type="cellIs" dxfId="289" priority="32" operator="equal">
      <formula>"IMPROCEDENTE"</formula>
    </cfRule>
    <cfRule type="cellIs" dxfId="288" priority="33" operator="equal">
      <formula>"PROCEDENTE"</formula>
    </cfRule>
  </conditionalFormatting>
  <conditionalFormatting sqref="B288:B291">
    <cfRule type="cellIs" dxfId="287" priority="28" operator="equal">
      <formula>"PENDENTE"</formula>
    </cfRule>
    <cfRule type="cellIs" dxfId="286" priority="29" operator="equal">
      <formula>"IMPROCEDENTE"</formula>
    </cfRule>
    <cfRule type="cellIs" dxfId="285" priority="30" operator="equal">
      <formula>"PROCEDENTE"</formula>
    </cfRule>
  </conditionalFormatting>
  <conditionalFormatting sqref="I290">
    <cfRule type="cellIs" dxfId="284" priority="25" operator="equal">
      <formula>"PENDENTE"</formula>
    </cfRule>
    <cfRule type="cellIs" dxfId="283" priority="26" operator="equal">
      <formula>"IMPROCEDENTE"</formula>
    </cfRule>
    <cfRule type="cellIs" dxfId="282" priority="27" operator="equal">
      <formula>"PROCEDENTE"</formula>
    </cfRule>
  </conditionalFormatting>
  <conditionalFormatting sqref="F288:F291">
    <cfRule type="cellIs" dxfId="281" priority="22" operator="equal">
      <formula>"PENDENTE"</formula>
    </cfRule>
    <cfRule type="cellIs" dxfId="280" priority="23" operator="equal">
      <formula>"IMPROCEDENTE"</formula>
    </cfRule>
    <cfRule type="cellIs" dxfId="279" priority="24" operator="equal">
      <formula>"PROCEDENTE"</formula>
    </cfRule>
  </conditionalFormatting>
  <conditionalFormatting sqref="H296:H297">
    <cfRule type="cellIs" dxfId="278" priority="19" operator="equal">
      <formula>"PENDENTE"</formula>
    </cfRule>
    <cfRule type="cellIs" dxfId="277" priority="20" operator="equal">
      <formula>"IMPROCEDENTE"</formula>
    </cfRule>
    <cfRule type="cellIs" dxfId="276" priority="21" operator="equal">
      <formula>"PROCEDENTE"</formula>
    </cfRule>
  </conditionalFormatting>
  <conditionalFormatting sqref="C296:C297">
    <cfRule type="cellIs" dxfId="275" priority="16" operator="equal">
      <formula>"PENDENTE"</formula>
    </cfRule>
    <cfRule type="cellIs" dxfId="274" priority="17" operator="equal">
      <formula>"IMPROCEDENTE"</formula>
    </cfRule>
    <cfRule type="cellIs" dxfId="273" priority="18" operator="equal">
      <formula>"PROCEDENTE"</formula>
    </cfRule>
  </conditionalFormatting>
  <conditionalFormatting sqref="G296:G297">
    <cfRule type="cellIs" dxfId="272" priority="13" operator="equal">
      <formula>"PENDENTE"</formula>
    </cfRule>
    <cfRule type="cellIs" dxfId="271" priority="14" operator="equal">
      <formula>"IMPROCEDENTE"</formula>
    </cfRule>
    <cfRule type="cellIs" dxfId="270" priority="15" operator="equal">
      <formula>"PROCEDENTE"</formula>
    </cfRule>
  </conditionalFormatting>
  <conditionalFormatting sqref="D296:D297">
    <cfRule type="cellIs" dxfId="269" priority="10" operator="equal">
      <formula>"PENDENTE"</formula>
    </cfRule>
    <cfRule type="cellIs" dxfId="268" priority="11" operator="equal">
      <formula>"IMPROCEDENTE"</formula>
    </cfRule>
    <cfRule type="cellIs" dxfId="267" priority="12" operator="equal">
      <formula>"PROCEDENTE"</formula>
    </cfRule>
  </conditionalFormatting>
  <conditionalFormatting sqref="B296:B297">
    <cfRule type="cellIs" dxfId="266" priority="7" operator="equal">
      <formula>"PENDENTE"</formula>
    </cfRule>
    <cfRule type="cellIs" dxfId="265" priority="8" operator="equal">
      <formula>"IMPROCEDENTE"</formula>
    </cfRule>
    <cfRule type="cellIs" dxfId="264" priority="9" operator="equal">
      <formula>"PROCEDENTE"</formula>
    </cfRule>
  </conditionalFormatting>
  <conditionalFormatting sqref="I296:I297">
    <cfRule type="cellIs" dxfId="263" priority="4" operator="equal">
      <formula>"PENDENTE"</formula>
    </cfRule>
    <cfRule type="cellIs" dxfId="262" priority="5" operator="equal">
      <formula>"IMPROCEDENTE"</formula>
    </cfRule>
    <cfRule type="cellIs" dxfId="261" priority="6" operator="equal">
      <formula>"PROCEDENTE"</formula>
    </cfRule>
  </conditionalFormatting>
  <conditionalFormatting sqref="F296:F297">
    <cfRule type="cellIs" dxfId="260" priority="1" operator="equal">
      <formula>"PENDENTE"</formula>
    </cfRule>
    <cfRule type="cellIs" dxfId="259" priority="2" operator="equal">
      <formula>"IMPROCEDENTE"</formula>
    </cfRule>
    <cfRule type="cellIs" dxfId="258" priority="3" operator="equal">
      <formula>"PROCEDENTE"</formula>
    </cfRule>
  </conditionalFormatting>
  <hyperlinks>
    <hyperlink ref="S8" r:id="rId1" xr:uid="{977E7411-669C-43F2-8059-8FC7DAB79E58}"/>
    <hyperlink ref="S6" r:id="rId2" xr:uid="{A82CC458-9CD3-4AD9-8930-4CF7A6B77270}"/>
    <hyperlink ref="S5" r:id="rId3" xr:uid="{3E19532F-82B9-483F-81C1-A10AEBD01057}"/>
    <hyperlink ref="S9" r:id="rId4" xr:uid="{5E309458-56C2-43EC-AE97-470C36BD5324}"/>
    <hyperlink ref="S10" r:id="rId5" xr:uid="{18CB2483-87EF-4E5D-AA80-148C99D82505}"/>
    <hyperlink ref="S13" r:id="rId6" xr:uid="{01A4A0BF-B149-4AB0-8E4D-856801858441}"/>
    <hyperlink ref="S15" r:id="rId7" xr:uid="{3F73AA65-F845-4801-A0C6-39FC1021ADF2}"/>
    <hyperlink ref="S17" r:id="rId8" xr:uid="{274EAADC-D05D-4831-8131-EBC7C963159B}"/>
    <hyperlink ref="S18" r:id="rId9" xr:uid="{372E4081-2848-43E6-A195-3288F3667DAB}"/>
    <hyperlink ref="S26" r:id="rId10" xr:uid="{B02DD5F0-62EE-4D92-905B-8437354EE637}"/>
    <hyperlink ref="S25" r:id="rId11" xr:uid="{9846B19E-32E7-42E9-8A60-2F5563227B2F}"/>
    <hyperlink ref="S28" r:id="rId12" xr:uid="{C0BEE185-AC77-4CD6-9440-B43057587ECA}"/>
    <hyperlink ref="S40" r:id="rId13" xr:uid="{7BE6FC1B-8E95-4C0A-927C-0DD78A147448}"/>
    <hyperlink ref="S42" r:id="rId14" xr:uid="{11601FC2-BADC-4452-BAF8-4B459E100A11}"/>
    <hyperlink ref="S39" r:id="rId15" xr:uid="{AB31D7F3-B000-437B-BEBB-DBC434A513B4}"/>
    <hyperlink ref="S44" r:id="rId16" xr:uid="{BEEF5B98-50E3-439B-BEE8-1609AA8B19F6}"/>
    <hyperlink ref="S47" r:id="rId17" xr:uid="{1060329F-2046-4C64-87C2-4098DD5F6A03}"/>
    <hyperlink ref="S49" r:id="rId18" xr:uid="{EF8E871D-BFAA-4EC1-9714-BE2980848D6A}"/>
    <hyperlink ref="S51" r:id="rId19" xr:uid="{E62B9D32-B616-4716-A255-8A82C209CDC3}"/>
    <hyperlink ref="S52" r:id="rId20" xr:uid="{64C61E6B-A53A-4ADE-94EC-DA86018C9B61}"/>
    <hyperlink ref="S67" r:id="rId21" xr:uid="{DCE994FA-4C17-4D08-B54C-7803DFE80EBC}"/>
    <hyperlink ref="S75" r:id="rId22" xr:uid="{375E0ECA-7101-4C71-84ED-E06CC4794EAF}"/>
    <hyperlink ref="S79" r:id="rId23" xr:uid="{F0677C79-509D-4D1F-8FD9-97AA4A09BA76}"/>
    <hyperlink ref="S81" r:id="rId24" xr:uid="{A4DE90D1-5251-4828-B85D-1FEBA16FA07C}"/>
    <hyperlink ref="S101" r:id="rId25" xr:uid="{09AD7281-AA2E-47B8-963F-0A1E632A9A19}"/>
    <hyperlink ref="S103" r:id="rId26" xr:uid="{E9C5A520-FA38-4569-9CF6-8494C9CB90F3}"/>
    <hyperlink ref="S104" r:id="rId27" xr:uid="{11AA238E-4F1B-487A-91F1-ED46474DC3E5}"/>
    <hyperlink ref="S105" r:id="rId28" xr:uid="{67078EA1-1B82-4045-8877-3BD51E3C275D}"/>
    <hyperlink ref="S106" r:id="rId29" xr:uid="{5758A12A-F135-4F37-B03A-CBE3734BA8E5}"/>
    <hyperlink ref="S130" r:id="rId30" xr:uid="{7EEB2209-73C3-41F8-AA63-C28BC32FBC75}"/>
    <hyperlink ref="S144" r:id="rId31" xr:uid="{0DEF3ADB-6E82-46AE-BED8-BF57027045B0}"/>
    <hyperlink ref="S202" r:id="rId32" xr:uid="{199ABE15-A574-4741-9D07-B1628B48BDBC}"/>
    <hyperlink ref="S194" r:id="rId33" xr:uid="{0C9C9A94-F9D2-4D32-B80A-84E5C5193520}"/>
    <hyperlink ref="S195" r:id="rId34" xr:uid="{FAC5B076-7D77-4E10-944A-39E7F99F9F20}"/>
  </hyperlinks>
  <pageMargins left="0.511811024" right="0.511811024" top="0.78740157499999996" bottom="0.78740157499999996" header="0.31496062000000002" footer="0.31496062000000002"/>
  <pageSetup orientation="portrait" verticalDpi="599" r:id="rId35"/>
  <drawing r:id="rId36"/>
  <legacyDrawing r:id="rId37"/>
  <mc:AlternateContent xmlns:mc="http://schemas.openxmlformats.org/markup-compatibility/2006">
    <mc:Choice Requires="x14">
      <controls>
        <mc:AlternateContent xmlns:mc="http://schemas.openxmlformats.org/markup-compatibility/2006">
          <mc:Choice Requires="x14">
            <control shapeId="13315" r:id="rId38" name="Button 3">
              <controlPr defaultSize="0" print="0" autoFill="0" autoPict="0" macro="[0]!Macro1">
                <anchor moveWithCells="1" sizeWithCells="1">
                  <from>
                    <xdr:col>0</xdr:col>
                    <xdr:colOff>0</xdr:colOff>
                    <xdr:row>1</xdr:row>
                    <xdr:rowOff>323850</xdr:rowOff>
                  </from>
                  <to>
                    <xdr:col>0</xdr:col>
                    <xdr:colOff>581025</xdr:colOff>
                    <xdr:row>1</xdr:row>
                    <xdr:rowOff>504825</xdr:rowOff>
                  </to>
                </anchor>
              </controlPr>
            </control>
          </mc:Choice>
        </mc:AlternateContent>
      </controls>
    </mc:Choice>
  </mc:AlternateContent>
  <tableParts count="1">
    <tablePart r:id="rId39"/>
  </tableParts>
  <extLst>
    <ext xmlns:x15="http://schemas.microsoft.com/office/spreadsheetml/2010/11/main" uri="{3A4CF648-6AED-40f4-86FF-DC5316D8AED3}">
      <x14:slicerList xmlns:x14="http://schemas.microsoft.com/office/spreadsheetml/2009/9/main">
        <x14:slicer r:id="rId40"/>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3" filterMode="1"/>
  <dimension ref="A1:R75"/>
  <sheetViews>
    <sheetView zoomScale="130" zoomScaleNormal="130" workbookViewId="0">
      <pane xSplit="1" topLeftCell="B1" activePane="topRight" state="frozen"/>
      <selection pane="topRight" activeCell="A5" sqref="A5"/>
    </sheetView>
  </sheetViews>
  <sheetFormatPr defaultColWidth="9.140625" defaultRowHeight="12" x14ac:dyDescent="0.2"/>
  <cols>
    <col min="1" max="1" width="10.140625" style="2" customWidth="1"/>
    <col min="2" max="2" width="7.140625" style="2" customWidth="1"/>
    <col min="3" max="3" width="7.85546875" style="2" customWidth="1"/>
    <col min="4" max="4" width="5.5703125" style="2" bestFit="1" customWidth="1"/>
    <col min="5" max="5" width="8.140625" style="2" customWidth="1"/>
    <col min="6" max="6" width="5.5703125" style="2" customWidth="1"/>
    <col min="7" max="7" width="5.140625" style="2" customWidth="1"/>
    <col min="8" max="8" width="11.85546875" style="2" customWidth="1"/>
    <col min="9" max="9" width="7.85546875" style="2" customWidth="1"/>
    <col min="10" max="10" width="9.85546875" style="2" customWidth="1"/>
    <col min="11" max="11" width="10.140625" style="2" customWidth="1"/>
    <col min="12" max="12" width="28.5703125" style="1" bestFit="1" customWidth="1"/>
    <col min="13" max="13" width="14.85546875" style="1" customWidth="1"/>
    <col min="14" max="14" width="10.140625" style="1" customWidth="1"/>
    <col min="15" max="15" width="5.5703125" style="1" customWidth="1"/>
    <col min="16" max="16" width="0.42578125" style="1" customWidth="1"/>
    <col min="17" max="17" width="81.5703125" style="1" customWidth="1"/>
    <col min="18" max="18" width="78" style="1" customWidth="1"/>
    <col min="19" max="16384" width="9.140625" style="1"/>
  </cols>
  <sheetData>
    <row r="1" spans="1:18" ht="33.6" customHeight="1" x14ac:dyDescent="0.2">
      <c r="A1" s="3" t="s">
        <v>635</v>
      </c>
      <c r="B1" s="3" t="s">
        <v>636</v>
      </c>
      <c r="C1" s="3" t="s">
        <v>637</v>
      </c>
      <c r="D1" s="3" t="s">
        <v>638</v>
      </c>
      <c r="E1" s="3" t="s">
        <v>639</v>
      </c>
      <c r="F1" s="3" t="s">
        <v>20</v>
      </c>
      <c r="G1" s="3" t="s">
        <v>640</v>
      </c>
      <c r="H1" s="3" t="s">
        <v>641</v>
      </c>
      <c r="I1" s="3" t="s">
        <v>642</v>
      </c>
      <c r="J1" s="3" t="s">
        <v>643</v>
      </c>
      <c r="K1" s="3" t="s">
        <v>85</v>
      </c>
      <c r="L1" s="3" t="s">
        <v>644</v>
      </c>
      <c r="M1" s="3" t="s">
        <v>645</v>
      </c>
      <c r="N1" s="3" t="s">
        <v>646</v>
      </c>
      <c r="O1" s="3" t="s">
        <v>647</v>
      </c>
      <c r="P1" s="3" t="s">
        <v>648</v>
      </c>
      <c r="Q1" s="3" t="s">
        <v>649</v>
      </c>
      <c r="R1" s="3" t="s">
        <v>650</v>
      </c>
    </row>
    <row r="2" spans="1:18" ht="12" hidden="1" customHeight="1" x14ac:dyDescent="0.25">
      <c r="A2" s="4" t="s">
        <v>185</v>
      </c>
      <c r="B2" s="4" t="s">
        <v>651</v>
      </c>
      <c r="C2" s="4">
        <v>90070601</v>
      </c>
      <c r="D2" s="4">
        <v>6273</v>
      </c>
      <c r="E2" s="4" t="s">
        <v>652</v>
      </c>
      <c r="F2" s="4" t="s">
        <v>653</v>
      </c>
      <c r="G2" s="4" t="s">
        <v>654</v>
      </c>
      <c r="H2" s="4" t="s">
        <v>655</v>
      </c>
      <c r="I2" s="4" t="s">
        <v>656</v>
      </c>
      <c r="J2" s="4" t="s">
        <v>115</v>
      </c>
      <c r="K2" s="4" t="s">
        <v>11</v>
      </c>
      <c r="L2" s="4" t="s">
        <v>657</v>
      </c>
      <c r="M2" s="4" t="s">
        <v>652</v>
      </c>
      <c r="N2" s="4" t="s">
        <v>658</v>
      </c>
      <c r="O2" s="4" t="s">
        <v>659</v>
      </c>
      <c r="P2" s="4" t="str">
        <f>CONCATENATE(K2," /",F2)</f>
        <v>TD Curitiba /FADEL</v>
      </c>
      <c r="Q2" s="4" t="s">
        <v>660</v>
      </c>
      <c r="R2" s="23" t="s">
        <v>661</v>
      </c>
    </row>
    <row r="3" spans="1:18" ht="12" hidden="1" customHeight="1" x14ac:dyDescent="0.25">
      <c r="A3" s="4" t="s">
        <v>152</v>
      </c>
      <c r="B3" s="4" t="s">
        <v>662</v>
      </c>
      <c r="C3" s="4">
        <v>90070592</v>
      </c>
      <c r="D3" s="4">
        <v>6710</v>
      </c>
      <c r="E3" s="4" t="s">
        <v>652</v>
      </c>
      <c r="F3" s="4" t="s">
        <v>653</v>
      </c>
      <c r="G3" s="4" t="s">
        <v>654</v>
      </c>
      <c r="H3" s="4" t="s">
        <v>655</v>
      </c>
      <c r="I3" s="4" t="s">
        <v>663</v>
      </c>
      <c r="J3" s="4" t="s">
        <v>115</v>
      </c>
      <c r="K3" s="4" t="s">
        <v>11</v>
      </c>
      <c r="L3" s="4" t="s">
        <v>657</v>
      </c>
      <c r="M3" s="4" t="s">
        <v>652</v>
      </c>
      <c r="N3" s="4" t="s">
        <v>658</v>
      </c>
      <c r="O3" s="4" t="s">
        <v>659</v>
      </c>
      <c r="P3" s="4" t="str">
        <f t="shared" ref="P3:P54" si="0">CONCATENATE(K3," /",F3)</f>
        <v>TD Curitiba /FADEL</v>
      </c>
      <c r="Q3" s="4" t="s">
        <v>660</v>
      </c>
      <c r="R3" s="23" t="s">
        <v>661</v>
      </c>
    </row>
    <row r="4" spans="1:18" ht="12" hidden="1" customHeight="1" x14ac:dyDescent="0.25">
      <c r="A4" s="4" t="s">
        <v>118</v>
      </c>
      <c r="B4" s="4" t="s">
        <v>664</v>
      </c>
      <c r="C4" s="4">
        <v>90070589</v>
      </c>
      <c r="D4" s="4">
        <v>5070</v>
      </c>
      <c r="E4" s="4" t="s">
        <v>652</v>
      </c>
      <c r="F4" s="4" t="s">
        <v>653</v>
      </c>
      <c r="G4" s="4" t="s">
        <v>654</v>
      </c>
      <c r="H4" s="4" t="s">
        <v>655</v>
      </c>
      <c r="I4" s="4" t="s">
        <v>663</v>
      </c>
      <c r="J4" s="4" t="s">
        <v>115</v>
      </c>
      <c r="K4" s="4" t="s">
        <v>11</v>
      </c>
      <c r="L4" s="4" t="s">
        <v>657</v>
      </c>
      <c r="M4" s="4" t="s">
        <v>652</v>
      </c>
      <c r="N4" s="4" t="s">
        <v>658</v>
      </c>
      <c r="O4" s="4" t="s">
        <v>659</v>
      </c>
      <c r="P4" s="4" t="str">
        <f t="shared" si="0"/>
        <v>TD Curitiba /FADEL</v>
      </c>
      <c r="Q4" s="4" t="s">
        <v>660</v>
      </c>
      <c r="R4" s="23" t="s">
        <v>661</v>
      </c>
    </row>
    <row r="5" spans="1:18" ht="12" customHeight="1" x14ac:dyDescent="0.25">
      <c r="A5" s="4" t="s">
        <v>540</v>
      </c>
      <c r="B5" s="4" t="s">
        <v>665</v>
      </c>
      <c r="C5" s="4">
        <v>90070620</v>
      </c>
      <c r="D5" s="4">
        <v>7033</v>
      </c>
      <c r="E5" s="4" t="s">
        <v>652</v>
      </c>
      <c r="F5" s="4" t="s">
        <v>653</v>
      </c>
      <c r="G5" s="4" t="s">
        <v>654</v>
      </c>
      <c r="H5" s="4" t="s">
        <v>666</v>
      </c>
      <c r="I5" s="4" t="s">
        <v>663</v>
      </c>
      <c r="J5" s="4" t="s">
        <v>115</v>
      </c>
      <c r="K5" s="4" t="s">
        <v>11</v>
      </c>
      <c r="L5" s="4" t="s">
        <v>657</v>
      </c>
      <c r="M5" s="4" t="s">
        <v>652</v>
      </c>
      <c r="N5" s="4" t="s">
        <v>658</v>
      </c>
      <c r="O5" s="4" t="s">
        <v>659</v>
      </c>
      <c r="P5" s="4" t="str">
        <f t="shared" si="0"/>
        <v>TD Curitiba /FADEL</v>
      </c>
      <c r="Q5" s="4" t="s">
        <v>660</v>
      </c>
      <c r="R5" s="23" t="s">
        <v>661</v>
      </c>
    </row>
    <row r="6" spans="1:18" ht="12" hidden="1" customHeight="1" x14ac:dyDescent="0.25">
      <c r="A6" s="4" t="s">
        <v>227</v>
      </c>
      <c r="B6" s="4" t="s">
        <v>667</v>
      </c>
      <c r="C6" s="4">
        <v>90070615</v>
      </c>
      <c r="D6" s="4">
        <v>7020</v>
      </c>
      <c r="E6" s="4" t="s">
        <v>652</v>
      </c>
      <c r="F6" s="4" t="s">
        <v>653</v>
      </c>
      <c r="G6" s="4" t="s">
        <v>654</v>
      </c>
      <c r="H6" s="4" t="s">
        <v>655</v>
      </c>
      <c r="I6" s="4" t="s">
        <v>663</v>
      </c>
      <c r="J6" s="4" t="s">
        <v>115</v>
      </c>
      <c r="K6" s="4" t="s">
        <v>11</v>
      </c>
      <c r="L6" s="4" t="s">
        <v>657</v>
      </c>
      <c r="M6" s="4" t="s">
        <v>652</v>
      </c>
      <c r="N6" s="4" t="s">
        <v>658</v>
      </c>
      <c r="O6" s="4" t="s">
        <v>659</v>
      </c>
      <c r="P6" s="4" t="str">
        <f t="shared" si="0"/>
        <v>TD Curitiba /FADEL</v>
      </c>
      <c r="Q6" s="4" t="s">
        <v>660</v>
      </c>
      <c r="R6" s="23" t="s">
        <v>661</v>
      </c>
    </row>
    <row r="7" spans="1:18" ht="12" hidden="1" customHeight="1" x14ac:dyDescent="0.25">
      <c r="A7" s="4" t="s">
        <v>349</v>
      </c>
      <c r="B7" s="4" t="s">
        <v>668</v>
      </c>
      <c r="C7" s="4">
        <v>90070632</v>
      </c>
      <c r="D7" s="4">
        <v>4062</v>
      </c>
      <c r="E7" s="4" t="s">
        <v>652</v>
      </c>
      <c r="F7" s="4" t="s">
        <v>653</v>
      </c>
      <c r="G7" s="4" t="s">
        <v>654</v>
      </c>
      <c r="H7" s="4" t="s">
        <v>666</v>
      </c>
      <c r="I7" s="4" t="s">
        <v>663</v>
      </c>
      <c r="J7" s="4" t="s">
        <v>115</v>
      </c>
      <c r="K7" s="4" t="s">
        <v>11</v>
      </c>
      <c r="L7" s="4" t="s">
        <v>657</v>
      </c>
      <c r="M7" s="4" t="s">
        <v>652</v>
      </c>
      <c r="N7" s="4" t="s">
        <v>658</v>
      </c>
      <c r="O7" s="4" t="s">
        <v>659</v>
      </c>
      <c r="P7" s="4" t="str">
        <f t="shared" si="0"/>
        <v>TD Curitiba /FADEL</v>
      </c>
      <c r="Q7" s="4" t="s">
        <v>660</v>
      </c>
      <c r="R7" s="23" t="s">
        <v>661</v>
      </c>
    </row>
    <row r="8" spans="1:18" ht="12" hidden="1" customHeight="1" x14ac:dyDescent="0.25">
      <c r="A8" s="4" t="s">
        <v>472</v>
      </c>
      <c r="B8" s="4" t="s">
        <v>669</v>
      </c>
      <c r="C8" s="4">
        <v>90070633</v>
      </c>
      <c r="D8" s="4">
        <v>4067</v>
      </c>
      <c r="E8" s="4" t="s">
        <v>652</v>
      </c>
      <c r="F8" s="4" t="s">
        <v>653</v>
      </c>
      <c r="G8" s="4" t="s">
        <v>654</v>
      </c>
      <c r="H8" s="4" t="s">
        <v>666</v>
      </c>
      <c r="I8" s="4" t="s">
        <v>663</v>
      </c>
      <c r="J8" s="4" t="s">
        <v>115</v>
      </c>
      <c r="K8" s="4" t="s">
        <v>11</v>
      </c>
      <c r="L8" s="4" t="s">
        <v>657</v>
      </c>
      <c r="M8" s="4" t="s">
        <v>652</v>
      </c>
      <c r="N8" s="4" t="s">
        <v>658</v>
      </c>
      <c r="O8" s="4" t="s">
        <v>659</v>
      </c>
      <c r="P8" s="4" t="str">
        <f t="shared" si="0"/>
        <v>TD Curitiba /FADEL</v>
      </c>
      <c r="Q8" s="4" t="s">
        <v>660</v>
      </c>
      <c r="R8" s="23" t="s">
        <v>661</v>
      </c>
    </row>
    <row r="9" spans="1:18" ht="12" hidden="1" customHeight="1" x14ac:dyDescent="0.25">
      <c r="A9" s="4" t="s">
        <v>215</v>
      </c>
      <c r="B9" s="4" t="s">
        <v>670</v>
      </c>
      <c r="C9" s="4">
        <v>90070600</v>
      </c>
      <c r="D9" s="4">
        <v>6272</v>
      </c>
      <c r="E9" s="4" t="s">
        <v>652</v>
      </c>
      <c r="F9" s="4" t="s">
        <v>653</v>
      </c>
      <c r="G9" s="4" t="s">
        <v>654</v>
      </c>
      <c r="H9" s="4" t="s">
        <v>655</v>
      </c>
      <c r="I9" s="4" t="s">
        <v>663</v>
      </c>
      <c r="J9" s="4" t="s">
        <v>115</v>
      </c>
      <c r="K9" s="4" t="s">
        <v>11</v>
      </c>
      <c r="L9" s="4" t="s">
        <v>657</v>
      </c>
      <c r="M9" s="4" t="s">
        <v>652</v>
      </c>
      <c r="N9" s="4" t="s">
        <v>658</v>
      </c>
      <c r="O9" s="4" t="s">
        <v>659</v>
      </c>
      <c r="P9" s="4" t="str">
        <f t="shared" si="0"/>
        <v>TD Curitiba /FADEL</v>
      </c>
      <c r="Q9" s="4" t="s">
        <v>660</v>
      </c>
      <c r="R9" s="23" t="s">
        <v>661</v>
      </c>
    </row>
    <row r="10" spans="1:18" ht="12" hidden="1" customHeight="1" x14ac:dyDescent="0.25">
      <c r="A10" s="4" t="s">
        <v>316</v>
      </c>
      <c r="B10" s="4" t="s">
        <v>671</v>
      </c>
      <c r="C10" s="4">
        <v>90070609</v>
      </c>
      <c r="D10" s="4">
        <v>6280</v>
      </c>
      <c r="E10" s="4" t="s">
        <v>652</v>
      </c>
      <c r="F10" s="4" t="s">
        <v>653</v>
      </c>
      <c r="G10" s="4" t="s">
        <v>654</v>
      </c>
      <c r="H10" s="4" t="s">
        <v>655</v>
      </c>
      <c r="I10" s="4" t="s">
        <v>656</v>
      </c>
      <c r="J10" s="4" t="s">
        <v>115</v>
      </c>
      <c r="K10" s="4" t="s">
        <v>11</v>
      </c>
      <c r="L10" s="4" t="s">
        <v>657</v>
      </c>
      <c r="M10" s="4" t="s">
        <v>652</v>
      </c>
      <c r="N10" s="4" t="s">
        <v>658</v>
      </c>
      <c r="O10" s="4" t="s">
        <v>659</v>
      </c>
      <c r="P10" s="4" t="str">
        <f t="shared" si="0"/>
        <v>TD Curitiba /FADEL</v>
      </c>
      <c r="Q10" s="4" t="s">
        <v>660</v>
      </c>
      <c r="R10" s="23" t="s">
        <v>661</v>
      </c>
    </row>
    <row r="11" spans="1:18" ht="12" hidden="1" customHeight="1" x14ac:dyDescent="0.25">
      <c r="A11" s="4" t="s">
        <v>179</v>
      </c>
      <c r="B11" s="4" t="s">
        <v>672</v>
      </c>
      <c r="C11" s="4">
        <v>90070631</v>
      </c>
      <c r="D11" s="4">
        <v>4061</v>
      </c>
      <c r="E11" s="4" t="s">
        <v>652</v>
      </c>
      <c r="F11" s="4" t="s">
        <v>653</v>
      </c>
      <c r="G11" s="4" t="s">
        <v>654</v>
      </c>
      <c r="H11" s="4" t="s">
        <v>655</v>
      </c>
      <c r="I11" s="4" t="s">
        <v>656</v>
      </c>
      <c r="J11" s="4" t="s">
        <v>115</v>
      </c>
      <c r="K11" s="4" t="s">
        <v>11</v>
      </c>
      <c r="L11" s="4" t="s">
        <v>657</v>
      </c>
      <c r="M11" s="4" t="s">
        <v>652</v>
      </c>
      <c r="N11" s="4" t="s">
        <v>658</v>
      </c>
      <c r="O11" s="4" t="s">
        <v>659</v>
      </c>
      <c r="P11" s="4" t="str">
        <f t="shared" si="0"/>
        <v>TD Curitiba /FADEL</v>
      </c>
      <c r="Q11" s="4" t="s">
        <v>660</v>
      </c>
      <c r="R11" s="23" t="s">
        <v>661</v>
      </c>
    </row>
    <row r="12" spans="1:18" ht="12" hidden="1" customHeight="1" x14ac:dyDescent="0.25">
      <c r="A12" s="4" t="s">
        <v>303</v>
      </c>
      <c r="B12" s="4" t="s">
        <v>673</v>
      </c>
      <c r="C12" s="4">
        <v>90070629</v>
      </c>
      <c r="D12" s="4">
        <v>4059</v>
      </c>
      <c r="E12" s="4" t="s">
        <v>652</v>
      </c>
      <c r="F12" s="4" t="s">
        <v>653</v>
      </c>
      <c r="G12" s="4" t="s">
        <v>654</v>
      </c>
      <c r="H12" s="4" t="s">
        <v>666</v>
      </c>
      <c r="I12" s="4" t="s">
        <v>663</v>
      </c>
      <c r="J12" s="4" t="s">
        <v>115</v>
      </c>
      <c r="K12" s="4" t="s">
        <v>11</v>
      </c>
      <c r="L12" s="4" t="s">
        <v>657</v>
      </c>
      <c r="M12" s="4" t="s">
        <v>652</v>
      </c>
      <c r="N12" s="4" t="s">
        <v>658</v>
      </c>
      <c r="O12" s="4" t="s">
        <v>659</v>
      </c>
      <c r="P12" s="4" t="str">
        <f t="shared" si="0"/>
        <v>TD Curitiba /FADEL</v>
      </c>
      <c r="Q12" s="4" t="s">
        <v>660</v>
      </c>
      <c r="R12" s="23" t="s">
        <v>661</v>
      </c>
    </row>
    <row r="13" spans="1:18" ht="12" hidden="1" customHeight="1" x14ac:dyDescent="0.25">
      <c r="A13" s="4" t="s">
        <v>146</v>
      </c>
      <c r="B13" s="4" t="s">
        <v>674</v>
      </c>
      <c r="C13" s="4">
        <v>90070606</v>
      </c>
      <c r="D13" s="4">
        <v>6278</v>
      </c>
      <c r="E13" s="4" t="s">
        <v>652</v>
      </c>
      <c r="F13" s="4" t="s">
        <v>653</v>
      </c>
      <c r="G13" s="4" t="s">
        <v>654</v>
      </c>
      <c r="H13" s="4" t="s">
        <v>666</v>
      </c>
      <c r="I13" s="4" t="s">
        <v>663</v>
      </c>
      <c r="J13" s="4" t="s">
        <v>115</v>
      </c>
      <c r="K13" s="4" t="s">
        <v>11</v>
      </c>
      <c r="L13" s="4" t="s">
        <v>657</v>
      </c>
      <c r="M13" s="4" t="s">
        <v>652</v>
      </c>
      <c r="N13" s="4" t="s">
        <v>658</v>
      </c>
      <c r="O13" s="4" t="s">
        <v>659</v>
      </c>
      <c r="P13" s="4" t="str">
        <f t="shared" si="0"/>
        <v>TD Curitiba /FADEL</v>
      </c>
      <c r="Q13" s="4" t="s">
        <v>660</v>
      </c>
      <c r="R13" s="23" t="s">
        <v>661</v>
      </c>
    </row>
    <row r="14" spans="1:18" ht="12" hidden="1" customHeight="1" x14ac:dyDescent="0.25">
      <c r="A14" s="4" t="s">
        <v>675</v>
      </c>
      <c r="B14" s="4" t="s">
        <v>676</v>
      </c>
      <c r="C14" s="4">
        <v>90070604</v>
      </c>
      <c r="D14" s="4">
        <v>6276</v>
      </c>
      <c r="E14" s="4" t="s">
        <v>652</v>
      </c>
      <c r="F14" s="4" t="s">
        <v>653</v>
      </c>
      <c r="G14" s="4" t="s">
        <v>654</v>
      </c>
      <c r="H14" s="4" t="s">
        <v>677</v>
      </c>
      <c r="I14" s="4" t="s">
        <v>663</v>
      </c>
      <c r="J14" s="4" t="s">
        <v>115</v>
      </c>
      <c r="K14" s="4" t="s">
        <v>11</v>
      </c>
      <c r="L14" s="4" t="s">
        <v>657</v>
      </c>
      <c r="M14" s="4" t="s">
        <v>652</v>
      </c>
      <c r="N14" s="4" t="s">
        <v>658</v>
      </c>
      <c r="O14" s="4" t="s">
        <v>659</v>
      </c>
      <c r="P14" s="4" t="str">
        <f t="shared" si="0"/>
        <v>TD Curitiba /FADEL</v>
      </c>
      <c r="Q14" s="4" t="s">
        <v>660</v>
      </c>
      <c r="R14" s="23" t="s">
        <v>661</v>
      </c>
    </row>
    <row r="15" spans="1:18" ht="12" hidden="1" customHeight="1" x14ac:dyDescent="0.25">
      <c r="A15" s="4" t="s">
        <v>324</v>
      </c>
      <c r="B15" s="4" t="s">
        <v>678</v>
      </c>
      <c r="C15" s="4">
        <v>90070627</v>
      </c>
      <c r="D15" s="4">
        <v>4057</v>
      </c>
      <c r="E15" s="4" t="s">
        <v>652</v>
      </c>
      <c r="F15" s="4" t="s">
        <v>653</v>
      </c>
      <c r="G15" s="4" t="s">
        <v>654</v>
      </c>
      <c r="H15" s="4" t="s">
        <v>677</v>
      </c>
      <c r="I15" s="4" t="s">
        <v>663</v>
      </c>
      <c r="J15" s="4" t="s">
        <v>115</v>
      </c>
      <c r="K15" s="4" t="s">
        <v>11</v>
      </c>
      <c r="L15" s="4" t="s">
        <v>657</v>
      </c>
      <c r="M15" s="4" t="s">
        <v>652</v>
      </c>
      <c r="N15" s="4" t="s">
        <v>658</v>
      </c>
      <c r="O15" s="4" t="s">
        <v>659</v>
      </c>
      <c r="P15" s="4" t="str">
        <f t="shared" si="0"/>
        <v>TD Curitiba /FADEL</v>
      </c>
      <c r="Q15" s="4" t="s">
        <v>660</v>
      </c>
      <c r="R15" s="23" t="s">
        <v>661</v>
      </c>
    </row>
    <row r="16" spans="1:18" ht="12" hidden="1" customHeight="1" x14ac:dyDescent="0.25">
      <c r="A16" s="4" t="s">
        <v>679</v>
      </c>
      <c r="B16" s="4" t="s">
        <v>680</v>
      </c>
      <c r="C16" s="4">
        <v>90070634</v>
      </c>
      <c r="D16" s="4">
        <v>4068</v>
      </c>
      <c r="E16" s="4" t="s">
        <v>652</v>
      </c>
      <c r="F16" s="4" t="s">
        <v>681</v>
      </c>
      <c r="G16" s="4" t="s">
        <v>654</v>
      </c>
      <c r="H16" s="4" t="s">
        <v>655</v>
      </c>
      <c r="I16" s="4" t="s">
        <v>656</v>
      </c>
      <c r="J16" s="4" t="s">
        <v>115</v>
      </c>
      <c r="K16" s="4" t="s">
        <v>11</v>
      </c>
      <c r="L16" s="4" t="s">
        <v>657</v>
      </c>
      <c r="M16" s="4" t="s">
        <v>652</v>
      </c>
      <c r="N16" s="4" t="s">
        <v>658</v>
      </c>
      <c r="O16" s="4" t="s">
        <v>659</v>
      </c>
      <c r="P16" s="4" t="str">
        <f t="shared" si="0"/>
        <v>TD Curitiba /BAT</v>
      </c>
      <c r="Q16" s="4" t="s">
        <v>660</v>
      </c>
      <c r="R16" s="23" t="s">
        <v>661</v>
      </c>
    </row>
    <row r="17" spans="1:18" ht="12" hidden="1" customHeight="1" x14ac:dyDescent="0.25">
      <c r="A17" s="4" t="s">
        <v>160</v>
      </c>
      <c r="B17" s="4" t="s">
        <v>682</v>
      </c>
      <c r="C17" s="4">
        <v>90074048</v>
      </c>
      <c r="D17" s="4">
        <v>7008</v>
      </c>
      <c r="E17" s="4" t="s">
        <v>652</v>
      </c>
      <c r="F17" s="4" t="s">
        <v>653</v>
      </c>
      <c r="G17" s="4" t="s">
        <v>654</v>
      </c>
      <c r="H17" s="4" t="s">
        <v>655</v>
      </c>
      <c r="I17" s="4" t="s">
        <v>683</v>
      </c>
      <c r="J17" s="4" t="s">
        <v>115</v>
      </c>
      <c r="K17" s="4" t="s">
        <v>11</v>
      </c>
      <c r="L17" s="4" t="s">
        <v>657</v>
      </c>
      <c r="M17" s="4" t="s">
        <v>652</v>
      </c>
      <c r="N17" s="4" t="s">
        <v>658</v>
      </c>
      <c r="O17" s="4" t="s">
        <v>659</v>
      </c>
      <c r="P17" s="4" t="str">
        <f t="shared" si="0"/>
        <v>TD Curitiba /FADEL</v>
      </c>
      <c r="Q17" s="4" t="s">
        <v>660</v>
      </c>
      <c r="R17" s="23" t="s">
        <v>661</v>
      </c>
    </row>
    <row r="18" spans="1:18" ht="12" hidden="1" customHeight="1" x14ac:dyDescent="0.25">
      <c r="A18" s="4" t="s">
        <v>190</v>
      </c>
      <c r="B18" s="4" t="s">
        <v>684</v>
      </c>
      <c r="C18" s="4">
        <v>90074088</v>
      </c>
      <c r="D18" s="4">
        <v>7009</v>
      </c>
      <c r="E18" s="4" t="s">
        <v>652</v>
      </c>
      <c r="F18" s="4" t="s">
        <v>653</v>
      </c>
      <c r="G18" s="4" t="s">
        <v>654</v>
      </c>
      <c r="H18" s="4" t="s">
        <v>655</v>
      </c>
      <c r="I18" s="4" t="s">
        <v>683</v>
      </c>
      <c r="J18" s="4" t="s">
        <v>115</v>
      </c>
      <c r="K18" s="4" t="s">
        <v>11</v>
      </c>
      <c r="L18" s="4" t="s">
        <v>657</v>
      </c>
      <c r="M18" s="4" t="s">
        <v>652</v>
      </c>
      <c r="N18" s="4" t="s">
        <v>658</v>
      </c>
      <c r="O18" s="4" t="s">
        <v>659</v>
      </c>
      <c r="P18" s="4" t="str">
        <f t="shared" si="0"/>
        <v>TD Curitiba /FADEL</v>
      </c>
      <c r="Q18" s="4" t="s">
        <v>660</v>
      </c>
      <c r="R18" s="23" t="s">
        <v>661</v>
      </c>
    </row>
    <row r="19" spans="1:18" ht="12" hidden="1" customHeight="1" x14ac:dyDescent="0.25">
      <c r="A19" s="4" t="s">
        <v>168</v>
      </c>
      <c r="B19" s="4" t="s">
        <v>685</v>
      </c>
      <c r="C19" s="4">
        <v>90074024</v>
      </c>
      <c r="D19" s="4">
        <v>7010</v>
      </c>
      <c r="E19" s="4" t="s">
        <v>652</v>
      </c>
      <c r="F19" s="4" t="s">
        <v>653</v>
      </c>
      <c r="G19" s="4" t="s">
        <v>654</v>
      </c>
      <c r="H19" s="4" t="s">
        <v>655</v>
      </c>
      <c r="I19" s="4" t="s">
        <v>683</v>
      </c>
      <c r="J19" s="4" t="s">
        <v>115</v>
      </c>
      <c r="K19" s="4" t="s">
        <v>11</v>
      </c>
      <c r="L19" s="4" t="s">
        <v>657</v>
      </c>
      <c r="M19" s="4" t="s">
        <v>652</v>
      </c>
      <c r="N19" s="4" t="s">
        <v>658</v>
      </c>
      <c r="O19" s="4" t="s">
        <v>659</v>
      </c>
      <c r="P19" s="4" t="str">
        <f t="shared" si="0"/>
        <v>TD Curitiba /FADEL</v>
      </c>
      <c r="Q19" s="4" t="s">
        <v>660</v>
      </c>
      <c r="R19" s="23" t="s">
        <v>661</v>
      </c>
    </row>
    <row r="20" spans="1:18" ht="12" hidden="1" customHeight="1" x14ac:dyDescent="0.25">
      <c r="A20" s="4" t="s">
        <v>134</v>
      </c>
      <c r="B20" s="4" t="s">
        <v>686</v>
      </c>
      <c r="C20" s="4">
        <v>90074089</v>
      </c>
      <c r="D20" s="4">
        <v>7013</v>
      </c>
      <c r="E20" s="4" t="s">
        <v>652</v>
      </c>
      <c r="F20" s="4" t="s">
        <v>653</v>
      </c>
      <c r="G20" s="4" t="s">
        <v>654</v>
      </c>
      <c r="H20" s="4" t="s">
        <v>655</v>
      </c>
      <c r="I20" s="4" t="s">
        <v>683</v>
      </c>
      <c r="J20" s="4" t="s">
        <v>115</v>
      </c>
      <c r="K20" s="4" t="s">
        <v>11</v>
      </c>
      <c r="L20" s="4" t="s">
        <v>657</v>
      </c>
      <c r="M20" s="4" t="s">
        <v>652</v>
      </c>
      <c r="N20" s="4" t="s">
        <v>658</v>
      </c>
      <c r="O20" s="4" t="s">
        <v>659</v>
      </c>
      <c r="P20" s="4" t="str">
        <f t="shared" si="0"/>
        <v>TD Curitiba /FADEL</v>
      </c>
      <c r="Q20" s="4" t="s">
        <v>660</v>
      </c>
      <c r="R20" s="23" t="s">
        <v>661</v>
      </c>
    </row>
    <row r="21" spans="1:18" ht="12" hidden="1" customHeight="1" x14ac:dyDescent="0.25">
      <c r="A21" s="4" t="s">
        <v>273</v>
      </c>
      <c r="B21" s="4" t="s">
        <v>687</v>
      </c>
      <c r="C21" s="4">
        <v>90074023</v>
      </c>
      <c r="D21" s="4">
        <v>7014</v>
      </c>
      <c r="E21" s="4" t="s">
        <v>652</v>
      </c>
      <c r="F21" s="4" t="s">
        <v>653</v>
      </c>
      <c r="G21" s="4" t="s">
        <v>654</v>
      </c>
      <c r="H21" s="4" t="s">
        <v>655</v>
      </c>
      <c r="I21" s="4" t="s">
        <v>683</v>
      </c>
      <c r="J21" s="4" t="s">
        <v>115</v>
      </c>
      <c r="K21" s="4" t="s">
        <v>11</v>
      </c>
      <c r="L21" s="4" t="s">
        <v>657</v>
      </c>
      <c r="M21" s="4" t="s">
        <v>652</v>
      </c>
      <c r="N21" s="4" t="s">
        <v>658</v>
      </c>
      <c r="O21" s="4" t="s">
        <v>659</v>
      </c>
      <c r="P21" s="4" t="str">
        <f t="shared" si="0"/>
        <v>TD Curitiba /FADEL</v>
      </c>
      <c r="Q21" s="4" t="s">
        <v>660</v>
      </c>
      <c r="R21" s="23" t="s">
        <v>661</v>
      </c>
    </row>
    <row r="22" spans="1:18" ht="12" hidden="1" customHeight="1" x14ac:dyDescent="0.25">
      <c r="A22" s="4" t="s">
        <v>377</v>
      </c>
      <c r="B22" s="4" t="s">
        <v>688</v>
      </c>
      <c r="C22" s="4">
        <v>90074091</v>
      </c>
      <c r="D22" s="4">
        <v>7015</v>
      </c>
      <c r="E22" s="4" t="s">
        <v>652</v>
      </c>
      <c r="F22" s="4" t="s">
        <v>653</v>
      </c>
      <c r="G22" s="4" t="s">
        <v>654</v>
      </c>
      <c r="H22" s="4" t="s">
        <v>655</v>
      </c>
      <c r="I22" s="4" t="s">
        <v>683</v>
      </c>
      <c r="J22" s="4" t="s">
        <v>115</v>
      </c>
      <c r="K22" s="4" t="s">
        <v>11</v>
      </c>
      <c r="L22" s="4" t="s">
        <v>657</v>
      </c>
      <c r="M22" s="4" t="s">
        <v>652</v>
      </c>
      <c r="N22" s="4" t="s">
        <v>658</v>
      </c>
      <c r="O22" s="4" t="s">
        <v>659</v>
      </c>
      <c r="P22" s="4" t="str">
        <f t="shared" si="0"/>
        <v>TD Curitiba /FADEL</v>
      </c>
      <c r="Q22" s="4" t="s">
        <v>660</v>
      </c>
      <c r="R22" s="23" t="s">
        <v>661</v>
      </c>
    </row>
    <row r="23" spans="1:18" ht="12" hidden="1" customHeight="1" x14ac:dyDescent="0.25">
      <c r="A23" s="4" t="s">
        <v>689</v>
      </c>
      <c r="B23" s="4" t="s">
        <v>690</v>
      </c>
      <c r="C23" s="4">
        <v>90074087</v>
      </c>
      <c r="D23" s="4">
        <v>7017</v>
      </c>
      <c r="E23" s="4" t="s">
        <v>652</v>
      </c>
      <c r="F23" s="4" t="s">
        <v>653</v>
      </c>
      <c r="G23" s="4" t="s">
        <v>654</v>
      </c>
      <c r="H23" s="4" t="s">
        <v>655</v>
      </c>
      <c r="I23" s="4" t="s">
        <v>683</v>
      </c>
      <c r="J23" s="4" t="s">
        <v>115</v>
      </c>
      <c r="K23" s="4" t="s">
        <v>11</v>
      </c>
      <c r="L23" s="4" t="s">
        <v>657</v>
      </c>
      <c r="M23" s="4" t="s">
        <v>652</v>
      </c>
      <c r="N23" s="4" t="s">
        <v>658</v>
      </c>
      <c r="O23" s="4" t="s">
        <v>659</v>
      </c>
      <c r="P23" s="4" t="str">
        <f t="shared" si="0"/>
        <v>TD Curitiba /FADEL</v>
      </c>
      <c r="Q23" s="4" t="s">
        <v>660</v>
      </c>
      <c r="R23" s="23" t="s">
        <v>661</v>
      </c>
    </row>
    <row r="24" spans="1:18" ht="12" hidden="1" customHeight="1" x14ac:dyDescent="0.25">
      <c r="A24" s="4" t="s">
        <v>691</v>
      </c>
      <c r="B24" s="4" t="s">
        <v>692</v>
      </c>
      <c r="C24" s="4">
        <v>90074090</v>
      </c>
      <c r="D24" s="4">
        <v>7018</v>
      </c>
      <c r="E24" s="4" t="s">
        <v>652</v>
      </c>
      <c r="F24" s="4" t="s">
        <v>653</v>
      </c>
      <c r="G24" s="4" t="s">
        <v>654</v>
      </c>
      <c r="H24" s="4" t="s">
        <v>655</v>
      </c>
      <c r="I24" s="4" t="s">
        <v>683</v>
      </c>
      <c r="J24" s="4" t="s">
        <v>115</v>
      </c>
      <c r="K24" s="4" t="s">
        <v>11</v>
      </c>
      <c r="L24" s="4" t="s">
        <v>657</v>
      </c>
      <c r="M24" s="4" t="s">
        <v>652</v>
      </c>
      <c r="N24" s="4" t="s">
        <v>658</v>
      </c>
      <c r="O24" s="4" t="s">
        <v>659</v>
      </c>
      <c r="P24" s="4" t="str">
        <f t="shared" si="0"/>
        <v>TD Curitiba /FADEL</v>
      </c>
      <c r="Q24" s="4" t="s">
        <v>660</v>
      </c>
      <c r="R24" s="23" t="s">
        <v>661</v>
      </c>
    </row>
    <row r="25" spans="1:18" ht="12" hidden="1" customHeight="1" x14ac:dyDescent="0.25">
      <c r="A25" s="4" t="s">
        <v>693</v>
      </c>
      <c r="B25" s="4" t="s">
        <v>694</v>
      </c>
      <c r="C25" s="4">
        <v>90074066</v>
      </c>
      <c r="D25" s="4">
        <v>5071</v>
      </c>
      <c r="E25" s="4" t="s">
        <v>652</v>
      </c>
      <c r="F25" s="4" t="s">
        <v>653</v>
      </c>
      <c r="G25" s="4" t="s">
        <v>695</v>
      </c>
      <c r="H25" s="4" t="s">
        <v>655</v>
      </c>
      <c r="I25" s="4" t="s">
        <v>656</v>
      </c>
      <c r="J25" s="4" t="s">
        <v>115</v>
      </c>
      <c r="K25" s="4" t="s">
        <v>11</v>
      </c>
      <c r="L25" s="4" t="s">
        <v>657</v>
      </c>
      <c r="M25" s="4" t="s">
        <v>652</v>
      </c>
      <c r="N25" s="4" t="s">
        <v>658</v>
      </c>
      <c r="O25" s="4" t="s">
        <v>659</v>
      </c>
      <c r="P25" s="4" t="str">
        <f t="shared" si="0"/>
        <v>TD Curitiba /FADEL</v>
      </c>
      <c r="Q25" s="4" t="s">
        <v>660</v>
      </c>
      <c r="R25" s="23" t="s">
        <v>661</v>
      </c>
    </row>
    <row r="26" spans="1:18" ht="12" hidden="1" customHeight="1" x14ac:dyDescent="0.25">
      <c r="A26" s="4" t="s">
        <v>142</v>
      </c>
      <c r="B26" s="4" t="s">
        <v>696</v>
      </c>
      <c r="C26" s="4">
        <v>90074067</v>
      </c>
      <c r="D26" s="4">
        <v>5072</v>
      </c>
      <c r="E26" s="4" t="s">
        <v>652</v>
      </c>
      <c r="F26" s="4" t="s">
        <v>653</v>
      </c>
      <c r="G26" s="4" t="s">
        <v>695</v>
      </c>
      <c r="H26" s="4" t="s">
        <v>655</v>
      </c>
      <c r="I26" s="4" t="s">
        <v>656</v>
      </c>
      <c r="J26" s="4" t="s">
        <v>115</v>
      </c>
      <c r="K26" s="4" t="s">
        <v>11</v>
      </c>
      <c r="L26" s="4" t="s">
        <v>657</v>
      </c>
      <c r="M26" s="4" t="s">
        <v>652</v>
      </c>
      <c r="N26" s="4" t="s">
        <v>658</v>
      </c>
      <c r="O26" s="4" t="s">
        <v>659</v>
      </c>
      <c r="P26" s="4" t="str">
        <f t="shared" si="0"/>
        <v>TD Curitiba /FADEL</v>
      </c>
      <c r="Q26" s="4" t="s">
        <v>660</v>
      </c>
      <c r="R26" s="23" t="s">
        <v>661</v>
      </c>
    </row>
    <row r="27" spans="1:18" ht="12" hidden="1" customHeight="1" x14ac:dyDescent="0.25">
      <c r="A27" s="4" t="s">
        <v>697</v>
      </c>
      <c r="B27" s="4" t="s">
        <v>698</v>
      </c>
      <c r="C27" s="4">
        <v>90070610</v>
      </c>
      <c r="D27" s="4">
        <v>6281</v>
      </c>
      <c r="E27" s="4" t="s">
        <v>652</v>
      </c>
      <c r="F27" s="4" t="s">
        <v>653</v>
      </c>
      <c r="G27" s="4" t="s">
        <v>695</v>
      </c>
      <c r="H27" s="4" t="s">
        <v>655</v>
      </c>
      <c r="I27" s="4" t="s">
        <v>656</v>
      </c>
      <c r="J27" s="4" t="s">
        <v>115</v>
      </c>
      <c r="K27" s="4" t="s">
        <v>11</v>
      </c>
      <c r="L27" s="4" t="s">
        <v>657</v>
      </c>
      <c r="M27" s="4" t="s">
        <v>652</v>
      </c>
      <c r="N27" s="4" t="s">
        <v>658</v>
      </c>
      <c r="O27" s="4" t="s">
        <v>659</v>
      </c>
      <c r="P27" s="4" t="str">
        <f t="shared" si="0"/>
        <v>TD Curitiba /FADEL</v>
      </c>
      <c r="Q27" s="4" t="s">
        <v>660</v>
      </c>
      <c r="R27" s="23" t="s">
        <v>661</v>
      </c>
    </row>
    <row r="28" spans="1:18" ht="12" hidden="1" customHeight="1" x14ac:dyDescent="0.25">
      <c r="A28" s="4" t="s">
        <v>296</v>
      </c>
      <c r="B28" s="4" t="s">
        <v>699</v>
      </c>
      <c r="C28" s="4">
        <v>90074062</v>
      </c>
      <c r="D28" s="4">
        <v>4770</v>
      </c>
      <c r="E28" s="4" t="s">
        <v>652</v>
      </c>
      <c r="F28" s="4" t="s">
        <v>653</v>
      </c>
      <c r="G28" s="4" t="s">
        <v>695</v>
      </c>
      <c r="H28" s="4" t="s">
        <v>655</v>
      </c>
      <c r="I28" s="4" t="s">
        <v>656</v>
      </c>
      <c r="J28" s="4" t="s">
        <v>115</v>
      </c>
      <c r="K28" s="4" t="s">
        <v>11</v>
      </c>
      <c r="L28" s="4" t="s">
        <v>657</v>
      </c>
      <c r="M28" s="4" t="s">
        <v>652</v>
      </c>
      <c r="N28" s="4" t="s">
        <v>658</v>
      </c>
      <c r="O28" s="4" t="s">
        <v>659</v>
      </c>
      <c r="P28" s="4" t="str">
        <f t="shared" si="0"/>
        <v>TD Curitiba /FADEL</v>
      </c>
      <c r="Q28" s="4" t="s">
        <v>660</v>
      </c>
      <c r="R28" s="23" t="s">
        <v>661</v>
      </c>
    </row>
    <row r="29" spans="1:18" ht="12" hidden="1" customHeight="1" x14ac:dyDescent="0.25">
      <c r="A29" s="4" t="s">
        <v>700</v>
      </c>
      <c r="B29" s="4" t="s">
        <v>701</v>
      </c>
      <c r="C29" s="4">
        <v>90074060</v>
      </c>
      <c r="D29" s="4">
        <v>9193</v>
      </c>
      <c r="E29" s="4" t="s">
        <v>652</v>
      </c>
      <c r="F29" s="4" t="s">
        <v>653</v>
      </c>
      <c r="G29" s="4" t="s">
        <v>695</v>
      </c>
      <c r="H29" s="4" t="s">
        <v>655</v>
      </c>
      <c r="I29" s="4" t="s">
        <v>656</v>
      </c>
      <c r="J29" s="4" t="s">
        <v>115</v>
      </c>
      <c r="K29" s="4" t="s">
        <v>11</v>
      </c>
      <c r="L29" s="4" t="s">
        <v>657</v>
      </c>
      <c r="M29" s="4" t="s">
        <v>652</v>
      </c>
      <c r="N29" s="4" t="s">
        <v>658</v>
      </c>
      <c r="O29" s="4" t="s">
        <v>659</v>
      </c>
      <c r="P29" s="4" t="str">
        <f t="shared" si="0"/>
        <v>TD Curitiba /FADEL</v>
      </c>
      <c r="Q29" s="4" t="s">
        <v>660</v>
      </c>
      <c r="R29" s="23" t="s">
        <v>661</v>
      </c>
    </row>
    <row r="30" spans="1:18" ht="12" hidden="1" customHeight="1" x14ac:dyDescent="0.25">
      <c r="A30" s="4" t="s">
        <v>287</v>
      </c>
      <c r="B30" s="4" t="s">
        <v>702</v>
      </c>
      <c r="C30" s="4">
        <v>90074061</v>
      </c>
      <c r="D30" s="4">
        <v>9197</v>
      </c>
      <c r="E30" s="4" t="s">
        <v>652</v>
      </c>
      <c r="F30" s="4" t="s">
        <v>653</v>
      </c>
      <c r="G30" s="4" t="s">
        <v>695</v>
      </c>
      <c r="H30" s="4" t="s">
        <v>655</v>
      </c>
      <c r="I30" s="4" t="s">
        <v>656</v>
      </c>
      <c r="J30" s="4" t="s">
        <v>115</v>
      </c>
      <c r="K30" s="4" t="s">
        <v>11</v>
      </c>
      <c r="L30" s="4" t="s">
        <v>657</v>
      </c>
      <c r="M30" s="4" t="s">
        <v>652</v>
      </c>
      <c r="N30" s="4" t="s">
        <v>658</v>
      </c>
      <c r="O30" s="4" t="s">
        <v>659</v>
      </c>
      <c r="P30" s="4" t="str">
        <f t="shared" si="0"/>
        <v>TD Curitiba /FADEL</v>
      </c>
      <c r="Q30" s="4" t="s">
        <v>660</v>
      </c>
      <c r="R30" s="23" t="s">
        <v>661</v>
      </c>
    </row>
    <row r="31" spans="1:18" ht="12" hidden="1" customHeight="1" x14ac:dyDescent="0.25">
      <c r="A31" s="4" t="s">
        <v>391</v>
      </c>
      <c r="B31" s="4" t="s">
        <v>703</v>
      </c>
      <c r="C31" s="4">
        <v>90070602</v>
      </c>
      <c r="D31" s="4">
        <v>6274</v>
      </c>
      <c r="E31" s="4" t="s">
        <v>652</v>
      </c>
      <c r="F31" s="4" t="s">
        <v>653</v>
      </c>
      <c r="G31" s="4" t="s">
        <v>695</v>
      </c>
      <c r="H31" s="4" t="s">
        <v>655</v>
      </c>
      <c r="I31" s="4" t="s">
        <v>656</v>
      </c>
      <c r="J31" s="4" t="s">
        <v>115</v>
      </c>
      <c r="K31" s="4" t="s">
        <v>11</v>
      </c>
      <c r="L31" s="4" t="s">
        <v>657</v>
      </c>
      <c r="M31" s="4" t="s">
        <v>652</v>
      </c>
      <c r="N31" s="4" t="s">
        <v>658</v>
      </c>
      <c r="O31" s="4" t="s">
        <v>659</v>
      </c>
      <c r="P31" s="4" t="str">
        <f t="shared" si="0"/>
        <v>TD Curitiba /FADEL</v>
      </c>
      <c r="Q31" s="4" t="s">
        <v>660</v>
      </c>
      <c r="R31" s="23" t="s">
        <v>661</v>
      </c>
    </row>
    <row r="32" spans="1:18" ht="12" hidden="1" customHeight="1" x14ac:dyDescent="0.25">
      <c r="A32" s="4" t="s">
        <v>182</v>
      </c>
      <c r="B32" s="4" t="s">
        <v>704</v>
      </c>
      <c r="C32" s="4">
        <v>90070605</v>
      </c>
      <c r="D32" s="4">
        <v>6277</v>
      </c>
      <c r="E32" s="4" t="s">
        <v>652</v>
      </c>
      <c r="F32" s="4" t="s">
        <v>653</v>
      </c>
      <c r="G32" s="4" t="s">
        <v>695</v>
      </c>
      <c r="H32" s="4" t="s">
        <v>655</v>
      </c>
      <c r="I32" s="4" t="s">
        <v>656</v>
      </c>
      <c r="J32" s="4" t="s">
        <v>115</v>
      </c>
      <c r="K32" s="4" t="s">
        <v>11</v>
      </c>
      <c r="L32" s="4" t="s">
        <v>657</v>
      </c>
      <c r="M32" s="4" t="s">
        <v>652</v>
      </c>
      <c r="N32" s="4" t="s">
        <v>658</v>
      </c>
      <c r="O32" s="4" t="s">
        <v>659</v>
      </c>
      <c r="P32" s="4" t="str">
        <f t="shared" si="0"/>
        <v>TD Curitiba /FADEL</v>
      </c>
      <c r="Q32" s="4" t="s">
        <v>660</v>
      </c>
      <c r="R32" s="23" t="s">
        <v>661</v>
      </c>
    </row>
    <row r="33" spans="1:18" ht="12" hidden="1" customHeight="1" x14ac:dyDescent="0.25">
      <c r="A33" s="4" t="s">
        <v>705</v>
      </c>
      <c r="B33" s="4" t="s">
        <v>706</v>
      </c>
      <c r="C33" s="4">
        <v>90070626</v>
      </c>
      <c r="D33" s="4">
        <v>4056</v>
      </c>
      <c r="E33" s="4" t="s">
        <v>652</v>
      </c>
      <c r="F33" s="4" t="s">
        <v>653</v>
      </c>
      <c r="G33" s="4" t="s">
        <v>695</v>
      </c>
      <c r="H33" s="4" t="s">
        <v>655</v>
      </c>
      <c r="I33" s="4" t="s">
        <v>656</v>
      </c>
      <c r="J33" s="4" t="s">
        <v>115</v>
      </c>
      <c r="K33" s="4" t="s">
        <v>11</v>
      </c>
      <c r="L33" s="4" t="s">
        <v>657</v>
      </c>
      <c r="M33" s="4" t="s">
        <v>652</v>
      </c>
      <c r="N33" s="4" t="s">
        <v>658</v>
      </c>
      <c r="O33" s="4" t="s">
        <v>659</v>
      </c>
      <c r="P33" s="4" t="str">
        <f t="shared" si="0"/>
        <v>TD Curitiba /FADEL</v>
      </c>
      <c r="Q33" s="4" t="s">
        <v>660</v>
      </c>
      <c r="R33" s="23" t="s">
        <v>661</v>
      </c>
    </row>
    <row r="34" spans="1:18" ht="12" hidden="1" customHeight="1" x14ac:dyDescent="0.25">
      <c r="A34" s="4" t="s">
        <v>277</v>
      </c>
      <c r="B34" s="4" t="s">
        <v>707</v>
      </c>
      <c r="C34" s="4">
        <v>90070628</v>
      </c>
      <c r="D34" s="4">
        <v>4058</v>
      </c>
      <c r="E34" s="4" t="s">
        <v>652</v>
      </c>
      <c r="F34" s="4" t="s">
        <v>653</v>
      </c>
      <c r="G34" s="4" t="s">
        <v>695</v>
      </c>
      <c r="H34" s="4" t="s">
        <v>655</v>
      </c>
      <c r="I34" s="4" t="s">
        <v>656</v>
      </c>
      <c r="J34" s="4" t="s">
        <v>115</v>
      </c>
      <c r="K34" s="4" t="s">
        <v>11</v>
      </c>
      <c r="L34" s="4" t="s">
        <v>657</v>
      </c>
      <c r="M34" s="4" t="s">
        <v>652</v>
      </c>
      <c r="N34" s="4" t="s">
        <v>658</v>
      </c>
      <c r="O34" s="4" t="s">
        <v>659</v>
      </c>
      <c r="P34" s="4" t="str">
        <f t="shared" si="0"/>
        <v>TD Curitiba /FADEL</v>
      </c>
      <c r="Q34" s="4" t="s">
        <v>660</v>
      </c>
      <c r="R34" s="23" t="s">
        <v>661</v>
      </c>
    </row>
    <row r="35" spans="1:18" ht="12" hidden="1" customHeight="1" x14ac:dyDescent="0.25">
      <c r="A35" s="4" t="s">
        <v>708</v>
      </c>
      <c r="B35" s="4" t="s">
        <v>709</v>
      </c>
      <c r="C35" s="4">
        <v>90070603</v>
      </c>
      <c r="D35" s="4">
        <v>6275</v>
      </c>
      <c r="E35" s="4" t="s">
        <v>652</v>
      </c>
      <c r="F35" s="4" t="s">
        <v>653</v>
      </c>
      <c r="G35" s="4" t="s">
        <v>695</v>
      </c>
      <c r="H35" s="4" t="s">
        <v>655</v>
      </c>
      <c r="I35" s="4" t="s">
        <v>656</v>
      </c>
      <c r="J35" s="4" t="s">
        <v>115</v>
      </c>
      <c r="K35" s="4" t="s">
        <v>11</v>
      </c>
      <c r="L35" s="4" t="s">
        <v>657</v>
      </c>
      <c r="M35" s="4" t="s">
        <v>652</v>
      </c>
      <c r="N35" s="4" t="s">
        <v>658</v>
      </c>
      <c r="O35" s="4" t="s">
        <v>659</v>
      </c>
      <c r="P35" s="4" t="str">
        <f t="shared" si="0"/>
        <v>TD Curitiba /FADEL</v>
      </c>
      <c r="Q35" s="4" t="s">
        <v>660</v>
      </c>
      <c r="R35" s="23" t="s">
        <v>661</v>
      </c>
    </row>
    <row r="36" spans="1:18" ht="12" hidden="1" customHeight="1" x14ac:dyDescent="0.25">
      <c r="A36" s="4" t="s">
        <v>285</v>
      </c>
      <c r="B36" s="4" t="s">
        <v>710</v>
      </c>
      <c r="C36" s="4">
        <v>90070630</v>
      </c>
      <c r="D36" s="4">
        <v>4060</v>
      </c>
      <c r="E36" s="4" t="s">
        <v>652</v>
      </c>
      <c r="F36" s="4" t="s">
        <v>653</v>
      </c>
      <c r="G36" s="4" t="s">
        <v>695</v>
      </c>
      <c r="H36" s="4" t="s">
        <v>655</v>
      </c>
      <c r="I36" s="4" t="s">
        <v>656</v>
      </c>
      <c r="J36" s="4" t="s">
        <v>115</v>
      </c>
      <c r="K36" s="4" t="s">
        <v>11</v>
      </c>
      <c r="L36" s="4" t="s">
        <v>657</v>
      </c>
      <c r="M36" s="4" t="s">
        <v>652</v>
      </c>
      <c r="N36" s="4" t="s">
        <v>658</v>
      </c>
      <c r="O36" s="4" t="s">
        <v>659</v>
      </c>
      <c r="P36" s="4" t="str">
        <f t="shared" si="0"/>
        <v>TD Curitiba /FADEL</v>
      </c>
      <c r="Q36" s="4" t="s">
        <v>660</v>
      </c>
      <c r="R36" s="23" t="s">
        <v>661</v>
      </c>
    </row>
    <row r="37" spans="1:18" ht="12" hidden="1" customHeight="1" x14ac:dyDescent="0.25">
      <c r="A37" s="4" t="s">
        <v>432</v>
      </c>
      <c r="B37" s="4" t="s">
        <v>711</v>
      </c>
      <c r="C37" s="4">
        <v>90070622</v>
      </c>
      <c r="D37" s="4">
        <v>7035</v>
      </c>
      <c r="E37" s="4" t="s">
        <v>652</v>
      </c>
      <c r="F37" s="4" t="s">
        <v>653</v>
      </c>
      <c r="G37" s="4" t="s">
        <v>695</v>
      </c>
      <c r="H37" s="4" t="s">
        <v>655</v>
      </c>
      <c r="I37" s="4" t="s">
        <v>656</v>
      </c>
      <c r="J37" s="4" t="s">
        <v>115</v>
      </c>
      <c r="K37" s="4" t="s">
        <v>11</v>
      </c>
      <c r="L37" s="4" t="s">
        <v>657</v>
      </c>
      <c r="M37" s="4" t="s">
        <v>652</v>
      </c>
      <c r="N37" s="4" t="s">
        <v>658</v>
      </c>
      <c r="O37" s="4" t="s">
        <v>659</v>
      </c>
      <c r="P37" s="4" t="str">
        <f t="shared" si="0"/>
        <v>TD Curitiba /FADEL</v>
      </c>
      <c r="Q37" s="4" t="s">
        <v>660</v>
      </c>
      <c r="R37" s="23" t="s">
        <v>661</v>
      </c>
    </row>
    <row r="38" spans="1:18" ht="12" hidden="1" customHeight="1" x14ac:dyDescent="0.25">
      <c r="A38" s="4" t="s">
        <v>712</v>
      </c>
      <c r="B38" s="4" t="s">
        <v>652</v>
      </c>
      <c r="C38" s="4">
        <v>90080842</v>
      </c>
      <c r="D38" s="4">
        <v>5073</v>
      </c>
      <c r="E38" s="4" t="s">
        <v>652</v>
      </c>
      <c r="F38" s="4" t="s">
        <v>653</v>
      </c>
      <c r="G38" s="4" t="s">
        <v>695</v>
      </c>
      <c r="H38" s="4" t="s">
        <v>655</v>
      </c>
      <c r="I38" s="4" t="s">
        <v>656</v>
      </c>
      <c r="J38" s="4" t="s">
        <v>115</v>
      </c>
      <c r="K38" s="4" t="s">
        <v>11</v>
      </c>
      <c r="L38" s="4" t="s">
        <v>657</v>
      </c>
      <c r="M38" s="4" t="s">
        <v>652</v>
      </c>
      <c r="N38" s="4" t="s">
        <v>658</v>
      </c>
      <c r="O38" s="4" t="s">
        <v>659</v>
      </c>
      <c r="P38" s="4" t="str">
        <f t="shared" si="0"/>
        <v>TD Curitiba /FADEL</v>
      </c>
      <c r="Q38" s="4" t="s">
        <v>660</v>
      </c>
      <c r="R38" s="23" t="s">
        <v>661</v>
      </c>
    </row>
    <row r="39" spans="1:18" ht="12" hidden="1" customHeight="1" x14ac:dyDescent="0.25">
      <c r="A39" s="4" t="s">
        <v>207</v>
      </c>
      <c r="B39" s="4" t="s">
        <v>652</v>
      </c>
      <c r="C39" s="4">
        <v>90080840</v>
      </c>
      <c r="D39" s="4">
        <v>5074</v>
      </c>
      <c r="E39" s="4" t="s">
        <v>652</v>
      </c>
      <c r="F39" s="4" t="s">
        <v>653</v>
      </c>
      <c r="G39" s="4" t="s">
        <v>695</v>
      </c>
      <c r="H39" s="4" t="s">
        <v>655</v>
      </c>
      <c r="I39" s="4" t="s">
        <v>656</v>
      </c>
      <c r="J39" s="4" t="s">
        <v>115</v>
      </c>
      <c r="K39" s="4" t="s">
        <v>11</v>
      </c>
      <c r="L39" s="4" t="s">
        <v>657</v>
      </c>
      <c r="M39" s="4" t="s">
        <v>652</v>
      </c>
      <c r="N39" s="4" t="s">
        <v>658</v>
      </c>
      <c r="O39" s="4" t="s">
        <v>659</v>
      </c>
      <c r="P39" s="4" t="str">
        <f t="shared" si="0"/>
        <v>TD Curitiba /FADEL</v>
      </c>
      <c r="Q39" s="4" t="s">
        <v>660</v>
      </c>
      <c r="R39" s="23" t="s">
        <v>661</v>
      </c>
    </row>
    <row r="40" spans="1:18" ht="12" hidden="1" customHeight="1" x14ac:dyDescent="0.25">
      <c r="A40" s="4" t="s">
        <v>210</v>
      </c>
      <c r="B40" s="4" t="s">
        <v>652</v>
      </c>
      <c r="C40" s="4">
        <v>90080764</v>
      </c>
      <c r="D40" s="4">
        <v>9198</v>
      </c>
      <c r="E40" s="4" t="s">
        <v>652</v>
      </c>
      <c r="F40" s="4" t="s">
        <v>653</v>
      </c>
      <c r="G40" s="4" t="s">
        <v>695</v>
      </c>
      <c r="H40" s="4" t="s">
        <v>655</v>
      </c>
      <c r="I40" s="4" t="s">
        <v>656</v>
      </c>
      <c r="J40" s="4" t="s">
        <v>115</v>
      </c>
      <c r="K40" s="4" t="s">
        <v>11</v>
      </c>
      <c r="L40" s="4" t="s">
        <v>657</v>
      </c>
      <c r="M40" s="4" t="s">
        <v>652</v>
      </c>
      <c r="N40" s="4" t="s">
        <v>658</v>
      </c>
      <c r="O40" s="4" t="s">
        <v>659</v>
      </c>
      <c r="P40" s="4" t="str">
        <f t="shared" si="0"/>
        <v>TD Curitiba /FADEL</v>
      </c>
      <c r="Q40" s="4" t="s">
        <v>660</v>
      </c>
      <c r="R40" s="23" t="s">
        <v>661</v>
      </c>
    </row>
    <row r="41" spans="1:18" ht="12" hidden="1" customHeight="1" x14ac:dyDescent="0.25">
      <c r="A41" s="4" t="s">
        <v>713</v>
      </c>
      <c r="B41" s="4" t="s">
        <v>652</v>
      </c>
      <c r="C41" s="4">
        <v>90080837</v>
      </c>
      <c r="D41" s="4">
        <v>9201</v>
      </c>
      <c r="E41" s="4" t="s">
        <v>652</v>
      </c>
      <c r="F41" s="4" t="s">
        <v>653</v>
      </c>
      <c r="G41" s="4" t="s">
        <v>695</v>
      </c>
      <c r="H41" s="4" t="s">
        <v>655</v>
      </c>
      <c r="I41" s="4" t="s">
        <v>656</v>
      </c>
      <c r="J41" s="4" t="s">
        <v>115</v>
      </c>
      <c r="K41" s="4" t="s">
        <v>11</v>
      </c>
      <c r="L41" s="4" t="s">
        <v>657</v>
      </c>
      <c r="M41" s="4" t="s">
        <v>652</v>
      </c>
      <c r="N41" s="4" t="s">
        <v>658</v>
      </c>
      <c r="O41" s="4" t="s">
        <v>659</v>
      </c>
      <c r="P41" s="4" t="str">
        <f t="shared" si="0"/>
        <v>TD Curitiba /FADEL</v>
      </c>
      <c r="Q41" s="4" t="s">
        <v>660</v>
      </c>
      <c r="R41" s="23" t="s">
        <v>661</v>
      </c>
    </row>
    <row r="42" spans="1:18" ht="12" hidden="1" customHeight="1" x14ac:dyDescent="0.25">
      <c r="A42" s="4" t="s">
        <v>714</v>
      </c>
      <c r="B42" s="4" t="s">
        <v>652</v>
      </c>
      <c r="C42" s="4">
        <v>90080841</v>
      </c>
      <c r="D42" s="4">
        <v>9202</v>
      </c>
      <c r="E42" s="4" t="s">
        <v>652</v>
      </c>
      <c r="F42" s="4" t="s">
        <v>653</v>
      </c>
      <c r="G42" s="4" t="s">
        <v>695</v>
      </c>
      <c r="H42" s="4" t="s">
        <v>655</v>
      </c>
      <c r="I42" s="4" t="s">
        <v>656</v>
      </c>
      <c r="J42" s="4" t="s">
        <v>115</v>
      </c>
      <c r="K42" s="4" t="s">
        <v>11</v>
      </c>
      <c r="L42" s="4" t="s">
        <v>657</v>
      </c>
      <c r="M42" s="4" t="s">
        <v>652</v>
      </c>
      <c r="N42" s="4" t="s">
        <v>658</v>
      </c>
      <c r="O42" s="4" t="s">
        <v>659</v>
      </c>
      <c r="P42" s="4" t="str">
        <f t="shared" si="0"/>
        <v>TD Curitiba /FADEL</v>
      </c>
      <c r="Q42" s="4" t="s">
        <v>660</v>
      </c>
      <c r="R42" s="23" t="s">
        <v>661</v>
      </c>
    </row>
    <row r="43" spans="1:18" ht="12" hidden="1" customHeight="1" x14ac:dyDescent="0.25">
      <c r="A43" s="4" t="s">
        <v>291</v>
      </c>
      <c r="B43" s="4" t="s">
        <v>715</v>
      </c>
      <c r="C43" s="4">
        <v>90070623</v>
      </c>
      <c r="D43" s="4">
        <v>7037</v>
      </c>
      <c r="E43" s="4" t="s">
        <v>652</v>
      </c>
      <c r="F43" s="4" t="s">
        <v>653</v>
      </c>
      <c r="G43" s="4" t="s">
        <v>695</v>
      </c>
      <c r="H43" s="4" t="s">
        <v>655</v>
      </c>
      <c r="I43" s="4" t="s">
        <v>656</v>
      </c>
      <c r="J43" s="4" t="s">
        <v>115</v>
      </c>
      <c r="K43" s="4" t="s">
        <v>11</v>
      </c>
      <c r="L43" s="4" t="s">
        <v>657</v>
      </c>
      <c r="M43" s="4" t="s">
        <v>652</v>
      </c>
      <c r="N43" s="4" t="s">
        <v>658</v>
      </c>
      <c r="O43" s="4" t="s">
        <v>659</v>
      </c>
      <c r="P43" s="4" t="str">
        <f t="shared" si="0"/>
        <v>TD Curitiba /FADEL</v>
      </c>
      <c r="Q43" s="4" t="s">
        <v>660</v>
      </c>
      <c r="R43" s="23" t="s">
        <v>661</v>
      </c>
    </row>
    <row r="44" spans="1:18" ht="12" hidden="1" customHeight="1" x14ac:dyDescent="0.25">
      <c r="A44" s="4" t="s">
        <v>716</v>
      </c>
      <c r="B44" s="4" t="s">
        <v>717</v>
      </c>
      <c r="C44" s="4">
        <v>90074064</v>
      </c>
      <c r="D44" s="4">
        <v>5069</v>
      </c>
      <c r="E44" s="4" t="s">
        <v>652</v>
      </c>
      <c r="F44" s="4" t="s">
        <v>653</v>
      </c>
      <c r="G44" s="4" t="s">
        <v>695</v>
      </c>
      <c r="H44" s="4" t="s">
        <v>655</v>
      </c>
      <c r="I44" s="4" t="s">
        <v>656</v>
      </c>
      <c r="J44" s="4" t="s">
        <v>115</v>
      </c>
      <c r="K44" s="4" t="s">
        <v>11</v>
      </c>
      <c r="L44" s="4" t="s">
        <v>657</v>
      </c>
      <c r="M44" s="4" t="s">
        <v>652</v>
      </c>
      <c r="N44" s="4" t="s">
        <v>658</v>
      </c>
      <c r="O44" s="4" t="s">
        <v>659</v>
      </c>
      <c r="P44" s="4" t="str">
        <f t="shared" si="0"/>
        <v>TD Curitiba /FADEL</v>
      </c>
      <c r="Q44" s="4" t="s">
        <v>660</v>
      </c>
      <c r="R44" s="23" t="s">
        <v>661</v>
      </c>
    </row>
    <row r="45" spans="1:18" ht="12" hidden="1" customHeight="1" x14ac:dyDescent="0.25">
      <c r="A45" s="4" t="s">
        <v>718</v>
      </c>
      <c r="B45" s="4" t="s">
        <v>719</v>
      </c>
      <c r="C45" s="4">
        <v>90074063</v>
      </c>
      <c r="D45" s="4">
        <v>9196</v>
      </c>
      <c r="E45" s="4" t="s">
        <v>652</v>
      </c>
      <c r="F45" s="4" t="s">
        <v>653</v>
      </c>
      <c r="G45" s="4" t="s">
        <v>695</v>
      </c>
      <c r="H45" s="4" t="s">
        <v>655</v>
      </c>
      <c r="I45" s="4" t="s">
        <v>656</v>
      </c>
      <c r="J45" s="4" t="s">
        <v>115</v>
      </c>
      <c r="K45" s="4" t="s">
        <v>11</v>
      </c>
      <c r="L45" s="4" t="s">
        <v>657</v>
      </c>
      <c r="M45" s="4" t="s">
        <v>652</v>
      </c>
      <c r="N45" s="4" t="s">
        <v>658</v>
      </c>
      <c r="O45" s="4" t="s">
        <v>659</v>
      </c>
      <c r="P45" s="4" t="str">
        <f t="shared" si="0"/>
        <v>TD Curitiba /FADEL</v>
      </c>
      <c r="Q45" s="4" t="s">
        <v>660</v>
      </c>
      <c r="R45" s="23" t="s">
        <v>661</v>
      </c>
    </row>
    <row r="46" spans="1:18" ht="12" hidden="1" customHeight="1" x14ac:dyDescent="0.25">
      <c r="A46" s="4" t="s">
        <v>720</v>
      </c>
      <c r="B46" s="4" t="s">
        <v>721</v>
      </c>
      <c r="C46" s="4">
        <v>90074092</v>
      </c>
      <c r="D46" s="4">
        <v>7016</v>
      </c>
      <c r="E46" s="4" t="s">
        <v>652</v>
      </c>
      <c r="F46" s="4" t="s">
        <v>653</v>
      </c>
      <c r="G46" s="4" t="s">
        <v>695</v>
      </c>
      <c r="H46" s="4" t="s">
        <v>655</v>
      </c>
      <c r="I46" s="4" t="s">
        <v>683</v>
      </c>
      <c r="J46" s="4" t="s">
        <v>115</v>
      </c>
      <c r="K46" s="4" t="s">
        <v>11</v>
      </c>
      <c r="L46" s="4" t="s">
        <v>657</v>
      </c>
      <c r="M46" s="4" t="s">
        <v>652</v>
      </c>
      <c r="N46" s="4" t="s">
        <v>658</v>
      </c>
      <c r="O46" s="4" t="s">
        <v>659</v>
      </c>
      <c r="P46" s="4" t="str">
        <f t="shared" si="0"/>
        <v>TD Curitiba /FADEL</v>
      </c>
      <c r="Q46" s="4" t="s">
        <v>660</v>
      </c>
      <c r="R46" s="23" t="s">
        <v>661</v>
      </c>
    </row>
    <row r="47" spans="1:18" ht="12" hidden="1" customHeight="1" x14ac:dyDescent="0.25">
      <c r="A47" s="4" t="s">
        <v>547</v>
      </c>
      <c r="B47" s="4" t="s">
        <v>722</v>
      </c>
      <c r="C47" s="4">
        <v>90070588</v>
      </c>
      <c r="D47" s="4">
        <v>5068</v>
      </c>
      <c r="E47" s="4" t="s">
        <v>652</v>
      </c>
      <c r="F47" s="4" t="s">
        <v>653</v>
      </c>
      <c r="G47" s="4" t="s">
        <v>695</v>
      </c>
      <c r="H47" s="4" t="s">
        <v>655</v>
      </c>
      <c r="I47" s="4" t="s">
        <v>683</v>
      </c>
      <c r="J47" s="4" t="s">
        <v>115</v>
      </c>
      <c r="K47" s="4" t="s">
        <v>11</v>
      </c>
      <c r="L47" s="4" t="s">
        <v>657</v>
      </c>
      <c r="M47" s="4" t="s">
        <v>652</v>
      </c>
      <c r="N47" s="4" t="s">
        <v>658</v>
      </c>
      <c r="O47" s="4" t="s">
        <v>659</v>
      </c>
      <c r="P47" s="4" t="str">
        <f t="shared" si="0"/>
        <v>TD Curitiba /FADEL</v>
      </c>
      <c r="Q47" s="4" t="s">
        <v>660</v>
      </c>
      <c r="R47" s="23" t="s">
        <v>661</v>
      </c>
    </row>
    <row r="48" spans="1:18" ht="12" hidden="1" customHeight="1" x14ac:dyDescent="0.25">
      <c r="A48" s="4" t="s">
        <v>723</v>
      </c>
      <c r="B48" s="4" t="s">
        <v>724</v>
      </c>
      <c r="C48" s="4">
        <v>90070611</v>
      </c>
      <c r="D48" s="4">
        <v>6282</v>
      </c>
      <c r="E48" s="4" t="s">
        <v>652</v>
      </c>
      <c r="F48" s="4" t="s">
        <v>653</v>
      </c>
      <c r="G48" s="4" t="s">
        <v>695</v>
      </c>
      <c r="H48" s="4" t="s">
        <v>655</v>
      </c>
      <c r="I48" s="4" t="s">
        <v>683</v>
      </c>
      <c r="J48" s="4" t="s">
        <v>115</v>
      </c>
      <c r="K48" s="4" t="s">
        <v>11</v>
      </c>
      <c r="L48" s="4" t="s">
        <v>657</v>
      </c>
      <c r="M48" s="4" t="s">
        <v>652</v>
      </c>
      <c r="N48" s="4" t="s">
        <v>658</v>
      </c>
      <c r="O48" s="4" t="s">
        <v>659</v>
      </c>
      <c r="P48" s="4" t="str">
        <f t="shared" si="0"/>
        <v>TD Curitiba /FADEL</v>
      </c>
      <c r="Q48" s="4" t="s">
        <v>660</v>
      </c>
      <c r="R48" s="23" t="s">
        <v>661</v>
      </c>
    </row>
    <row r="49" spans="1:18" ht="12" hidden="1" customHeight="1" x14ac:dyDescent="0.25">
      <c r="A49" s="4" t="s">
        <v>725</v>
      </c>
      <c r="B49" s="4" t="s">
        <v>726</v>
      </c>
      <c r="C49" s="4">
        <v>90070599</v>
      </c>
      <c r="D49" s="4">
        <v>4052</v>
      </c>
      <c r="E49" s="4" t="s">
        <v>652</v>
      </c>
      <c r="F49" s="4" t="s">
        <v>653</v>
      </c>
      <c r="G49" s="4" t="s">
        <v>695</v>
      </c>
      <c r="H49" s="4" t="s">
        <v>655</v>
      </c>
      <c r="I49" s="4" t="s">
        <v>683</v>
      </c>
      <c r="J49" s="4" t="s">
        <v>115</v>
      </c>
      <c r="K49" s="4" t="s">
        <v>11</v>
      </c>
      <c r="L49" s="4" t="s">
        <v>657</v>
      </c>
      <c r="M49" s="4" t="s">
        <v>652</v>
      </c>
      <c r="N49" s="4" t="s">
        <v>658</v>
      </c>
      <c r="O49" s="4" t="s">
        <v>659</v>
      </c>
      <c r="P49" s="4" t="str">
        <f t="shared" si="0"/>
        <v>TD Curitiba /FADEL</v>
      </c>
      <c r="Q49" s="4" t="s">
        <v>660</v>
      </c>
      <c r="R49" s="23" t="s">
        <v>661</v>
      </c>
    </row>
    <row r="50" spans="1:18" ht="12" hidden="1" customHeight="1" x14ac:dyDescent="0.25">
      <c r="A50" s="4" t="s">
        <v>727</v>
      </c>
      <c r="B50" s="4" t="s">
        <v>728</v>
      </c>
      <c r="C50" s="4">
        <v>90070616</v>
      </c>
      <c r="D50" s="4">
        <v>4055</v>
      </c>
      <c r="E50" s="4" t="s">
        <v>652</v>
      </c>
      <c r="F50" s="4" t="s">
        <v>653</v>
      </c>
      <c r="G50" s="4" t="s">
        <v>695</v>
      </c>
      <c r="H50" s="4" t="s">
        <v>655</v>
      </c>
      <c r="I50" s="4" t="s">
        <v>656</v>
      </c>
      <c r="J50" s="4" t="s">
        <v>115</v>
      </c>
      <c r="K50" s="4" t="s">
        <v>11</v>
      </c>
      <c r="L50" s="4" t="s">
        <v>657</v>
      </c>
      <c r="M50" s="4" t="s">
        <v>652</v>
      </c>
      <c r="N50" s="4" t="s">
        <v>658</v>
      </c>
      <c r="O50" s="4" t="s">
        <v>659</v>
      </c>
      <c r="P50" s="4" t="str">
        <f t="shared" si="0"/>
        <v>TD Curitiba /FADEL</v>
      </c>
      <c r="Q50" s="4" t="s">
        <v>660</v>
      </c>
      <c r="R50" s="23" t="s">
        <v>661</v>
      </c>
    </row>
    <row r="51" spans="1:18" ht="12" hidden="1" customHeight="1" x14ac:dyDescent="0.25">
      <c r="A51" s="4" t="s">
        <v>440</v>
      </c>
      <c r="B51" s="4" t="s">
        <v>729</v>
      </c>
      <c r="C51" s="4">
        <v>90070612</v>
      </c>
      <c r="D51" s="4">
        <v>6283</v>
      </c>
      <c r="E51" s="4" t="s">
        <v>652</v>
      </c>
      <c r="F51" s="4" t="s">
        <v>653</v>
      </c>
      <c r="G51" s="4" t="s">
        <v>695</v>
      </c>
      <c r="H51" s="4" t="s">
        <v>655</v>
      </c>
      <c r="I51" s="4" t="s">
        <v>656</v>
      </c>
      <c r="J51" s="4" t="s">
        <v>115</v>
      </c>
      <c r="K51" s="4" t="s">
        <v>11</v>
      </c>
      <c r="L51" s="4" t="s">
        <v>657</v>
      </c>
      <c r="M51" s="4" t="s">
        <v>652</v>
      </c>
      <c r="N51" s="4" t="s">
        <v>658</v>
      </c>
      <c r="O51" s="4" t="s">
        <v>659</v>
      </c>
      <c r="P51" s="4" t="str">
        <f t="shared" si="0"/>
        <v>TD Curitiba /FADEL</v>
      </c>
      <c r="Q51" s="4" t="s">
        <v>660</v>
      </c>
      <c r="R51" s="23" t="s">
        <v>661</v>
      </c>
    </row>
    <row r="52" spans="1:18" ht="12" hidden="1" customHeight="1" x14ac:dyDescent="0.25">
      <c r="A52" s="4" t="s">
        <v>730</v>
      </c>
      <c r="B52" s="4" t="s">
        <v>731</v>
      </c>
      <c r="C52" s="4">
        <v>90070621</v>
      </c>
      <c r="D52" s="4">
        <v>7034</v>
      </c>
      <c r="E52" s="5" t="s">
        <v>652</v>
      </c>
      <c r="F52" s="4" t="s">
        <v>653</v>
      </c>
      <c r="G52" s="4" t="s">
        <v>695</v>
      </c>
      <c r="H52" s="4" t="s">
        <v>655</v>
      </c>
      <c r="I52" s="4" t="s">
        <v>656</v>
      </c>
      <c r="J52" s="4" t="s">
        <v>115</v>
      </c>
      <c r="K52" s="4" t="s">
        <v>11</v>
      </c>
      <c r="L52" s="4" t="s">
        <v>657</v>
      </c>
      <c r="M52" s="4" t="s">
        <v>652</v>
      </c>
      <c r="N52" s="4" t="s">
        <v>658</v>
      </c>
      <c r="O52" s="4" t="s">
        <v>659</v>
      </c>
      <c r="P52" s="4" t="str">
        <f t="shared" si="0"/>
        <v>TD Curitiba /FADEL</v>
      </c>
      <c r="Q52" s="4" t="s">
        <v>660</v>
      </c>
      <c r="R52" s="23" t="s">
        <v>661</v>
      </c>
    </row>
    <row r="53" spans="1:18" ht="12" hidden="1" customHeight="1" x14ac:dyDescent="0.25">
      <c r="A53" s="4" t="s">
        <v>732</v>
      </c>
      <c r="B53" s="4" t="s">
        <v>733</v>
      </c>
      <c r="C53" s="4">
        <v>90070608</v>
      </c>
      <c r="D53" s="4">
        <v>4253</v>
      </c>
      <c r="E53" s="4" t="s">
        <v>652</v>
      </c>
      <c r="F53" s="4" t="s">
        <v>653</v>
      </c>
      <c r="G53" s="4" t="s">
        <v>695</v>
      </c>
      <c r="H53" s="4" t="s">
        <v>655</v>
      </c>
      <c r="I53" s="4" t="s">
        <v>656</v>
      </c>
      <c r="J53" s="4" t="s">
        <v>115</v>
      </c>
      <c r="K53" s="4" t="s">
        <v>11</v>
      </c>
      <c r="L53" s="4" t="s">
        <v>657</v>
      </c>
      <c r="M53" s="4" t="s">
        <v>652</v>
      </c>
      <c r="N53" s="4" t="s">
        <v>658</v>
      </c>
      <c r="O53" s="4" t="s">
        <v>659</v>
      </c>
      <c r="P53" s="4" t="str">
        <f t="shared" si="0"/>
        <v>TD Curitiba /FADEL</v>
      </c>
      <c r="Q53" s="4" t="s">
        <v>660</v>
      </c>
      <c r="R53" s="23" t="s">
        <v>661</v>
      </c>
    </row>
    <row r="54" spans="1:18" ht="12" hidden="1" customHeight="1" x14ac:dyDescent="0.25">
      <c r="A54" s="4" t="s">
        <v>734</v>
      </c>
      <c r="B54" s="4" t="s">
        <v>735</v>
      </c>
      <c r="C54" s="4">
        <v>90070607</v>
      </c>
      <c r="D54" s="4">
        <v>6279</v>
      </c>
      <c r="E54" s="4" t="s">
        <v>652</v>
      </c>
      <c r="F54" s="4" t="s">
        <v>653</v>
      </c>
      <c r="G54" s="4" t="s">
        <v>695</v>
      </c>
      <c r="H54" s="4" t="s">
        <v>655</v>
      </c>
      <c r="I54" s="4" t="s">
        <v>656</v>
      </c>
      <c r="J54" s="4" t="s">
        <v>115</v>
      </c>
      <c r="K54" s="4" t="s">
        <v>11</v>
      </c>
      <c r="L54" s="4" t="s">
        <v>657</v>
      </c>
      <c r="M54" s="4" t="s">
        <v>652</v>
      </c>
      <c r="N54" s="4" t="s">
        <v>658</v>
      </c>
      <c r="O54" s="4" t="s">
        <v>659</v>
      </c>
      <c r="P54" s="4" t="str">
        <f t="shared" si="0"/>
        <v>TD Curitiba /FADEL</v>
      </c>
      <c r="Q54" s="4" t="s">
        <v>660</v>
      </c>
      <c r="R54" s="23" t="s">
        <v>661</v>
      </c>
    </row>
    <row r="55" spans="1:18" ht="12" hidden="1" customHeight="1" x14ac:dyDescent="0.25">
      <c r="A55" s="4" t="s">
        <v>586</v>
      </c>
      <c r="B55" s="4" t="s">
        <v>736</v>
      </c>
      <c r="C55" s="4">
        <v>90081693</v>
      </c>
      <c r="D55" s="4">
        <v>4072</v>
      </c>
      <c r="E55" s="4" t="s">
        <v>737</v>
      </c>
      <c r="F55" s="4" t="s">
        <v>681</v>
      </c>
      <c r="G55" s="4" t="s">
        <v>654</v>
      </c>
      <c r="H55" s="4" t="s">
        <v>738</v>
      </c>
      <c r="I55" s="4" t="s">
        <v>663</v>
      </c>
      <c r="J55" s="4" t="s">
        <v>739</v>
      </c>
      <c r="K55" s="4" t="s">
        <v>13</v>
      </c>
      <c r="L55" s="4" t="s">
        <v>740</v>
      </c>
      <c r="M55" s="4" t="s">
        <v>741</v>
      </c>
      <c r="N55" s="4" t="s">
        <v>742</v>
      </c>
      <c r="O55" s="4" t="s">
        <v>659</v>
      </c>
      <c r="P55" s="4" t="str">
        <f>CONCATENATE(K55," /",M55)</f>
        <v>TV Curitiba 2 /Rotal Litoral</v>
      </c>
      <c r="Q55" s="4" t="s">
        <v>743</v>
      </c>
      <c r="R55" s="23" t="s">
        <v>661</v>
      </c>
    </row>
    <row r="56" spans="1:18" ht="12" hidden="1" customHeight="1" x14ac:dyDescent="0.25">
      <c r="A56" s="4" t="s">
        <v>239</v>
      </c>
      <c r="B56" s="4" t="s">
        <v>744</v>
      </c>
      <c r="C56" s="4">
        <v>90081688</v>
      </c>
      <c r="D56" s="4">
        <v>4073</v>
      </c>
      <c r="E56" s="4" t="s">
        <v>745</v>
      </c>
      <c r="F56" s="4" t="s">
        <v>681</v>
      </c>
      <c r="G56" s="4" t="s">
        <v>654</v>
      </c>
      <c r="H56" s="4" t="s">
        <v>738</v>
      </c>
      <c r="I56" s="4" t="s">
        <v>663</v>
      </c>
      <c r="J56" s="4" t="s">
        <v>746</v>
      </c>
      <c r="K56" s="4" t="s">
        <v>13</v>
      </c>
      <c r="L56" s="4" t="s">
        <v>740</v>
      </c>
      <c r="M56" s="4" t="s">
        <v>741</v>
      </c>
      <c r="N56" s="4" t="s">
        <v>742</v>
      </c>
      <c r="O56" s="4" t="s">
        <v>659</v>
      </c>
      <c r="P56" s="4" t="str">
        <f t="shared" ref="P56:P72" si="1">CONCATENATE(K56," /",M56)</f>
        <v>TV Curitiba 2 /Rotal Litoral</v>
      </c>
      <c r="Q56" s="4" t="s">
        <v>743</v>
      </c>
      <c r="R56" s="23" t="s">
        <v>661</v>
      </c>
    </row>
    <row r="57" spans="1:18" ht="12" hidden="1" customHeight="1" x14ac:dyDescent="0.25">
      <c r="A57" s="4" t="s">
        <v>124</v>
      </c>
      <c r="B57" s="4" t="s">
        <v>747</v>
      </c>
      <c r="C57" s="4">
        <v>90081670</v>
      </c>
      <c r="D57" s="4">
        <v>4781</v>
      </c>
      <c r="E57" s="4" t="s">
        <v>748</v>
      </c>
      <c r="F57" s="4" t="s">
        <v>681</v>
      </c>
      <c r="G57" s="4" t="s">
        <v>654</v>
      </c>
      <c r="H57" s="4" t="s">
        <v>738</v>
      </c>
      <c r="I57" s="4" t="s">
        <v>663</v>
      </c>
      <c r="J57" s="4" t="s">
        <v>749</v>
      </c>
      <c r="K57" s="4" t="s">
        <v>13</v>
      </c>
      <c r="L57" s="4" t="s">
        <v>740</v>
      </c>
      <c r="M57" s="4" t="s">
        <v>741</v>
      </c>
      <c r="N57" s="4" t="s">
        <v>742</v>
      </c>
      <c r="O57" s="4" t="s">
        <v>659</v>
      </c>
      <c r="P57" s="4" t="str">
        <f t="shared" si="1"/>
        <v>TV Curitiba 2 /Rotal Litoral</v>
      </c>
      <c r="Q57" s="4" t="s">
        <v>750</v>
      </c>
      <c r="R57" s="23" t="s">
        <v>661</v>
      </c>
    </row>
    <row r="58" spans="1:18" ht="12" hidden="1" customHeight="1" x14ac:dyDescent="0.25">
      <c r="A58" s="4" t="s">
        <v>259</v>
      </c>
      <c r="B58" s="4" t="s">
        <v>751</v>
      </c>
      <c r="C58" s="4">
        <v>90081705</v>
      </c>
      <c r="D58" s="4">
        <v>4065</v>
      </c>
      <c r="E58" s="4" t="s">
        <v>752</v>
      </c>
      <c r="F58" s="4" t="s">
        <v>681</v>
      </c>
      <c r="G58" s="4" t="s">
        <v>654</v>
      </c>
      <c r="H58" s="4" t="s">
        <v>738</v>
      </c>
      <c r="I58" s="4" t="s">
        <v>663</v>
      </c>
      <c r="J58" s="4" t="s">
        <v>753</v>
      </c>
      <c r="K58" s="4" t="s">
        <v>13</v>
      </c>
      <c r="L58" s="4" t="s">
        <v>740</v>
      </c>
      <c r="M58" s="4" t="s">
        <v>754</v>
      </c>
      <c r="N58" s="4" t="s">
        <v>742</v>
      </c>
      <c r="O58" s="4" t="s">
        <v>659</v>
      </c>
      <c r="P58" s="4" t="str">
        <f t="shared" si="1"/>
        <v>TV Curitiba 2 /Rota Ponta Grossa</v>
      </c>
      <c r="Q58" s="4" t="s">
        <v>755</v>
      </c>
      <c r="R58" s="23" t="s">
        <v>661</v>
      </c>
    </row>
    <row r="59" spans="1:18" ht="12" hidden="1" customHeight="1" x14ac:dyDescent="0.25">
      <c r="A59" s="4" t="s">
        <v>129</v>
      </c>
      <c r="B59" s="4" t="s">
        <v>756</v>
      </c>
      <c r="C59" s="4">
        <v>90081685</v>
      </c>
      <c r="D59" s="4">
        <v>4254</v>
      </c>
      <c r="E59" s="4" t="s">
        <v>757</v>
      </c>
      <c r="F59" s="4" t="s">
        <v>681</v>
      </c>
      <c r="G59" s="4" t="s">
        <v>654</v>
      </c>
      <c r="H59" s="4" t="s">
        <v>738</v>
      </c>
      <c r="I59" s="4" t="s">
        <v>663</v>
      </c>
      <c r="J59" s="4" t="s">
        <v>758</v>
      </c>
      <c r="K59" s="4" t="s">
        <v>13</v>
      </c>
      <c r="L59" s="4" t="s">
        <v>740</v>
      </c>
      <c r="M59" s="4" t="s">
        <v>754</v>
      </c>
      <c r="N59" s="4" t="s">
        <v>742</v>
      </c>
      <c r="O59" s="4" t="s">
        <v>659</v>
      </c>
      <c r="P59" s="4" t="str">
        <f t="shared" si="1"/>
        <v>TV Curitiba 2 /Rota Ponta Grossa</v>
      </c>
      <c r="Q59" s="4" t="s">
        <v>755</v>
      </c>
      <c r="R59" s="23" t="s">
        <v>661</v>
      </c>
    </row>
    <row r="60" spans="1:18" ht="12" hidden="1" customHeight="1" x14ac:dyDescent="0.25">
      <c r="A60" s="4" t="s">
        <v>172</v>
      </c>
      <c r="B60" s="4" t="s">
        <v>759</v>
      </c>
      <c r="C60" s="4">
        <v>90081667</v>
      </c>
      <c r="D60" s="4">
        <v>4780</v>
      </c>
      <c r="E60" s="4" t="s">
        <v>760</v>
      </c>
      <c r="F60" s="4" t="s">
        <v>681</v>
      </c>
      <c r="G60" s="4" t="s">
        <v>654</v>
      </c>
      <c r="H60" s="4" t="s">
        <v>738</v>
      </c>
      <c r="I60" s="4" t="s">
        <v>663</v>
      </c>
      <c r="J60" s="4" t="s">
        <v>758</v>
      </c>
      <c r="K60" s="4" t="s">
        <v>13</v>
      </c>
      <c r="L60" s="4" t="s">
        <v>740</v>
      </c>
      <c r="M60" s="4" t="s">
        <v>754</v>
      </c>
      <c r="N60" s="4" t="s">
        <v>742</v>
      </c>
      <c r="O60" s="4" t="s">
        <v>659</v>
      </c>
      <c r="P60" s="4" t="str">
        <f t="shared" si="1"/>
        <v>TV Curitiba 2 /Rota Ponta Grossa</v>
      </c>
      <c r="Q60" s="4" t="s">
        <v>755</v>
      </c>
      <c r="R60" s="23" t="s">
        <v>661</v>
      </c>
    </row>
    <row r="61" spans="1:18" ht="12" hidden="1" customHeight="1" x14ac:dyDescent="0.25">
      <c r="A61" s="4" t="s">
        <v>138</v>
      </c>
      <c r="B61" s="4" t="s">
        <v>761</v>
      </c>
      <c r="C61" s="4">
        <v>90081620</v>
      </c>
      <c r="D61" s="4">
        <v>1087</v>
      </c>
      <c r="E61" s="4" t="s">
        <v>762</v>
      </c>
      <c r="F61" s="4" t="s">
        <v>681</v>
      </c>
      <c r="G61" s="4" t="s">
        <v>654</v>
      </c>
      <c r="H61" s="4" t="s">
        <v>738</v>
      </c>
      <c r="I61" s="4" t="s">
        <v>663</v>
      </c>
      <c r="J61" s="4" t="s">
        <v>763</v>
      </c>
      <c r="K61" s="4" t="s">
        <v>15</v>
      </c>
      <c r="L61" s="4" t="s">
        <v>764</v>
      </c>
      <c r="M61" s="4" t="s">
        <v>765</v>
      </c>
      <c r="N61" s="4" t="s">
        <v>742</v>
      </c>
      <c r="O61" s="4" t="s">
        <v>659</v>
      </c>
      <c r="P61" s="4" t="str">
        <f t="shared" si="1"/>
        <v>TV Cascavel /Rota Sudoeste</v>
      </c>
      <c r="Q61" s="4" t="s">
        <v>766</v>
      </c>
      <c r="R61" s="23" t="s">
        <v>661</v>
      </c>
    </row>
    <row r="62" spans="1:18" ht="12" hidden="1" customHeight="1" x14ac:dyDescent="0.25">
      <c r="A62" s="4" t="s">
        <v>194</v>
      </c>
      <c r="B62" s="4" t="s">
        <v>767</v>
      </c>
      <c r="C62" s="4">
        <v>90081594</v>
      </c>
      <c r="D62" s="4">
        <v>4063</v>
      </c>
      <c r="E62" s="4" t="s">
        <v>768</v>
      </c>
      <c r="F62" s="4" t="s">
        <v>681</v>
      </c>
      <c r="G62" s="4" t="s">
        <v>654</v>
      </c>
      <c r="H62" s="4" t="s">
        <v>738</v>
      </c>
      <c r="I62" s="4" t="s">
        <v>663</v>
      </c>
      <c r="J62" s="4" t="s">
        <v>769</v>
      </c>
      <c r="K62" s="4" t="s">
        <v>15</v>
      </c>
      <c r="L62" s="4" t="s">
        <v>764</v>
      </c>
      <c r="M62" s="4" t="s">
        <v>765</v>
      </c>
      <c r="N62" s="4" t="s">
        <v>742</v>
      </c>
      <c r="O62" s="4" t="s">
        <v>659</v>
      </c>
      <c r="P62" s="4" t="str">
        <f t="shared" si="1"/>
        <v>TV Cascavel /Rota Sudoeste</v>
      </c>
      <c r="Q62" s="173" t="s">
        <v>755</v>
      </c>
      <c r="R62" s="23" t="s">
        <v>661</v>
      </c>
    </row>
    <row r="63" spans="1:18" ht="12" hidden="1" customHeight="1" x14ac:dyDescent="0.25">
      <c r="A63" s="4" t="s">
        <v>465</v>
      </c>
      <c r="B63" s="4" t="s">
        <v>770</v>
      </c>
      <c r="C63" s="4">
        <v>90081703</v>
      </c>
      <c r="D63" s="4">
        <v>4064</v>
      </c>
      <c r="E63" s="4" t="s">
        <v>771</v>
      </c>
      <c r="F63" s="4" t="s">
        <v>681</v>
      </c>
      <c r="G63" s="4" t="s">
        <v>654</v>
      </c>
      <c r="H63" s="4" t="s">
        <v>738</v>
      </c>
      <c r="I63" s="4" t="s">
        <v>663</v>
      </c>
      <c r="J63" s="4" t="s">
        <v>772</v>
      </c>
      <c r="K63" s="4" t="s">
        <v>15</v>
      </c>
      <c r="L63" s="4" t="s">
        <v>764</v>
      </c>
      <c r="M63" s="4" t="s">
        <v>765</v>
      </c>
      <c r="N63" s="4" t="s">
        <v>742</v>
      </c>
      <c r="O63" s="4" t="s">
        <v>659</v>
      </c>
      <c r="P63" s="4" t="str">
        <f t="shared" si="1"/>
        <v>TV Cascavel /Rota Sudoeste</v>
      </c>
      <c r="Q63" s="173" t="s">
        <v>755</v>
      </c>
      <c r="R63" s="23" t="s">
        <v>661</v>
      </c>
    </row>
    <row r="64" spans="1:18" ht="12" hidden="1" customHeight="1" x14ac:dyDescent="0.25">
      <c r="A64" s="4" t="s">
        <v>157</v>
      </c>
      <c r="B64" s="4" t="s">
        <v>773</v>
      </c>
      <c r="C64" s="4">
        <v>90081704</v>
      </c>
      <c r="D64" s="4">
        <v>4066</v>
      </c>
      <c r="E64" s="4" t="s">
        <v>774</v>
      </c>
      <c r="F64" s="4" t="s">
        <v>681</v>
      </c>
      <c r="G64" s="4" t="s">
        <v>654</v>
      </c>
      <c r="H64" s="4" t="s">
        <v>738</v>
      </c>
      <c r="I64" s="4" t="s">
        <v>663</v>
      </c>
      <c r="J64" s="4" t="s">
        <v>775</v>
      </c>
      <c r="K64" s="4" t="s">
        <v>13</v>
      </c>
      <c r="L64" s="4" t="s">
        <v>740</v>
      </c>
      <c r="M64" s="4" t="s">
        <v>776</v>
      </c>
      <c r="N64" s="4" t="s">
        <v>742</v>
      </c>
      <c r="O64" s="4" t="s">
        <v>659</v>
      </c>
      <c r="P64" s="4" t="str">
        <f t="shared" si="1"/>
        <v>TV Curitiba 2 /Rota Guarapauva</v>
      </c>
      <c r="Q64" s="4" t="s">
        <v>755</v>
      </c>
      <c r="R64" s="23" t="s">
        <v>661</v>
      </c>
    </row>
    <row r="65" spans="1:18" ht="12" hidden="1" customHeight="1" x14ac:dyDescent="0.25">
      <c r="A65" s="4" t="s">
        <v>164</v>
      </c>
      <c r="B65" s="4" t="s">
        <v>777</v>
      </c>
      <c r="C65" s="4">
        <v>90081676</v>
      </c>
      <c r="D65" s="4">
        <v>4069</v>
      </c>
      <c r="E65" s="4" t="s">
        <v>778</v>
      </c>
      <c r="F65" s="4" t="s">
        <v>681</v>
      </c>
      <c r="G65" s="4" t="s">
        <v>654</v>
      </c>
      <c r="H65" s="4" t="s">
        <v>738</v>
      </c>
      <c r="I65" s="4" t="s">
        <v>663</v>
      </c>
      <c r="J65" s="4" t="s">
        <v>775</v>
      </c>
      <c r="K65" s="4" t="s">
        <v>13</v>
      </c>
      <c r="L65" s="4" t="s">
        <v>740</v>
      </c>
      <c r="M65" s="4" t="s">
        <v>776</v>
      </c>
      <c r="N65" s="4" t="s">
        <v>742</v>
      </c>
      <c r="O65" s="4" t="s">
        <v>659</v>
      </c>
      <c r="P65" s="4" t="str">
        <f t="shared" si="1"/>
        <v>TV Curitiba 2 /Rota Guarapauva</v>
      </c>
      <c r="Q65" s="4" t="s">
        <v>755</v>
      </c>
      <c r="R65" s="23" t="s">
        <v>661</v>
      </c>
    </row>
    <row r="66" spans="1:18" ht="12" hidden="1" customHeight="1" x14ac:dyDescent="0.25">
      <c r="A66" s="4" t="s">
        <v>414</v>
      </c>
      <c r="B66" s="4" t="s">
        <v>779</v>
      </c>
      <c r="C66" s="4">
        <v>90081559</v>
      </c>
      <c r="D66" s="4">
        <v>4070</v>
      </c>
      <c r="E66" s="4" t="s">
        <v>780</v>
      </c>
      <c r="F66" s="4" t="s">
        <v>681</v>
      </c>
      <c r="G66" s="4" t="s">
        <v>654</v>
      </c>
      <c r="H66" s="4" t="s">
        <v>738</v>
      </c>
      <c r="I66" s="4" t="s">
        <v>663</v>
      </c>
      <c r="J66" s="4" t="s">
        <v>781</v>
      </c>
      <c r="K66" s="4" t="s">
        <v>13</v>
      </c>
      <c r="L66" s="4" t="s">
        <v>740</v>
      </c>
      <c r="M66" s="4" t="s">
        <v>776</v>
      </c>
      <c r="N66" s="4" t="s">
        <v>742</v>
      </c>
      <c r="O66" s="4" t="s">
        <v>659</v>
      </c>
      <c r="P66" s="4" t="str">
        <f t="shared" si="1"/>
        <v>TV Curitiba 2 /Rota Guarapauva</v>
      </c>
      <c r="Q66" s="4" t="s">
        <v>755</v>
      </c>
      <c r="R66" s="23" t="s">
        <v>661</v>
      </c>
    </row>
    <row r="67" spans="1:18" ht="12" hidden="1" customHeight="1" x14ac:dyDescent="0.25">
      <c r="A67" s="4" t="s">
        <v>255</v>
      </c>
      <c r="B67" s="4" t="s">
        <v>782</v>
      </c>
      <c r="C67" s="4">
        <v>90081641</v>
      </c>
      <c r="D67" s="4">
        <v>6290</v>
      </c>
      <c r="E67" s="4" t="s">
        <v>783</v>
      </c>
      <c r="F67" s="4" t="s">
        <v>681</v>
      </c>
      <c r="G67" s="4" t="s">
        <v>654</v>
      </c>
      <c r="H67" s="4" t="s">
        <v>738</v>
      </c>
      <c r="I67" s="4" t="s">
        <v>663</v>
      </c>
      <c r="J67" s="4" t="s">
        <v>784</v>
      </c>
      <c r="K67" s="4" t="s">
        <v>13</v>
      </c>
      <c r="L67" s="4" t="s">
        <v>740</v>
      </c>
      <c r="M67" s="4" t="s">
        <v>776</v>
      </c>
      <c r="N67" s="4" t="s">
        <v>742</v>
      </c>
      <c r="O67" s="4" t="s">
        <v>659</v>
      </c>
      <c r="P67" s="4" t="str">
        <f t="shared" si="1"/>
        <v>TV Curitiba 2 /Rota Guarapauva</v>
      </c>
      <c r="Q67" s="4" t="s">
        <v>755</v>
      </c>
      <c r="R67" s="23" t="s">
        <v>661</v>
      </c>
    </row>
    <row r="68" spans="1:18" ht="12" hidden="1" customHeight="1" x14ac:dyDescent="0.25">
      <c r="A68" s="4" t="s">
        <v>231</v>
      </c>
      <c r="B68" s="4" t="s">
        <v>785</v>
      </c>
      <c r="C68" s="4">
        <v>90081558</v>
      </c>
      <c r="D68" s="4">
        <v>6291</v>
      </c>
      <c r="E68" s="4" t="s">
        <v>786</v>
      </c>
      <c r="F68" s="4" t="s">
        <v>681</v>
      </c>
      <c r="G68" s="4" t="s">
        <v>654</v>
      </c>
      <c r="H68" s="4" t="s">
        <v>738</v>
      </c>
      <c r="I68" s="4" t="s">
        <v>663</v>
      </c>
      <c r="J68" s="4" t="s">
        <v>787</v>
      </c>
      <c r="K68" s="4" t="s">
        <v>13</v>
      </c>
      <c r="L68" s="4" t="s">
        <v>740</v>
      </c>
      <c r="M68" s="4" t="s">
        <v>765</v>
      </c>
      <c r="N68" s="4" t="s">
        <v>742</v>
      </c>
      <c r="O68" s="4" t="s">
        <v>659</v>
      </c>
      <c r="P68" s="4" t="str">
        <f t="shared" si="1"/>
        <v>TV Curitiba 2 /Rota Sudoeste</v>
      </c>
      <c r="Q68" s="4" t="s">
        <v>755</v>
      </c>
      <c r="R68" s="23" t="s">
        <v>661</v>
      </c>
    </row>
    <row r="69" spans="1:18" ht="12" hidden="1" customHeight="1" x14ac:dyDescent="0.25">
      <c r="A69" s="4" t="s">
        <v>175</v>
      </c>
      <c r="B69" s="4" t="s">
        <v>788</v>
      </c>
      <c r="C69" s="4">
        <v>90081595</v>
      </c>
      <c r="D69" s="4">
        <v>7001</v>
      </c>
      <c r="E69" s="4" t="s">
        <v>789</v>
      </c>
      <c r="F69" s="4" t="s">
        <v>681</v>
      </c>
      <c r="G69" s="4" t="s">
        <v>654</v>
      </c>
      <c r="H69" s="4" t="s">
        <v>738</v>
      </c>
      <c r="I69" s="4" t="s">
        <v>663</v>
      </c>
      <c r="J69" s="4" t="s">
        <v>790</v>
      </c>
      <c r="K69" s="4" t="s">
        <v>13</v>
      </c>
      <c r="L69" s="4" t="s">
        <v>740</v>
      </c>
      <c r="M69" s="4" t="s">
        <v>754</v>
      </c>
      <c r="N69" s="4" t="s">
        <v>742</v>
      </c>
      <c r="O69" s="4" t="s">
        <v>659</v>
      </c>
      <c r="P69" s="4" t="str">
        <f t="shared" si="1"/>
        <v>TV Curitiba 2 /Rota Ponta Grossa</v>
      </c>
      <c r="Q69" s="4" t="s">
        <v>755</v>
      </c>
      <c r="R69" s="23" t="s">
        <v>661</v>
      </c>
    </row>
    <row r="70" spans="1:18" ht="12" hidden="1" customHeight="1" x14ac:dyDescent="0.25">
      <c r="A70" s="4" t="s">
        <v>429</v>
      </c>
      <c r="B70" s="4" t="s">
        <v>791</v>
      </c>
      <c r="C70" s="4">
        <v>90081605</v>
      </c>
      <c r="D70" s="4">
        <v>1086</v>
      </c>
      <c r="E70" s="4" t="s">
        <v>792</v>
      </c>
      <c r="F70" s="4" t="s">
        <v>681</v>
      </c>
      <c r="G70" s="4" t="s">
        <v>654</v>
      </c>
      <c r="H70" s="4" t="s">
        <v>738</v>
      </c>
      <c r="I70" s="4" t="s">
        <v>663</v>
      </c>
      <c r="J70" s="4" t="s">
        <v>793</v>
      </c>
      <c r="K70" s="4" t="s">
        <v>15</v>
      </c>
      <c r="L70" s="4" t="s">
        <v>764</v>
      </c>
      <c r="M70" s="4" t="s">
        <v>765</v>
      </c>
      <c r="N70" s="4" t="s">
        <v>742</v>
      </c>
      <c r="O70" s="4" t="s">
        <v>659</v>
      </c>
      <c r="P70" s="4" t="str">
        <f t="shared" si="1"/>
        <v>TV Cascavel /Rota Sudoeste</v>
      </c>
      <c r="Q70" s="4" t="s">
        <v>766</v>
      </c>
      <c r="R70" s="23" t="s">
        <v>661</v>
      </c>
    </row>
    <row r="71" spans="1:18" ht="12" hidden="1" customHeight="1" x14ac:dyDescent="0.25">
      <c r="A71" s="4" t="s">
        <v>409</v>
      </c>
      <c r="B71" s="4" t="s">
        <v>794</v>
      </c>
      <c r="C71" s="4">
        <v>90081564</v>
      </c>
      <c r="D71" s="4">
        <v>7003</v>
      </c>
      <c r="E71" s="4" t="s">
        <v>795</v>
      </c>
      <c r="F71" s="4" t="s">
        <v>681</v>
      </c>
      <c r="G71" s="4" t="s">
        <v>654</v>
      </c>
      <c r="H71" s="4" t="s">
        <v>738</v>
      </c>
      <c r="I71" s="4" t="s">
        <v>663</v>
      </c>
      <c r="J71" s="4" t="s">
        <v>796</v>
      </c>
      <c r="K71" s="4" t="s">
        <v>15</v>
      </c>
      <c r="L71" s="4" t="s">
        <v>764</v>
      </c>
      <c r="M71" s="4" t="s">
        <v>765</v>
      </c>
      <c r="N71" s="4" t="s">
        <v>742</v>
      </c>
      <c r="O71" s="4" t="s">
        <v>659</v>
      </c>
      <c r="P71" s="4" t="str">
        <f t="shared" si="1"/>
        <v>TV Cascavel /Rota Sudoeste</v>
      </c>
      <c r="Q71" s="4" t="s">
        <v>766</v>
      </c>
      <c r="R71" s="23" t="s">
        <v>661</v>
      </c>
    </row>
    <row r="72" spans="1:18" ht="12" hidden="1" customHeight="1" x14ac:dyDescent="0.25">
      <c r="A72" s="4" t="s">
        <v>203</v>
      </c>
      <c r="B72" s="4" t="s">
        <v>797</v>
      </c>
      <c r="C72" s="4">
        <v>90081652</v>
      </c>
      <c r="D72" s="4">
        <v>7002</v>
      </c>
      <c r="E72" s="4" t="s">
        <v>798</v>
      </c>
      <c r="F72" s="4" t="s">
        <v>681</v>
      </c>
      <c r="G72" s="4" t="s">
        <v>654</v>
      </c>
      <c r="H72" s="4" t="s">
        <v>738</v>
      </c>
      <c r="I72" s="4" t="s">
        <v>663</v>
      </c>
      <c r="J72" s="4" t="s">
        <v>799</v>
      </c>
      <c r="K72" s="4" t="s">
        <v>13</v>
      </c>
      <c r="L72" s="4" t="s">
        <v>740</v>
      </c>
      <c r="M72" s="4" t="s">
        <v>800</v>
      </c>
      <c r="N72" s="4" t="s">
        <v>742</v>
      </c>
      <c r="O72" s="4" t="s">
        <v>659</v>
      </c>
      <c r="P72" s="4" t="str">
        <f t="shared" si="1"/>
        <v>TV Curitiba 2 /Sede TPE</v>
      </c>
      <c r="Q72" s="4" t="s">
        <v>750</v>
      </c>
      <c r="R72" s="23" t="s">
        <v>661</v>
      </c>
    </row>
    <row r="73" spans="1:18" ht="15" hidden="1" x14ac:dyDescent="0.25">
      <c r="A73" s="2" t="s">
        <v>801</v>
      </c>
      <c r="F73" s="4" t="s">
        <v>681</v>
      </c>
      <c r="G73" s="4" t="s">
        <v>654</v>
      </c>
      <c r="H73" s="4" t="s">
        <v>738</v>
      </c>
      <c r="I73" s="4" t="s">
        <v>663</v>
      </c>
      <c r="J73" s="2" t="s">
        <v>802</v>
      </c>
      <c r="K73" s="4" t="s">
        <v>13</v>
      </c>
      <c r="Q73" s="4" t="s">
        <v>755</v>
      </c>
      <c r="R73" s="23" t="s">
        <v>661</v>
      </c>
    </row>
    <row r="74" spans="1:18" ht="15" hidden="1" x14ac:dyDescent="0.25">
      <c r="A74" s="2" t="s">
        <v>803</v>
      </c>
      <c r="F74" s="4" t="s">
        <v>681</v>
      </c>
      <c r="G74" s="4" t="s">
        <v>654</v>
      </c>
      <c r="H74" s="4" t="s">
        <v>738</v>
      </c>
      <c r="I74" s="4" t="s">
        <v>663</v>
      </c>
      <c r="J74" s="2" t="s">
        <v>802</v>
      </c>
      <c r="K74" s="4" t="s">
        <v>13</v>
      </c>
      <c r="Q74" s="4" t="s">
        <v>755</v>
      </c>
      <c r="R74" s="23" t="s">
        <v>661</v>
      </c>
    </row>
    <row r="75" spans="1:18" ht="15" hidden="1" x14ac:dyDescent="0.25">
      <c r="A75" s="2" t="s">
        <v>804</v>
      </c>
      <c r="F75" s="2" t="s">
        <v>805</v>
      </c>
      <c r="G75" s="2" t="s">
        <v>806</v>
      </c>
      <c r="H75" s="2" t="s">
        <v>655</v>
      </c>
      <c r="J75" s="4" t="s">
        <v>115</v>
      </c>
      <c r="K75" s="4" t="s">
        <v>11</v>
      </c>
      <c r="L75" s="4" t="s">
        <v>657</v>
      </c>
      <c r="M75" s="4" t="s">
        <v>652</v>
      </c>
      <c r="N75" s="4" t="s">
        <v>658</v>
      </c>
      <c r="O75" s="4" t="s">
        <v>659</v>
      </c>
      <c r="P75" s="4" t="str">
        <f>CONCATENATE(K75," /",F75)</f>
        <v>TD Curitiba /CM  TRANSPORTES</v>
      </c>
      <c r="Q75" s="4" t="s">
        <v>807</v>
      </c>
      <c r="R75" s="23" t="s">
        <v>661</v>
      </c>
    </row>
  </sheetData>
  <autoFilter ref="A1:R75" xr:uid="{00000000-0009-0000-0000-000005000000}">
    <filterColumn colId="0">
      <filters>
        <filter val="BR0075507"/>
      </filters>
    </filterColumn>
  </autoFilter>
  <hyperlinks>
    <hyperlink ref="R2" r:id="rId1" display="EstoqueCDCuritiba@bat.onmicrosoft.com; " xr:uid="{00000000-0004-0000-0500-000000000000}"/>
    <hyperlink ref="R3:R75" r:id="rId2" display="EstoqueCDCuritiba@bat.onmicrosoft.com; " xr:uid="{E2BAA0CA-BFCB-46B0-AD01-23CCD3E1E45B}"/>
  </hyperlinks>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9f19be7c-8f3a-4bce-8270-3748a4816cbe">
      <Terms xmlns="http://schemas.microsoft.com/office/infopath/2007/PartnerControls"/>
    </lcf76f155ced4ddcb4097134ff3c332f>
    <TaxCatchAll xmlns="3567dcfe-304f-4bd2-a0d3-52ea82c61d1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521765896A065E49960B6DF4F67B5AB2" ma:contentTypeVersion="12" ma:contentTypeDescription="Create a new document." ma:contentTypeScope="" ma:versionID="2b4d01dec8e39247231c15ec43f1d111">
  <xsd:schema xmlns:xsd="http://www.w3.org/2001/XMLSchema" xmlns:xs="http://www.w3.org/2001/XMLSchema" xmlns:p="http://schemas.microsoft.com/office/2006/metadata/properties" xmlns:ns2="9f19be7c-8f3a-4bce-8270-3748a4816cbe" xmlns:ns3="3567dcfe-304f-4bd2-a0d3-52ea82c61d16" targetNamespace="http://schemas.microsoft.com/office/2006/metadata/properties" ma:root="true" ma:fieldsID="9d5f7f51c999a4e1a153cc12357b884b" ns2:_="" ns3:_="">
    <xsd:import namespace="9f19be7c-8f3a-4bce-8270-3748a4816cbe"/>
    <xsd:import namespace="3567dcfe-304f-4bd2-a0d3-52ea82c61d1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f19be7c-8f3a-4bce-8270-3748a4816cb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09bedb8-336e-43ae-b5ce-0f97c35e258c"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67dcfe-304f-4bd2-a0d3-52ea82c61d16"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9dbdfd67-4788-4638-a1d5-a3cfe7e40150}" ma:internalName="TaxCatchAll" ma:showField="CatchAllData" ma:web="3567dcfe-304f-4bd2-a0d3-52ea82c61d1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816E7CF-06D6-4A90-B5DC-2A1B2299FB15}">
  <ds:schemaRefs>
    <ds:schemaRef ds:uri="http://schemas.microsoft.com/DataMashup"/>
  </ds:schemaRefs>
</ds:datastoreItem>
</file>

<file path=customXml/itemProps2.xml><?xml version="1.0" encoding="utf-8"?>
<ds:datastoreItem xmlns:ds="http://schemas.openxmlformats.org/officeDocument/2006/customXml" ds:itemID="{A16B846B-1954-4BC8-9D17-289AEAF9DA1E}">
  <ds:schemaRefs>
    <ds:schemaRef ds:uri="http://schemas.microsoft.com/office/2006/metadata/properties"/>
    <ds:schemaRef ds:uri="http://schemas.microsoft.com/office/infopath/2007/PartnerControls"/>
    <ds:schemaRef ds:uri="9f19be7c-8f3a-4bce-8270-3748a4816cbe"/>
    <ds:schemaRef ds:uri="3567dcfe-304f-4bd2-a0d3-52ea82c61d16"/>
  </ds:schemaRefs>
</ds:datastoreItem>
</file>

<file path=customXml/itemProps3.xml><?xml version="1.0" encoding="utf-8"?>
<ds:datastoreItem xmlns:ds="http://schemas.openxmlformats.org/officeDocument/2006/customXml" ds:itemID="{449D9085-1A03-44BC-B3D6-5120CE37B2FC}">
  <ds:schemaRefs>
    <ds:schemaRef ds:uri="http://schemas.microsoft.com/sharepoint/v3/contenttype/forms"/>
  </ds:schemaRefs>
</ds:datastoreItem>
</file>

<file path=customXml/itemProps4.xml><?xml version="1.0" encoding="utf-8"?>
<ds:datastoreItem xmlns:ds="http://schemas.openxmlformats.org/officeDocument/2006/customXml" ds:itemID="{71EA6E9A-17AC-40B7-8878-91E59F2100A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f19be7c-8f3a-4bce-8270-3748a4816cbe"/>
    <ds:schemaRef ds:uri="3567dcfe-304f-4bd2-a0d3-52ea82c61d1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Planilhas</vt:lpstr>
      </vt:variant>
      <vt:variant>
        <vt:i4>5</vt:i4>
      </vt:variant>
    </vt:vector>
  </HeadingPairs>
  <TitlesOfParts>
    <vt:vector size="5" baseType="lpstr">
      <vt:lpstr>Resumo</vt:lpstr>
      <vt:lpstr>Tabela_Dinâmica</vt:lpstr>
      <vt:lpstr>Minuta Retorno</vt:lpstr>
      <vt:lpstr>Base</vt:lpstr>
      <vt:lpstr>Hierarquia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Maira Oliveira</dc:creator>
  <cp:keywords/>
  <dc:description/>
  <cp:lastModifiedBy>Katia De Fatima Boaventura De Souza</cp:lastModifiedBy>
  <cp:revision/>
  <dcterms:created xsi:type="dcterms:W3CDTF">2021-08-19T20:25:34Z</dcterms:created>
  <dcterms:modified xsi:type="dcterms:W3CDTF">2026-07-31T16:35:18Z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9fea72e-161c-48c8-8e82-3fc1e9b3162c_Enabled">
    <vt:lpwstr>true</vt:lpwstr>
  </property>
  <property fmtid="{D5CDD505-2E9C-101B-9397-08002B2CF9AE}" pid="3" name="MSIP_Label_e9fea72e-161c-48c8-8e82-3fc1e9b3162c_SetDate">
    <vt:lpwstr>2023-11-30T10:57:53Z</vt:lpwstr>
  </property>
  <property fmtid="{D5CDD505-2E9C-101B-9397-08002B2CF9AE}" pid="4" name="MSIP_Label_e9fea72e-161c-48c8-8e82-3fc1e9b3162c_Method">
    <vt:lpwstr>Standard</vt:lpwstr>
  </property>
  <property fmtid="{D5CDD505-2E9C-101B-9397-08002B2CF9AE}" pid="5" name="MSIP_Label_e9fea72e-161c-48c8-8e82-3fc1e9b3162c_Name">
    <vt:lpwstr>Normal sensitivity label</vt:lpwstr>
  </property>
  <property fmtid="{D5CDD505-2E9C-101B-9397-08002B2CF9AE}" pid="6" name="MSIP_Label_e9fea72e-161c-48c8-8e82-3fc1e9b3162c_SiteId">
    <vt:lpwstr>ff9c7474-421d-4957-8d47-c4b64dec87b5</vt:lpwstr>
  </property>
  <property fmtid="{D5CDD505-2E9C-101B-9397-08002B2CF9AE}" pid="7" name="MSIP_Label_e9fea72e-161c-48c8-8e82-3fc1e9b3162c_ActionId">
    <vt:lpwstr>2dec2f3e-4280-4cde-9cb0-0fe7f42e7a72</vt:lpwstr>
  </property>
  <property fmtid="{D5CDD505-2E9C-101B-9397-08002B2CF9AE}" pid="8" name="MSIP_Label_e9fea72e-161c-48c8-8e82-3fc1e9b3162c_ContentBits">
    <vt:lpwstr>0</vt:lpwstr>
  </property>
  <property fmtid="{D5CDD505-2E9C-101B-9397-08002B2CF9AE}" pid="9" name="ContentTypeId">
    <vt:lpwstr>0x010100521765896A065E49960B6DF4F67B5AB2</vt:lpwstr>
  </property>
  <property fmtid="{D5CDD505-2E9C-101B-9397-08002B2CF9AE}" pid="10" name="Order">
    <vt:r8>8139500</vt:r8>
  </property>
  <property fmtid="{D5CDD505-2E9C-101B-9397-08002B2CF9AE}" pid="11" name="ComplianceAssetId">
    <vt:lpwstr/>
  </property>
  <property fmtid="{D5CDD505-2E9C-101B-9397-08002B2CF9AE}" pid="12" name="_activity">
    <vt:lpwstr>{"FileActivityType":"9","FileActivityTimeStamp":"2025-07-08T19:34:09.653Z","FileActivityUsersOnPage":[{"DisplayName":"Katia De Fatima Boaventura De Souza","Id":"85195743@bat.com"},{"DisplayName":"Mariana Pereira de Oliveira","Id":"85076234@bat.com"}],"FileActivityNavigationId":null}</vt:lpwstr>
  </property>
  <property fmtid="{D5CDD505-2E9C-101B-9397-08002B2CF9AE}" pid="13" name="_ExtendedDescription">
    <vt:lpwstr/>
  </property>
  <property fmtid="{D5CDD505-2E9C-101B-9397-08002B2CF9AE}" pid="14" name="TriggerFlowInfo">
    <vt:lpwstr/>
  </property>
  <property fmtid="{D5CDD505-2E9C-101B-9397-08002B2CF9AE}" pid="15" name="MediaServiceImageTags">
    <vt:lpwstr/>
  </property>
</Properties>
</file>