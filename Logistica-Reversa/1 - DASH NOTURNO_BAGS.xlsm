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at.sharepoint.com/sites/EstoqueCDCuritiba/Shared Documents/Backup Arquivos Estoque/Noturno/"/>
    </mc:Choice>
  </mc:AlternateContent>
  <xr:revisionPtr revIDLastSave="27894" documentId="13_ncr:1_{40856E4F-06C9-483D-9B78-3F43832C0E1D}" xr6:coauthVersionLast="47" xr6:coauthVersionMax="47" xr10:uidLastSave="{F1189FBD-C19C-400D-B2EA-EB79E3E9600B}"/>
  <bookViews>
    <workbookView minimized="1" xWindow="-28245" yWindow="7530" windowWidth="28800" windowHeight="7575" tabRatio="650" firstSheet="14" activeTab="14" xr2:uid="{00000000-000D-0000-FFFF-FFFF00000000}"/>
  </bookViews>
  <sheets>
    <sheet name="CM-TRANSPORTES" sheetId="173" state="hidden" r:id="rId1"/>
    <sheet name="TRANSMIT" sheetId="168" state="hidden" r:id="rId2"/>
    <sheet name="PUXADA" sheetId="85" state="hidden" r:id="rId3"/>
    <sheet name="RECONVAN" sheetId="124" state="hidden" r:id="rId4"/>
    <sheet name="GUARAPUAVA" sheetId="175" state="hidden" r:id="rId5"/>
    <sheet name="HORÁRIO" sheetId="126" state="hidden" r:id="rId6"/>
    <sheet name="SEDE" sheetId="172" state="hidden" r:id="rId7"/>
    <sheet name="LITORAL" sheetId="171" state="hidden" r:id="rId8"/>
    <sheet name="SUDOESTE" sheetId="174" state="hidden" r:id="rId9"/>
    <sheet name="SUDOESTsssE" sheetId="169" state="hidden" r:id="rId10"/>
    <sheet name="PONTA GROSSA" sheetId="167" state="hidden" r:id="rId11"/>
    <sheet name="Base Total" sheetId="161" state="hidden" r:id="rId12"/>
    <sheet name="FADEL" sheetId="130" state="hidden" r:id="rId13"/>
    <sheet name="CHECK LIST" sheetId="137" state="hidden" r:id="rId14"/>
    <sheet name="Início" sheetId="135" r:id="rId15"/>
    <sheet name="BR'S" sheetId="154" state="hidden" r:id="rId16"/>
    <sheet name="FILL RATE" sheetId="150" state="hidden" r:id="rId17"/>
    <sheet name="IMPRESSÃO_168" sheetId="142" state="hidden" r:id="rId18"/>
  </sheets>
  <externalReferences>
    <externalReference r:id="rId19"/>
  </externalReferences>
  <definedNames>
    <definedName name="______xlfn_AGGREGATE">#N/A</definedName>
    <definedName name="_____xlfn_AGGREGATE">#N/A</definedName>
    <definedName name="____xlfn_AGGREGATE">#N/A</definedName>
    <definedName name="___xlfn_AGGREGATE">#N/A</definedName>
    <definedName name="__xlfn_AGGREGATE">#N/A</definedName>
    <definedName name="_xlnm._FilterDatabase" localSheetId="11" hidden="1">'Base Total'!$A$1:$G$182</definedName>
    <definedName name="_xlnm._FilterDatabase" localSheetId="15" hidden="1">'BR''S'!$A$1:$I$81</definedName>
    <definedName name="_xlnm._FilterDatabase" localSheetId="0" hidden="1">'CM-TRANSPORTES'!$M$20:$M$21</definedName>
    <definedName name="_xlnm._FilterDatabase" localSheetId="12" hidden="1">FADEL!$A$1:$P$42</definedName>
    <definedName name="_xlnm._FilterDatabase" localSheetId="5" hidden="1">HORÁRIO!$A$4:$AE$98</definedName>
    <definedName name="_xlnm._FilterDatabase" localSheetId="17" hidden="1">IMPRESSÃO_168!$A$1:$P$1</definedName>
    <definedName name="_xlnm._FilterDatabase" localSheetId="2" hidden="1">PUXADA!$A$1:$R$101</definedName>
    <definedName name="_xlnm._FilterDatabase" localSheetId="3" hidden="1">RECONVAN!$B$1:$K$1</definedName>
    <definedName name="_xlnm._FilterDatabase" localSheetId="1" hidden="1">TRANSMIT!$A$1:$O$23</definedName>
    <definedName name="_xleta.TODAY" hidden="1" xlm="1">#NAME?</definedName>
    <definedName name="a">PUXADA!$B:$C</definedName>
    <definedName name="_xlnm.Print_Area" localSheetId="13">'CHECK LIST'!$A$1:$C$30</definedName>
    <definedName name="_xlnm.Print_Area" localSheetId="0">'CM-TRANSPORTES'!$A$1:$O$11</definedName>
    <definedName name="_xlnm.Print_Area" localSheetId="12">FADEL!$A$1:$P$43</definedName>
    <definedName name="_xlnm.Print_Area" localSheetId="4">GUARAPUAVA!$C$1:$O$59</definedName>
    <definedName name="_xlnm.Print_Area" localSheetId="5">HORÁRIO!$C$1:$I$27</definedName>
    <definedName name="_xlnm.Print_Area" localSheetId="7">LITORAL!$C$1:$P$71</definedName>
    <definedName name="_xlnm.Print_Area" localSheetId="10">'PONTA GROSSA'!$C$1:$P$55</definedName>
    <definedName name="_xlnm.Print_Area" localSheetId="6">SEDE!$C$1:$P$19</definedName>
    <definedName name="_xlnm.Print_Area" localSheetId="8">SUDOESTE!$C$1:$O$83</definedName>
    <definedName name="_xlnm.Print_Area" localSheetId="9">SUDOESTsssE!$C$1:$O$104</definedName>
    <definedName name="_xlnm.Print_Area" localSheetId="1">TRANSMIT!$A$1:$O$24</definedName>
    <definedName name="CARROS">#REF!</definedName>
    <definedName name="EMAIL">#REF!</definedName>
    <definedName name="ISS">'[1]Template PO Indirects'!#REF!</definedName>
    <definedName name="_xlnm.Print_Titles" localSheetId="5">HORÁRIO!$4:$4</definedName>
    <definedName name="unitario">#REF!</definedName>
    <definedName name="Z_7C8307AC_0B7A_4229_B899_2AD3E2747F41_.wvu.PrintArea" localSheetId="0" hidden="1">'CM-TRANSPORTES'!$C$1:$P$11</definedName>
    <definedName name="Z_7C8307AC_0B7A_4229_B899_2AD3E2747F41_.wvu.PrintArea" localSheetId="12" hidden="1">FADEL!$C$1:$Q$43</definedName>
    <definedName name="Z_7C8307AC_0B7A_4229_B899_2AD3E2747F41_.wvu.PrintArea" localSheetId="4" hidden="1">GUARAPUAVA!$C$1:$N$59</definedName>
    <definedName name="Z_7C8307AC_0B7A_4229_B899_2AD3E2747F41_.wvu.PrintArea" localSheetId="7" hidden="1">LITORAL!$C$1:$O$71</definedName>
    <definedName name="Z_7C8307AC_0B7A_4229_B899_2AD3E2747F41_.wvu.PrintArea" localSheetId="10" hidden="1">'PONTA GROSSA'!$C$1:$O$55</definedName>
    <definedName name="Z_7C8307AC_0B7A_4229_B899_2AD3E2747F41_.wvu.PrintArea" localSheetId="6" hidden="1">SEDE!$C$1:$O$19</definedName>
    <definedName name="Z_7C8307AC_0B7A_4229_B899_2AD3E2747F41_.wvu.PrintArea" localSheetId="8" hidden="1">SUDOESTE!$C$1:$N$83</definedName>
    <definedName name="Z_7C8307AC_0B7A_4229_B899_2AD3E2747F41_.wvu.PrintArea" localSheetId="9" hidden="1">SUDOESTsssE!$C$1:$N$104</definedName>
    <definedName name="Z_7C8307AC_0B7A_4229_B899_2AD3E2747F41_.wvu.PrintArea" localSheetId="1" hidden="1">TRANSMIT!$C$1:$P$24</definedName>
  </definedNames>
  <calcPr calcId="191028"/>
  <customWorkbookViews>
    <customWorkbookView name="Vanderli Diniz - Personal View" guid="{7C8307AC-0B7A-4229-B899-2AD3E2747F41}" mergeInterval="0" personalView="1" maximized="1" windowWidth="1356" windowHeight="508" tabRatio="975" activeSheetId="69"/>
  </customWorkbookViews>
  <pivotCaches>
    <pivotCache cacheId="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4" i="85" l="1"/>
  <c r="R29" i="85"/>
  <c r="R2" i="85" l="1"/>
  <c r="R3" i="85"/>
  <c r="R4" i="85"/>
  <c r="R5" i="85"/>
  <c r="R6" i="85"/>
  <c r="R7" i="85"/>
  <c r="R8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5" i="85"/>
  <c r="R26" i="85"/>
  <c r="R27" i="85"/>
  <c r="R28" i="85"/>
  <c r="R30" i="85"/>
  <c r="R31" i="85"/>
  <c r="R32" i="85"/>
  <c r="R33" i="85"/>
  <c r="R34" i="85"/>
  <c r="R35" i="85"/>
  <c r="R36" i="85"/>
  <c r="R37" i="85"/>
  <c r="R38" i="85"/>
  <c r="R39" i="85"/>
  <c r="R40" i="85"/>
  <c r="E18" i="175"/>
  <c r="G18" i="175"/>
  <c r="H18" i="175"/>
  <c r="I18" i="175"/>
  <c r="J18" i="175"/>
  <c r="K18" i="175"/>
  <c r="L18" i="175"/>
  <c r="M18" i="175"/>
  <c r="N18" i="175"/>
  <c r="E30" i="175"/>
  <c r="G30" i="175"/>
  <c r="H30" i="175"/>
  <c r="I30" i="175"/>
  <c r="J30" i="175"/>
  <c r="K30" i="175"/>
  <c r="L30" i="175"/>
  <c r="M30" i="175"/>
  <c r="N30" i="175"/>
  <c r="E42" i="175"/>
  <c r="G42" i="175"/>
  <c r="H42" i="175"/>
  <c r="I42" i="175"/>
  <c r="J42" i="175"/>
  <c r="K42" i="175"/>
  <c r="L42" i="175"/>
  <c r="M42" i="175"/>
  <c r="N42" i="175"/>
  <c r="E54" i="175"/>
  <c r="G54" i="175"/>
  <c r="H54" i="175"/>
  <c r="I54" i="175"/>
  <c r="J54" i="175"/>
  <c r="K54" i="175"/>
  <c r="L54" i="175"/>
  <c r="M54" i="175"/>
  <c r="N54" i="175"/>
  <c r="M56" i="175" l="1"/>
  <c r="M1" i="175" s="1"/>
  <c r="L56" i="175"/>
  <c r="I4" i="175" s="1"/>
  <c r="J56" i="175"/>
  <c r="M3" i="175" s="1"/>
  <c r="I56" i="175"/>
  <c r="M2" i="175" s="1"/>
  <c r="K56" i="175"/>
  <c r="K4" i="175" s="1"/>
  <c r="N56" i="175"/>
  <c r="I3" i="175" s="1"/>
  <c r="H56" i="175"/>
  <c r="G56" i="175"/>
  <c r="I1" i="175" s="1"/>
  <c r="E56" i="175"/>
  <c r="I2" i="175" s="1"/>
  <c r="M4" i="175" l="1"/>
  <c r="N42" i="174"/>
  <c r="R41" i="85" l="1"/>
  <c r="V16" i="137"/>
  <c r="R42" i="85" l="1"/>
  <c r="R43" i="85"/>
  <c r="R44" i="85"/>
  <c r="R45" i="85"/>
  <c r="R46" i="85"/>
  <c r="R47" i="85"/>
  <c r="R48" i="85"/>
  <c r="R49" i="85"/>
  <c r="R50" i="85"/>
  <c r="R51" i="85"/>
  <c r="R52" i="85"/>
  <c r="R53" i="85"/>
  <c r="V20" i="137" l="1"/>
  <c r="B12" i="126" l="1"/>
  <c r="B13" i="126"/>
  <c r="B14" i="126"/>
  <c r="B15" i="126"/>
  <c r="B16" i="126"/>
  <c r="B17" i="126"/>
  <c r="B18" i="126"/>
  <c r="B20" i="126"/>
  <c r="B21" i="126"/>
  <c r="B22" i="126"/>
  <c r="B23" i="126"/>
  <c r="B24" i="126"/>
  <c r="B25" i="126"/>
  <c r="B26" i="126"/>
  <c r="B27" i="126"/>
  <c r="B28" i="126"/>
  <c r="B29" i="126"/>
  <c r="B30" i="126"/>
  <c r="B31" i="126"/>
  <c r="D31" i="126" s="1"/>
  <c r="B32" i="126"/>
  <c r="B33" i="126"/>
  <c r="B53" i="126"/>
  <c r="B54" i="126"/>
  <c r="H54" i="126" s="1"/>
  <c r="B55" i="126"/>
  <c r="H55" i="126" s="1"/>
  <c r="B56" i="126"/>
  <c r="H56" i="126" s="1"/>
  <c r="B57" i="126"/>
  <c r="H57" i="126" s="1"/>
  <c r="B58" i="126"/>
  <c r="I58" i="126" s="1"/>
  <c r="B59" i="126"/>
  <c r="H59" i="126" s="1"/>
  <c r="B60" i="126"/>
  <c r="H60" i="126" s="1"/>
  <c r="B61" i="126"/>
  <c r="H61" i="126" s="1"/>
  <c r="B75" i="126"/>
  <c r="H75" i="126" s="1"/>
  <c r="B76" i="126"/>
  <c r="I76" i="126" s="1"/>
  <c r="B77" i="126"/>
  <c r="H77" i="126" s="1"/>
  <c r="B78" i="126"/>
  <c r="I78" i="126" s="1"/>
  <c r="B79" i="126"/>
  <c r="I79" i="126" s="1"/>
  <c r="B80" i="126"/>
  <c r="H80" i="126" s="1"/>
  <c r="B81" i="126"/>
  <c r="H81" i="126" s="1"/>
  <c r="B82" i="126"/>
  <c r="H82" i="126" s="1"/>
  <c r="B83" i="126"/>
  <c r="I83" i="126" s="1"/>
  <c r="B84" i="126"/>
  <c r="H84" i="126" s="1"/>
  <c r="B85" i="126"/>
  <c r="H85" i="126" s="1"/>
  <c r="B86" i="126"/>
  <c r="I86" i="126" s="1"/>
  <c r="B87" i="126"/>
  <c r="H87" i="126" s="1"/>
  <c r="B88" i="126"/>
  <c r="H88" i="126" s="1"/>
  <c r="B89" i="126"/>
  <c r="I89" i="126" s="1"/>
  <c r="B19" i="126"/>
  <c r="B41" i="126"/>
  <c r="I41" i="126" s="1"/>
  <c r="B50" i="126"/>
  <c r="H50" i="126" s="1"/>
  <c r="B51" i="126"/>
  <c r="I51" i="126" s="1"/>
  <c r="B52" i="126"/>
  <c r="H52" i="126" s="1"/>
  <c r="B42" i="126"/>
  <c r="I42" i="126" s="1"/>
  <c r="B43" i="126"/>
  <c r="H43" i="126" s="1"/>
  <c r="B44" i="126"/>
  <c r="I44" i="126" s="1"/>
  <c r="B45" i="126"/>
  <c r="H45" i="126" s="1"/>
  <c r="B69" i="126"/>
  <c r="H69" i="126" s="1"/>
  <c r="B70" i="126"/>
  <c r="I70" i="126" s="1"/>
  <c r="B71" i="126"/>
  <c r="H71" i="126" s="1"/>
  <c r="B72" i="126"/>
  <c r="I72" i="126" s="1"/>
  <c r="B73" i="126"/>
  <c r="H73" i="126" s="1"/>
  <c r="B97" i="126"/>
  <c r="H97" i="126" s="1"/>
  <c r="B98" i="126"/>
  <c r="I98" i="126" s="1"/>
  <c r="B6" i="126"/>
  <c r="B7" i="126"/>
  <c r="B8" i="126"/>
  <c r="B9" i="126"/>
  <c r="B10" i="126"/>
  <c r="B11" i="126"/>
  <c r="C11" i="126" s="1"/>
  <c r="B34" i="126"/>
  <c r="C34" i="126" s="1"/>
  <c r="B35" i="126"/>
  <c r="B36" i="126"/>
  <c r="B37" i="126"/>
  <c r="B38" i="126"/>
  <c r="H38" i="126" s="1"/>
  <c r="B39" i="126"/>
  <c r="H39" i="126" s="1"/>
  <c r="B40" i="126"/>
  <c r="I40" i="126" s="1"/>
  <c r="B46" i="126"/>
  <c r="H46" i="126" s="1"/>
  <c r="B47" i="126"/>
  <c r="H47" i="126" s="1"/>
  <c r="B48" i="126"/>
  <c r="H48" i="126" s="1"/>
  <c r="B49" i="126"/>
  <c r="H49" i="126" s="1"/>
  <c r="B62" i="126"/>
  <c r="H62" i="126" s="1"/>
  <c r="B63" i="126"/>
  <c r="H63" i="126" s="1"/>
  <c r="B64" i="126"/>
  <c r="H64" i="126" s="1"/>
  <c r="B65" i="126"/>
  <c r="H65" i="126" s="1"/>
  <c r="B66" i="126"/>
  <c r="H66" i="126" s="1"/>
  <c r="B67" i="126"/>
  <c r="I67" i="126" s="1"/>
  <c r="B68" i="126"/>
  <c r="H68" i="126" s="1"/>
  <c r="B74" i="126"/>
  <c r="H74" i="126" s="1"/>
  <c r="B90" i="126"/>
  <c r="H90" i="126" s="1"/>
  <c r="B91" i="126"/>
  <c r="H91" i="126" s="1"/>
  <c r="B92" i="126"/>
  <c r="I92" i="126" s="1"/>
  <c r="B93" i="126"/>
  <c r="H93" i="126" s="1"/>
  <c r="B94" i="126"/>
  <c r="H94" i="126" s="1"/>
  <c r="B95" i="126"/>
  <c r="H95" i="126" s="1"/>
  <c r="B96" i="126"/>
  <c r="I96" i="126" s="1"/>
  <c r="N54" i="174"/>
  <c r="H8" i="126" l="1"/>
  <c r="I8" i="126"/>
  <c r="C8" i="126"/>
  <c r="D8" i="126"/>
  <c r="C28" i="126"/>
  <c r="H28" i="126"/>
  <c r="C20" i="126"/>
  <c r="H20" i="126"/>
  <c r="I20" i="126"/>
  <c r="D20" i="126"/>
  <c r="C7" i="126"/>
  <c r="I7" i="126"/>
  <c r="D7" i="126"/>
  <c r="H7" i="126"/>
  <c r="H27" i="126"/>
  <c r="C27" i="126"/>
  <c r="D18" i="126"/>
  <c r="C18" i="126"/>
  <c r="H18" i="126"/>
  <c r="I18" i="126"/>
  <c r="C6" i="126"/>
  <c r="D6" i="126"/>
  <c r="H6" i="126"/>
  <c r="I6" i="126"/>
  <c r="I19" i="126"/>
  <c r="D19" i="126"/>
  <c r="C19" i="126"/>
  <c r="H19" i="126"/>
  <c r="D26" i="126"/>
  <c r="C26" i="126"/>
  <c r="H26" i="126"/>
  <c r="I26" i="126"/>
  <c r="H17" i="126"/>
  <c r="C17" i="126"/>
  <c r="I17" i="126"/>
  <c r="D17" i="126"/>
  <c r="C33" i="126"/>
  <c r="H33" i="126"/>
  <c r="D25" i="126"/>
  <c r="H25" i="126"/>
  <c r="C25" i="126"/>
  <c r="I25" i="126"/>
  <c r="H16" i="126"/>
  <c r="I16" i="126"/>
  <c r="D16" i="126"/>
  <c r="C16" i="126"/>
  <c r="C32" i="126"/>
  <c r="H32" i="126"/>
  <c r="D24" i="126"/>
  <c r="H24" i="126"/>
  <c r="I24" i="126"/>
  <c r="C24" i="126"/>
  <c r="I15" i="126"/>
  <c r="C15" i="126"/>
  <c r="D15" i="126"/>
  <c r="H15" i="126"/>
  <c r="I11" i="126"/>
  <c r="D11" i="126"/>
  <c r="H11" i="126"/>
  <c r="C31" i="126"/>
  <c r="H31" i="126"/>
  <c r="I23" i="126"/>
  <c r="D23" i="126"/>
  <c r="C23" i="126"/>
  <c r="H23" i="126"/>
  <c r="C14" i="126"/>
  <c r="D14" i="126"/>
  <c r="H14" i="126"/>
  <c r="I14" i="126"/>
  <c r="D10" i="126"/>
  <c r="C10" i="126"/>
  <c r="H10" i="126"/>
  <c r="I10" i="126"/>
  <c r="C30" i="126"/>
  <c r="H30" i="126"/>
  <c r="C22" i="126"/>
  <c r="D22" i="126"/>
  <c r="H22" i="126"/>
  <c r="I22" i="126"/>
  <c r="H13" i="126"/>
  <c r="D13" i="126"/>
  <c r="I13" i="126"/>
  <c r="C13" i="126"/>
  <c r="H9" i="126"/>
  <c r="C9" i="126"/>
  <c r="I9" i="126"/>
  <c r="D9" i="126"/>
  <c r="C29" i="126"/>
  <c r="H29" i="126"/>
  <c r="H21" i="126"/>
  <c r="D21" i="126"/>
  <c r="I21" i="126"/>
  <c r="C21" i="126"/>
  <c r="C12" i="126"/>
  <c r="H12" i="126"/>
  <c r="D12" i="126"/>
  <c r="I12" i="126"/>
  <c r="I32" i="126"/>
  <c r="I28" i="126"/>
  <c r="H37" i="126"/>
  <c r="I37" i="126"/>
  <c r="I27" i="126"/>
  <c r="I33" i="126"/>
  <c r="I30" i="126"/>
  <c r="I31" i="126"/>
  <c r="H36" i="126"/>
  <c r="I36" i="126"/>
  <c r="I29" i="126"/>
  <c r="I35" i="126"/>
  <c r="H35" i="126"/>
  <c r="H34" i="126"/>
  <c r="I34" i="126"/>
  <c r="H53" i="126"/>
  <c r="I53" i="126"/>
  <c r="I95" i="126"/>
  <c r="I94" i="126"/>
  <c r="H92" i="126"/>
  <c r="I91" i="126"/>
  <c r="I90" i="126"/>
  <c r="I39" i="126"/>
  <c r="I38" i="126"/>
  <c r="H96" i="126"/>
  <c r="I62" i="126"/>
  <c r="I63" i="126"/>
  <c r="I64" i="126"/>
  <c r="H40" i="126"/>
  <c r="H98" i="126"/>
  <c r="I97" i="126"/>
  <c r="I77" i="126"/>
  <c r="H78" i="126"/>
  <c r="H51" i="126"/>
  <c r="I50" i="126"/>
  <c r="I49" i="126"/>
  <c r="H41" i="126"/>
  <c r="H83" i="126"/>
  <c r="I85" i="126"/>
  <c r="I84" i="126"/>
  <c r="I82" i="126"/>
  <c r="H79" i="126"/>
  <c r="H76" i="126"/>
  <c r="H72" i="126"/>
  <c r="I71" i="126"/>
  <c r="I69" i="126"/>
  <c r="H70" i="126"/>
  <c r="I93" i="126"/>
  <c r="I68" i="126"/>
  <c r="I65" i="126"/>
  <c r="H58" i="126"/>
  <c r="I57" i="126"/>
  <c r="I56" i="126"/>
  <c r="I55" i="126"/>
  <c r="I54" i="126"/>
  <c r="I48" i="126"/>
  <c r="I43" i="126"/>
  <c r="H67" i="126"/>
  <c r="H44" i="126"/>
  <c r="I66" i="126"/>
  <c r="H89" i="126"/>
  <c r="H42" i="126"/>
  <c r="H86" i="126"/>
  <c r="I81" i="126"/>
  <c r="I80" i="126"/>
  <c r="I52" i="126"/>
  <c r="I61" i="126"/>
  <c r="I75" i="126"/>
  <c r="I47" i="126"/>
  <c r="I88" i="126"/>
  <c r="I74" i="126"/>
  <c r="I60" i="126"/>
  <c r="I46" i="126"/>
  <c r="I87" i="126"/>
  <c r="I73" i="126"/>
  <c r="I59" i="126"/>
  <c r="I45" i="126"/>
  <c r="F9" i="126" l="1"/>
  <c r="G9" i="126"/>
  <c r="E9" i="126"/>
  <c r="G23" i="126"/>
  <c r="E23" i="126"/>
  <c r="F23" i="126"/>
  <c r="G15" i="126"/>
  <c r="E15" i="126"/>
  <c r="F15" i="126"/>
  <c r="E10" i="126"/>
  <c r="F10" i="126"/>
  <c r="G10" i="126"/>
  <c r="G22" i="126"/>
  <c r="F22" i="126"/>
  <c r="E22" i="126"/>
  <c r="G6" i="126"/>
  <c r="F6" i="126"/>
  <c r="E6" i="126"/>
  <c r="F16" i="126"/>
  <c r="G16" i="126"/>
  <c r="E16" i="126"/>
  <c r="E26" i="126"/>
  <c r="F26" i="126"/>
  <c r="G26" i="126"/>
  <c r="G7" i="126"/>
  <c r="E7" i="126"/>
  <c r="F7" i="126"/>
  <c r="G25" i="126"/>
  <c r="F25" i="126"/>
  <c r="E25" i="126"/>
  <c r="E21" i="126"/>
  <c r="F21" i="126"/>
  <c r="G21" i="126"/>
  <c r="G14" i="126"/>
  <c r="E14" i="126"/>
  <c r="F14" i="126"/>
  <c r="F17" i="126"/>
  <c r="G17" i="126"/>
  <c r="E17" i="126"/>
  <c r="F8" i="126"/>
  <c r="G8" i="126"/>
  <c r="E8" i="126"/>
  <c r="E11" i="126"/>
  <c r="F11" i="126"/>
  <c r="G11" i="126"/>
  <c r="E13" i="126"/>
  <c r="F13" i="126"/>
  <c r="G13" i="126"/>
  <c r="F19" i="126"/>
  <c r="E19" i="126"/>
  <c r="G19" i="126"/>
  <c r="E20" i="126"/>
  <c r="F20" i="126"/>
  <c r="G20" i="126"/>
  <c r="E12" i="126"/>
  <c r="F12" i="126"/>
  <c r="G12" i="126"/>
  <c r="F24" i="126"/>
  <c r="E24" i="126"/>
  <c r="G24" i="126"/>
  <c r="E18" i="126"/>
  <c r="F18" i="126"/>
  <c r="G18" i="126"/>
  <c r="O42" i="171"/>
  <c r="O30" i="171"/>
  <c r="V18" i="137" l="1"/>
  <c r="V19" i="137"/>
  <c r="C5" i="130" l="1"/>
  <c r="D5" i="130"/>
  <c r="V14" i="137" l="1"/>
  <c r="V15" i="137"/>
  <c r="V17" i="137"/>
  <c r="V10" i="137" l="1"/>
  <c r="V11" i="137"/>
  <c r="V12" i="137"/>
  <c r="V13" i="137"/>
  <c r="B5" i="126" l="1"/>
  <c r="C5" i="126" l="1"/>
  <c r="H5" i="126"/>
  <c r="I5" i="126"/>
  <c r="D5" i="126"/>
  <c r="U4" i="85"/>
  <c r="U5" i="85"/>
  <c r="E5" i="126" l="1"/>
  <c r="F5" i="126"/>
  <c r="G5" i="126"/>
  <c r="C54" i="126"/>
  <c r="D54" i="126"/>
  <c r="C53" i="126"/>
  <c r="D53" i="126"/>
  <c r="C52" i="126"/>
  <c r="D52" i="126"/>
  <c r="C49" i="126"/>
  <c r="D49" i="126"/>
  <c r="C51" i="126"/>
  <c r="D51" i="126"/>
  <c r="C50" i="126"/>
  <c r="D50" i="126"/>
  <c r="E50" i="126" l="1"/>
  <c r="A50" i="126"/>
  <c r="E53" i="126"/>
  <c r="A53" i="126"/>
  <c r="E51" i="126"/>
  <c r="A51" i="126"/>
  <c r="E49" i="126"/>
  <c r="A49" i="126"/>
  <c r="E52" i="126"/>
  <c r="A52" i="126"/>
  <c r="E54" i="126"/>
  <c r="A54" i="126"/>
  <c r="V3" i="137"/>
  <c r="V4" i="137"/>
  <c r="V5" i="137"/>
  <c r="V6" i="137"/>
  <c r="V7" i="137"/>
  <c r="V8" i="137"/>
  <c r="V9" i="137"/>
  <c r="C40" i="126" l="1"/>
  <c r="C39" i="126"/>
  <c r="C36" i="126"/>
  <c r="C35" i="126"/>
  <c r="D33" i="126"/>
  <c r="D34" i="126"/>
  <c r="C37" i="126"/>
  <c r="C38" i="126"/>
  <c r="D32" i="126"/>
  <c r="C42" i="126"/>
  <c r="C43" i="126"/>
  <c r="D39" i="126"/>
  <c r="D40" i="126"/>
  <c r="D42" i="126"/>
  <c r="D41" i="126"/>
  <c r="D43" i="126"/>
  <c r="C41" i="126"/>
  <c r="D38" i="126"/>
  <c r="D37" i="126"/>
  <c r="D36" i="126"/>
  <c r="D35" i="126"/>
  <c r="V22" i="137"/>
  <c r="E35" i="126" l="1"/>
  <c r="A35" i="126"/>
  <c r="E43" i="126"/>
  <c r="A43" i="126"/>
  <c r="E42" i="126"/>
  <c r="A42" i="126"/>
  <c r="E39" i="126"/>
  <c r="A39" i="126"/>
  <c r="E34" i="126"/>
  <c r="A34" i="126"/>
  <c r="E38" i="126"/>
  <c r="A38" i="126"/>
  <c r="E41" i="126"/>
  <c r="A41" i="126"/>
  <c r="E40" i="126"/>
  <c r="A40" i="126"/>
  <c r="E32" i="126"/>
  <c r="A32" i="126"/>
  <c r="E33" i="126"/>
  <c r="A33" i="126"/>
  <c r="E36" i="126"/>
  <c r="A36" i="126"/>
  <c r="E31" i="126"/>
  <c r="A31" i="126"/>
  <c r="E37" i="126"/>
  <c r="A37" i="126"/>
  <c r="L31" i="137"/>
  <c r="F4" i="137" l="1"/>
  <c r="D30" i="126"/>
  <c r="D29" i="126"/>
  <c r="D28" i="126"/>
  <c r="D27" i="126"/>
  <c r="V2" i="137"/>
  <c r="A21" i="126" l="1"/>
  <c r="A13" i="126"/>
  <c r="A19" i="126"/>
  <c r="A10" i="126"/>
  <c r="A25" i="126"/>
  <c r="A26" i="126"/>
  <c r="A7" i="126"/>
  <c r="A9" i="126"/>
  <c r="A11" i="126"/>
  <c r="E27" i="126"/>
  <c r="A27" i="126"/>
  <c r="A15" i="126"/>
  <c r="A17" i="126"/>
  <c r="A20" i="126"/>
  <c r="A23" i="126"/>
  <c r="E28" i="126"/>
  <c r="A28" i="126"/>
  <c r="E30" i="126"/>
  <c r="A30" i="126"/>
  <c r="A8" i="126"/>
  <c r="A22" i="126"/>
  <c r="A24" i="126"/>
  <c r="A12" i="126"/>
  <c r="A14" i="126"/>
  <c r="E29" i="126"/>
  <c r="A29" i="126"/>
  <c r="A16" i="126"/>
  <c r="A18" i="126"/>
  <c r="M78" i="174" l="1"/>
  <c r="L78" i="174"/>
  <c r="K78" i="174"/>
  <c r="J78" i="174"/>
  <c r="I78" i="174"/>
  <c r="H78" i="174"/>
  <c r="G78" i="174"/>
  <c r="E78" i="174"/>
  <c r="N66" i="174"/>
  <c r="M66" i="174"/>
  <c r="L66" i="174"/>
  <c r="K66" i="174"/>
  <c r="J66" i="174"/>
  <c r="I66" i="174"/>
  <c r="H66" i="174"/>
  <c r="G66" i="174"/>
  <c r="E66" i="174"/>
  <c r="M54" i="174"/>
  <c r="L54" i="174"/>
  <c r="K54" i="174"/>
  <c r="J54" i="174"/>
  <c r="I54" i="174"/>
  <c r="H54" i="174"/>
  <c r="G54" i="174"/>
  <c r="E54" i="174"/>
  <c r="M42" i="174"/>
  <c r="L42" i="174"/>
  <c r="K42" i="174"/>
  <c r="J42" i="174"/>
  <c r="I42" i="174"/>
  <c r="H42" i="174"/>
  <c r="G42" i="174"/>
  <c r="E42" i="174"/>
  <c r="N30" i="174"/>
  <c r="M30" i="174"/>
  <c r="L30" i="174"/>
  <c r="K30" i="174"/>
  <c r="J30" i="174"/>
  <c r="I30" i="174"/>
  <c r="H30" i="174"/>
  <c r="G30" i="174"/>
  <c r="E30" i="174"/>
  <c r="N18" i="174"/>
  <c r="M18" i="174"/>
  <c r="L18" i="174"/>
  <c r="J18" i="174"/>
  <c r="I18" i="174"/>
  <c r="H18" i="174"/>
  <c r="G18" i="174"/>
  <c r="E18" i="174"/>
  <c r="E80" i="174" l="1"/>
  <c r="H80" i="174"/>
  <c r="O50" i="167"/>
  <c r="O39" i="167"/>
  <c r="O17" i="167"/>
  <c r="G50" i="167"/>
  <c r="H50" i="167"/>
  <c r="E50" i="167"/>
  <c r="G39" i="167"/>
  <c r="H39" i="167"/>
  <c r="E39" i="167"/>
  <c r="G28" i="167"/>
  <c r="H28" i="167"/>
  <c r="E28" i="167"/>
  <c r="G17" i="167"/>
  <c r="H17" i="167"/>
  <c r="E17" i="167"/>
  <c r="E52" i="167" l="1"/>
  <c r="G80" i="174" l="1"/>
  <c r="D48" i="126" l="1"/>
  <c r="C55" i="126"/>
  <c r="C56" i="126"/>
  <c r="C57" i="126"/>
  <c r="C58" i="126"/>
  <c r="C60" i="126"/>
  <c r="C62" i="126"/>
  <c r="C63" i="126"/>
  <c r="D64" i="126"/>
  <c r="D65" i="126"/>
  <c r="D69" i="126"/>
  <c r="D70" i="126"/>
  <c r="D72" i="126"/>
  <c r="C73" i="126"/>
  <c r="C74" i="126"/>
  <c r="C75" i="126"/>
  <c r="C76" i="126"/>
  <c r="C77" i="126"/>
  <c r="D79" i="126"/>
  <c r="D80" i="126"/>
  <c r="C81" i="126"/>
  <c r="C82" i="126"/>
  <c r="C84" i="126"/>
  <c r="C85" i="126"/>
  <c r="C88" i="126"/>
  <c r="C89" i="126"/>
  <c r="C90" i="126"/>
  <c r="D91" i="126"/>
  <c r="C92" i="126"/>
  <c r="D93" i="126"/>
  <c r="D45" i="126"/>
  <c r="D46" i="126"/>
  <c r="D47" i="126"/>
  <c r="C61" i="126" l="1"/>
  <c r="C59" i="126"/>
  <c r="D71" i="126"/>
  <c r="D68" i="126"/>
  <c r="D95" i="126"/>
  <c r="D67" i="126"/>
  <c r="C94" i="126"/>
  <c r="C66" i="126"/>
  <c r="C83" i="126"/>
  <c r="D44" i="126"/>
  <c r="C87" i="126"/>
  <c r="D98" i="126"/>
  <c r="C86" i="126"/>
  <c r="D97" i="126"/>
  <c r="D96" i="126"/>
  <c r="D66" i="126"/>
  <c r="D94" i="126"/>
  <c r="C71" i="126"/>
  <c r="C69" i="126"/>
  <c r="A69" i="126" s="1"/>
  <c r="D78" i="126"/>
  <c r="C78" i="126"/>
  <c r="C70" i="126"/>
  <c r="A70" i="126" s="1"/>
  <c r="C68" i="126"/>
  <c r="C67" i="126"/>
  <c r="C98" i="126"/>
  <c r="C97" i="126"/>
  <c r="C96" i="126"/>
  <c r="C95" i="126"/>
  <c r="D92" i="126"/>
  <c r="A92" i="126" s="1"/>
  <c r="D77" i="126"/>
  <c r="A77" i="126" s="1"/>
  <c r="D76" i="126"/>
  <c r="A76" i="126" s="1"/>
  <c r="C65" i="126"/>
  <c r="A65" i="126" s="1"/>
  <c r="D75" i="126"/>
  <c r="A75" i="126" s="1"/>
  <c r="C64" i="126"/>
  <c r="A64" i="126" s="1"/>
  <c r="D74" i="126"/>
  <c r="A74" i="126" s="1"/>
  <c r="D73" i="126"/>
  <c r="A73" i="126" s="1"/>
  <c r="C48" i="126"/>
  <c r="A48" i="126" s="1"/>
  <c r="C47" i="126"/>
  <c r="A47" i="126" s="1"/>
  <c r="C46" i="126"/>
  <c r="A46" i="126" s="1"/>
  <c r="C45" i="126"/>
  <c r="A45" i="126" s="1"/>
  <c r="C44" i="126"/>
  <c r="C93" i="126"/>
  <c r="A93" i="126" s="1"/>
  <c r="C80" i="126"/>
  <c r="A80" i="126" s="1"/>
  <c r="C79" i="126"/>
  <c r="A79" i="126" s="1"/>
  <c r="C72" i="126"/>
  <c r="A72" i="126" s="1"/>
  <c r="D63" i="126"/>
  <c r="A63" i="126" s="1"/>
  <c r="D90" i="126"/>
  <c r="A90" i="126" s="1"/>
  <c r="D62" i="126"/>
  <c r="A62" i="126" s="1"/>
  <c r="D89" i="126"/>
  <c r="A89" i="126" s="1"/>
  <c r="D86" i="126"/>
  <c r="D85" i="126"/>
  <c r="A85" i="126" s="1"/>
  <c r="D57" i="126"/>
  <c r="A57" i="126" s="1"/>
  <c r="D84" i="126"/>
  <c r="A84" i="126" s="1"/>
  <c r="D56" i="126"/>
  <c r="A56" i="126" s="1"/>
  <c r="D83" i="126"/>
  <c r="D55" i="126"/>
  <c r="A55" i="126" s="1"/>
  <c r="D82" i="126"/>
  <c r="A82" i="126" s="1"/>
  <c r="D81" i="126"/>
  <c r="A81" i="126" s="1"/>
  <c r="C91" i="126"/>
  <c r="A91" i="126" s="1"/>
  <c r="D61" i="126"/>
  <c r="D60" i="126"/>
  <c r="A60" i="126" s="1"/>
  <c r="D59" i="126"/>
  <c r="D88" i="126"/>
  <c r="A88" i="126" s="1"/>
  <c r="D87" i="126"/>
  <c r="D58" i="126"/>
  <c r="A58" i="126" s="1"/>
  <c r="A59" i="126" l="1"/>
  <c r="A61" i="126"/>
  <c r="A96" i="126"/>
  <c r="A95" i="126"/>
  <c r="A67" i="126"/>
  <c r="A98" i="126"/>
  <c r="A71" i="126"/>
  <c r="A97" i="126"/>
  <c r="A68" i="126"/>
  <c r="A44" i="126"/>
  <c r="A83" i="126"/>
  <c r="A86" i="126"/>
  <c r="A78" i="126"/>
  <c r="A87" i="126"/>
  <c r="A94" i="126"/>
  <c r="A66" i="126"/>
  <c r="C23" i="135" a="1"/>
  <c r="C23" i="135" s="1"/>
  <c r="B3" i="137"/>
  <c r="L30" i="137" s="1"/>
  <c r="L33" i="137" s="1"/>
  <c r="S27" i="137" l="1"/>
  <c r="O66" i="171"/>
  <c r="A6" i="126" l="1"/>
  <c r="E61" i="126"/>
  <c r="E60" i="126"/>
  <c r="E64" i="126"/>
  <c r="E58" i="126"/>
  <c r="E63" i="126"/>
  <c r="E57" i="126"/>
  <c r="E62" i="126"/>
  <c r="E59" i="126"/>
  <c r="X49" i="126" l="1"/>
  <c r="X50" i="126"/>
  <c r="X51" i="126"/>
  <c r="X52" i="126"/>
  <c r="X53" i="126"/>
  <c r="X54" i="126"/>
  <c r="X55" i="126"/>
  <c r="X56" i="126"/>
  <c r="X57" i="126"/>
  <c r="X58" i="126"/>
  <c r="X59" i="126"/>
  <c r="X60" i="126"/>
  <c r="X61" i="126"/>
  <c r="X62" i="126"/>
  <c r="X63" i="126"/>
  <c r="X64" i="126"/>
  <c r="X65" i="126"/>
  <c r="X66" i="126"/>
  <c r="X67" i="126"/>
  <c r="X68" i="126"/>
  <c r="X69" i="126"/>
  <c r="X70" i="126"/>
  <c r="X71" i="126"/>
  <c r="X72" i="126"/>
  <c r="X73" i="126"/>
  <c r="X74" i="126"/>
  <c r="X75" i="126"/>
  <c r="X76" i="126"/>
  <c r="X77" i="126"/>
  <c r="X78" i="126"/>
  <c r="X79" i="126"/>
  <c r="X80" i="126"/>
  <c r="X81" i="126"/>
  <c r="X82" i="126"/>
  <c r="X83" i="126"/>
  <c r="X84" i="126"/>
  <c r="X85" i="126"/>
  <c r="X86" i="126"/>
  <c r="X87" i="126"/>
  <c r="X88" i="126"/>
  <c r="X89" i="126"/>
  <c r="X90" i="126"/>
  <c r="X91" i="126"/>
  <c r="X92" i="126"/>
  <c r="X93" i="126"/>
  <c r="X94" i="126"/>
  <c r="X95" i="126"/>
  <c r="X96" i="126"/>
  <c r="X97" i="126"/>
  <c r="X98" i="126"/>
  <c r="X43" i="126"/>
  <c r="X32" i="126" l="1"/>
  <c r="X35" i="126"/>
  <c r="X29" i="126"/>
  <c r="X36" i="126"/>
  <c r="X34" i="126"/>
  <c r="X37" i="126"/>
  <c r="X42" i="126"/>
  <c r="X39" i="126"/>
  <c r="X33" i="126"/>
  <c r="X41" i="126"/>
  <c r="X38" i="126"/>
  <c r="X48" i="126"/>
  <c r="X47" i="126"/>
  <c r="X31" i="126"/>
  <c r="X30" i="126"/>
  <c r="X40" i="126"/>
  <c r="X46" i="126"/>
  <c r="X45" i="126"/>
  <c r="X44" i="126"/>
  <c r="G52" i="167" l="1"/>
  <c r="H52" i="167"/>
  <c r="O52" i="167"/>
  <c r="K52" i="167"/>
  <c r="J52" i="167"/>
  <c r="X28" i="126"/>
  <c r="X27" i="126"/>
  <c r="I52" i="167"/>
  <c r="M52" i="167"/>
  <c r="N52" i="167"/>
  <c r="G6" i="154" l="1"/>
  <c r="X8" i="126" l="1"/>
  <c r="X11" i="126"/>
  <c r="X14" i="126"/>
  <c r="X17" i="126"/>
  <c r="X20" i="126"/>
  <c r="X23" i="126"/>
  <c r="X26" i="126"/>
  <c r="X6" i="126"/>
  <c r="X22" i="126" l="1"/>
  <c r="X21" i="126"/>
  <c r="X12" i="126"/>
  <c r="X13" i="126"/>
  <c r="X19" i="126"/>
  <c r="X10" i="126"/>
  <c r="X24" i="126"/>
  <c r="X15" i="126"/>
  <c r="X18" i="126"/>
  <c r="X9" i="126"/>
  <c r="X25" i="126"/>
  <c r="X16" i="126"/>
  <c r="X7" i="126"/>
  <c r="E47" i="126"/>
  <c r="E55" i="126"/>
  <c r="E48" i="126"/>
  <c r="E46" i="126"/>
  <c r="E45" i="126"/>
  <c r="E44" i="126"/>
  <c r="E56" i="126"/>
  <c r="X3" i="126" l="1"/>
  <c r="Q3" i="126"/>
  <c r="E30" i="171" l="1"/>
  <c r="Y45" i="126" l="1"/>
  <c r="R43" i="126"/>
  <c r="T43" i="126"/>
  <c r="Q43" i="126"/>
  <c r="U43" i="126"/>
  <c r="Y43" i="126"/>
  <c r="AB43" i="126"/>
  <c r="Z43" i="126"/>
  <c r="AC43" i="126"/>
  <c r="Y44" i="126"/>
  <c r="T44" i="126"/>
  <c r="R44" i="126"/>
  <c r="AA45" i="126"/>
  <c r="F45" i="126"/>
  <c r="Z45" i="126"/>
  <c r="S44" i="126"/>
  <c r="AA43" i="126"/>
  <c r="S43" i="126"/>
  <c r="S45" i="126"/>
  <c r="AA44" i="126"/>
  <c r="G44" i="126"/>
  <c r="AB44" i="126"/>
  <c r="Q44" i="126"/>
  <c r="R45" i="126"/>
  <c r="Z44" i="126"/>
  <c r="W43" i="126"/>
  <c r="Q45" i="126"/>
  <c r="V43" i="126"/>
  <c r="AC45" i="126"/>
  <c r="U45" i="126"/>
  <c r="V44" i="126"/>
  <c r="AB45" i="126"/>
  <c r="T45" i="126"/>
  <c r="AC44" i="126"/>
  <c r="U44" i="126"/>
  <c r="W45" i="126"/>
  <c r="V45" i="126"/>
  <c r="W44" i="126"/>
  <c r="AD43" i="126" l="1"/>
  <c r="AE43" i="126"/>
  <c r="N43" i="126" s="1"/>
  <c r="F43" i="126"/>
  <c r="F44" i="126"/>
  <c r="AD44" i="126"/>
  <c r="G43" i="126"/>
  <c r="G45" i="126"/>
  <c r="AD45" i="126"/>
  <c r="AE45" i="126"/>
  <c r="N45" i="126" s="1"/>
  <c r="AE44" i="126"/>
  <c r="N44" i="126" s="1"/>
  <c r="G7" i="154"/>
  <c r="G5" i="154"/>
  <c r="O54" i="171" l="1"/>
  <c r="O68" i="171" s="1"/>
  <c r="L34" i="137" l="1"/>
  <c r="B15" i="150" l="1"/>
  <c r="U94" i="126"/>
  <c r="AA94" i="126"/>
  <c r="V94" i="126"/>
  <c r="AB94" i="126"/>
  <c r="Q94" i="126"/>
  <c r="W94" i="126"/>
  <c r="AC94" i="126"/>
  <c r="R94" i="126"/>
  <c r="S94" i="126"/>
  <c r="Y94" i="126"/>
  <c r="T94" i="126"/>
  <c r="Z94" i="126"/>
  <c r="U88" i="126"/>
  <c r="AA88" i="126"/>
  <c r="V88" i="126"/>
  <c r="AB88" i="126"/>
  <c r="Q88" i="126"/>
  <c r="W88" i="126"/>
  <c r="AC88" i="126"/>
  <c r="R88" i="126"/>
  <c r="S88" i="126"/>
  <c r="Y88" i="126"/>
  <c r="T88" i="126"/>
  <c r="Z88" i="126"/>
  <c r="U82" i="126"/>
  <c r="AA82" i="126"/>
  <c r="V82" i="126"/>
  <c r="AB82" i="126"/>
  <c r="Q82" i="126"/>
  <c r="W82" i="126"/>
  <c r="AC82" i="126"/>
  <c r="R82" i="126"/>
  <c r="S82" i="126"/>
  <c r="Y82" i="126"/>
  <c r="T82" i="126"/>
  <c r="Z82" i="126"/>
  <c r="S76" i="126"/>
  <c r="Y76" i="126"/>
  <c r="T76" i="126"/>
  <c r="Z76" i="126"/>
  <c r="U76" i="126"/>
  <c r="AA76" i="126"/>
  <c r="V76" i="126"/>
  <c r="AB76" i="126"/>
  <c r="Q76" i="126"/>
  <c r="W76" i="126"/>
  <c r="AC76" i="126"/>
  <c r="R76" i="126"/>
  <c r="R95" i="126"/>
  <c r="S95" i="126"/>
  <c r="Y95" i="126"/>
  <c r="T95" i="126"/>
  <c r="Z95" i="126"/>
  <c r="U95" i="126"/>
  <c r="AA95" i="126"/>
  <c r="V95" i="126"/>
  <c r="AB95" i="126"/>
  <c r="Q95" i="126"/>
  <c r="W95" i="126"/>
  <c r="AC95" i="126"/>
  <c r="R83" i="126"/>
  <c r="S83" i="126"/>
  <c r="Y83" i="126"/>
  <c r="T83" i="126"/>
  <c r="Z83" i="126"/>
  <c r="U83" i="126"/>
  <c r="AA83" i="126"/>
  <c r="V83" i="126"/>
  <c r="AB83" i="126"/>
  <c r="Q83" i="126"/>
  <c r="W83" i="126"/>
  <c r="AC83" i="126"/>
  <c r="R93" i="126"/>
  <c r="S93" i="126"/>
  <c r="Y93" i="126"/>
  <c r="T93" i="126"/>
  <c r="Z93" i="126"/>
  <c r="U93" i="126"/>
  <c r="AA93" i="126"/>
  <c r="V93" i="126"/>
  <c r="AB93" i="126"/>
  <c r="Q93" i="126"/>
  <c r="W93" i="126"/>
  <c r="AC93" i="126"/>
  <c r="R87" i="126"/>
  <c r="S87" i="126"/>
  <c r="Y87" i="126"/>
  <c r="T87" i="126"/>
  <c r="Z87" i="126"/>
  <c r="U87" i="126"/>
  <c r="AA87" i="126"/>
  <c r="V87" i="126"/>
  <c r="AB87" i="126"/>
  <c r="Q87" i="126"/>
  <c r="W87" i="126"/>
  <c r="AC87" i="126"/>
  <c r="R81" i="126"/>
  <c r="S81" i="126"/>
  <c r="Y81" i="126"/>
  <c r="T81" i="126"/>
  <c r="Z81" i="126"/>
  <c r="U81" i="126"/>
  <c r="AA81" i="126"/>
  <c r="V81" i="126"/>
  <c r="AB81" i="126"/>
  <c r="Q81" i="126"/>
  <c r="W81" i="126"/>
  <c r="AC81" i="126"/>
  <c r="T75" i="126"/>
  <c r="Z75" i="126"/>
  <c r="U75" i="126"/>
  <c r="AA75" i="126"/>
  <c r="V75" i="126"/>
  <c r="AB75" i="126"/>
  <c r="Q75" i="126"/>
  <c r="W75" i="126"/>
  <c r="AC75" i="126"/>
  <c r="R75" i="126"/>
  <c r="S75" i="126"/>
  <c r="Y75" i="126"/>
  <c r="U98" i="126"/>
  <c r="AA98" i="126"/>
  <c r="V98" i="126"/>
  <c r="AB98" i="126"/>
  <c r="Q98" i="126"/>
  <c r="W98" i="126"/>
  <c r="AC98" i="126"/>
  <c r="R98" i="126"/>
  <c r="S98" i="126"/>
  <c r="Y98" i="126"/>
  <c r="T98" i="126"/>
  <c r="Z98" i="126"/>
  <c r="U92" i="126"/>
  <c r="AA92" i="126"/>
  <c r="V92" i="126"/>
  <c r="AB92" i="126"/>
  <c r="Q92" i="126"/>
  <c r="W92" i="126"/>
  <c r="AC92" i="126"/>
  <c r="R92" i="126"/>
  <c r="S92" i="126"/>
  <c r="Y92" i="126"/>
  <c r="T92" i="126"/>
  <c r="Z92" i="126"/>
  <c r="U86" i="126"/>
  <c r="AA86" i="126"/>
  <c r="V86" i="126"/>
  <c r="AB86" i="126"/>
  <c r="Q86" i="126"/>
  <c r="W86" i="126"/>
  <c r="AC86" i="126"/>
  <c r="R86" i="126"/>
  <c r="S86" i="126"/>
  <c r="Y86" i="126"/>
  <c r="T86" i="126"/>
  <c r="Z86" i="126"/>
  <c r="U80" i="126"/>
  <c r="AA80" i="126"/>
  <c r="V80" i="126"/>
  <c r="AB80" i="126"/>
  <c r="Q80" i="126"/>
  <c r="W80" i="126"/>
  <c r="AC80" i="126"/>
  <c r="R80" i="126"/>
  <c r="S80" i="126"/>
  <c r="Y80" i="126"/>
  <c r="T80" i="126"/>
  <c r="Z80" i="126"/>
  <c r="U74" i="126"/>
  <c r="AA74" i="126"/>
  <c r="V74" i="126"/>
  <c r="AB74" i="126"/>
  <c r="Q74" i="126"/>
  <c r="W74" i="126"/>
  <c r="AC74" i="126"/>
  <c r="R74" i="126"/>
  <c r="S74" i="126"/>
  <c r="Y74" i="126"/>
  <c r="T74" i="126"/>
  <c r="Z74" i="126"/>
  <c r="R97" i="126"/>
  <c r="S97" i="126"/>
  <c r="Y97" i="126"/>
  <c r="T97" i="126"/>
  <c r="Z97" i="126"/>
  <c r="U97" i="126"/>
  <c r="AA97" i="126"/>
  <c r="V97" i="126"/>
  <c r="AB97" i="126"/>
  <c r="Q97" i="126"/>
  <c r="W97" i="126"/>
  <c r="AC97" i="126"/>
  <c r="R91" i="126"/>
  <c r="S91" i="126"/>
  <c r="Y91" i="126"/>
  <c r="T91" i="126"/>
  <c r="Z91" i="126"/>
  <c r="U91" i="126"/>
  <c r="AA91" i="126"/>
  <c r="V91" i="126"/>
  <c r="AB91" i="126"/>
  <c r="Q91" i="126"/>
  <c r="W91" i="126"/>
  <c r="AC91" i="126"/>
  <c r="R85" i="126"/>
  <c r="S85" i="126"/>
  <c r="Y85" i="126"/>
  <c r="T85" i="126"/>
  <c r="Z85" i="126"/>
  <c r="U85" i="126"/>
  <c r="AA85" i="126"/>
  <c r="V85" i="126"/>
  <c r="AB85" i="126"/>
  <c r="Q85" i="126"/>
  <c r="W85" i="126"/>
  <c r="AC85" i="126"/>
  <c r="R79" i="126"/>
  <c r="S79" i="126"/>
  <c r="Y79" i="126"/>
  <c r="T79" i="126"/>
  <c r="Z79" i="126"/>
  <c r="U79" i="126"/>
  <c r="AA79" i="126"/>
  <c r="V79" i="126"/>
  <c r="AB79" i="126"/>
  <c r="Q79" i="126"/>
  <c r="W79" i="126"/>
  <c r="AC79" i="126"/>
  <c r="V73" i="126"/>
  <c r="AB73" i="126"/>
  <c r="Q73" i="126"/>
  <c r="W73" i="126"/>
  <c r="AC73" i="126"/>
  <c r="R73" i="126"/>
  <c r="S73" i="126"/>
  <c r="Y73" i="126"/>
  <c r="T73" i="126"/>
  <c r="Z73" i="126"/>
  <c r="U73" i="126"/>
  <c r="AA73" i="126"/>
  <c r="R89" i="126"/>
  <c r="S89" i="126"/>
  <c r="Y89" i="126"/>
  <c r="T89" i="126"/>
  <c r="Z89" i="126"/>
  <c r="U89" i="126"/>
  <c r="AA89" i="126"/>
  <c r="V89" i="126"/>
  <c r="AB89" i="126"/>
  <c r="Q89" i="126"/>
  <c r="W89" i="126"/>
  <c r="AC89" i="126"/>
  <c r="R77" i="126"/>
  <c r="S77" i="126"/>
  <c r="Y77" i="126"/>
  <c r="T77" i="126"/>
  <c r="Z77" i="126"/>
  <c r="U77" i="126"/>
  <c r="AA77" i="126"/>
  <c r="V77" i="126"/>
  <c r="AB77" i="126"/>
  <c r="Q77" i="126"/>
  <c r="W77" i="126"/>
  <c r="AC77" i="126"/>
  <c r="U96" i="126"/>
  <c r="AA96" i="126"/>
  <c r="V96" i="126"/>
  <c r="AB96" i="126"/>
  <c r="Q96" i="126"/>
  <c r="W96" i="126"/>
  <c r="AC96" i="126"/>
  <c r="R96" i="126"/>
  <c r="S96" i="126"/>
  <c r="Y96" i="126"/>
  <c r="T96" i="126"/>
  <c r="Z96" i="126"/>
  <c r="U90" i="126"/>
  <c r="AA90" i="126"/>
  <c r="V90" i="126"/>
  <c r="AB90" i="126"/>
  <c r="Q90" i="126"/>
  <c r="W90" i="126"/>
  <c r="AC90" i="126"/>
  <c r="R90" i="126"/>
  <c r="S90" i="126"/>
  <c r="Y90" i="126"/>
  <c r="T90" i="126"/>
  <c r="Z90" i="126"/>
  <c r="U84" i="126"/>
  <c r="AA84" i="126"/>
  <c r="V84" i="126"/>
  <c r="AB84" i="126"/>
  <c r="Q84" i="126"/>
  <c r="W84" i="126"/>
  <c r="AC84" i="126"/>
  <c r="R84" i="126"/>
  <c r="S84" i="126"/>
  <c r="Y84" i="126"/>
  <c r="T84" i="126"/>
  <c r="Z84" i="126"/>
  <c r="U78" i="126"/>
  <c r="AA78" i="126"/>
  <c r="V78" i="126"/>
  <c r="AB78" i="126"/>
  <c r="Q78" i="126"/>
  <c r="W78" i="126"/>
  <c r="AC78" i="126"/>
  <c r="R78" i="126"/>
  <c r="S78" i="126"/>
  <c r="Y78" i="126"/>
  <c r="T78" i="126"/>
  <c r="Z78" i="126"/>
  <c r="Q72" i="126"/>
  <c r="W72" i="126"/>
  <c r="AC72" i="126"/>
  <c r="R72" i="126"/>
  <c r="S72" i="126"/>
  <c r="Y72" i="126"/>
  <c r="T72" i="126"/>
  <c r="Z72" i="126"/>
  <c r="U72" i="126"/>
  <c r="AA72" i="126"/>
  <c r="V72" i="126"/>
  <c r="AB72" i="126"/>
  <c r="AE78" i="126" l="1"/>
  <c r="N78" i="126" s="1"/>
  <c r="AD84" i="126"/>
  <c r="AE90" i="126"/>
  <c r="N90" i="126" s="1"/>
  <c r="AD89" i="126"/>
  <c r="AD80" i="126"/>
  <c r="AD90" i="126"/>
  <c r="AE91" i="126"/>
  <c r="N91" i="126" s="1"/>
  <c r="AD87" i="126"/>
  <c r="AD86" i="126"/>
  <c r="AE79" i="126"/>
  <c r="N79" i="126" s="1"/>
  <c r="AE86" i="126"/>
  <c r="N86" i="126" s="1"/>
  <c r="AE80" i="126"/>
  <c r="N80" i="126" s="1"/>
  <c r="AD78" i="126"/>
  <c r="AE92" i="126"/>
  <c r="N92" i="126" s="1"/>
  <c r="AD81" i="126"/>
  <c r="AE83" i="126"/>
  <c r="N83" i="126" s="1"/>
  <c r="AD82" i="126"/>
  <c r="AE85" i="126"/>
  <c r="N85" i="126" s="1"/>
  <c r="AD97" i="126"/>
  <c r="AD93" i="126"/>
  <c r="AD96" i="126"/>
  <c r="AD79" i="126"/>
  <c r="AD91" i="126"/>
  <c r="AD98" i="126"/>
  <c r="AE93" i="126"/>
  <c r="N93" i="126" s="1"/>
  <c r="AE94" i="126"/>
  <c r="N94" i="126" s="1"/>
  <c r="AE95" i="126"/>
  <c r="N95" i="126" s="1"/>
  <c r="AE84" i="126"/>
  <c r="N84" i="126" s="1"/>
  <c r="AE96" i="126"/>
  <c r="N96" i="126" s="1"/>
  <c r="AE77" i="126"/>
  <c r="N77" i="126" s="1"/>
  <c r="AE97" i="126"/>
  <c r="N97" i="126" s="1"/>
  <c r="AD95" i="126"/>
  <c r="AD88" i="126"/>
  <c r="AE88" i="126"/>
  <c r="N88" i="126" s="1"/>
  <c r="AE89" i="126"/>
  <c r="N89" i="126" s="1"/>
  <c r="AD94" i="126"/>
  <c r="AD77" i="126"/>
  <c r="AD85" i="126"/>
  <c r="AD92" i="126"/>
  <c r="AE98" i="126"/>
  <c r="N98" i="126" s="1"/>
  <c r="AE81" i="126"/>
  <c r="N81" i="126" s="1"/>
  <c r="AE87" i="126"/>
  <c r="N87" i="126" s="1"/>
  <c r="AD83" i="126"/>
  <c r="AE82" i="126"/>
  <c r="N82" i="126" s="1"/>
  <c r="AD76" i="126"/>
  <c r="AE76" i="126"/>
  <c r="N76" i="126" s="1"/>
  <c r="AE74" i="126"/>
  <c r="N74" i="126" s="1"/>
  <c r="AD74" i="126"/>
  <c r="AD73" i="126"/>
  <c r="AD72" i="126"/>
  <c r="AD75" i="126"/>
  <c r="AE73" i="126"/>
  <c r="N73" i="126" s="1"/>
  <c r="AE75" i="126"/>
  <c r="N75" i="126" s="1"/>
  <c r="AE72" i="126"/>
  <c r="N72" i="126" s="1"/>
  <c r="Q5" i="126" l="1"/>
  <c r="A5" i="126" l="1"/>
  <c r="L35" i="137"/>
  <c r="F73" i="126" l="1"/>
  <c r="G85" i="126"/>
  <c r="F81" i="126"/>
  <c r="G79" i="126"/>
  <c r="F87" i="126"/>
  <c r="G75" i="126"/>
  <c r="E87" i="126"/>
  <c r="G87" i="126"/>
  <c r="E75" i="126"/>
  <c r="F75" i="126"/>
  <c r="G81" i="126"/>
  <c r="E81" i="126"/>
  <c r="E73" i="126"/>
  <c r="E79" i="126"/>
  <c r="G73" i="126"/>
  <c r="E85" i="126"/>
  <c r="F79" i="126"/>
  <c r="F85" i="126"/>
  <c r="G77" i="126" l="1"/>
  <c r="G93" i="126"/>
  <c r="G92" i="126"/>
  <c r="E78" i="126"/>
  <c r="G95" i="126"/>
  <c r="G96" i="126"/>
  <c r="G89" i="126"/>
  <c r="G91" i="126"/>
  <c r="F90" i="126"/>
  <c r="F86" i="126"/>
  <c r="F96" i="126"/>
  <c r="E91" i="126"/>
  <c r="G83" i="126"/>
  <c r="F83" i="126"/>
  <c r="F97" i="126"/>
  <c r="E77" i="126"/>
  <c r="E89" i="126"/>
  <c r="F95" i="126"/>
  <c r="E95" i="126"/>
  <c r="E96" i="126"/>
  <c r="F89" i="126"/>
  <c r="E93" i="126"/>
  <c r="F93" i="126"/>
  <c r="E90" i="126"/>
  <c r="G90" i="126"/>
  <c r="F91" i="126"/>
  <c r="F78" i="126"/>
  <c r="G97" i="126"/>
  <c r="E97" i="126"/>
  <c r="E83" i="126"/>
  <c r="E88" i="126"/>
  <c r="G88" i="126"/>
  <c r="F88" i="126"/>
  <c r="F92" i="126"/>
  <c r="E92" i="126"/>
  <c r="F77" i="126"/>
  <c r="G78" i="126"/>
  <c r="G86" i="126"/>
  <c r="E86" i="126"/>
  <c r="G76" i="126"/>
  <c r="F76" i="126"/>
  <c r="E76" i="126"/>
  <c r="E94" i="126"/>
  <c r="G94" i="126"/>
  <c r="F94" i="126"/>
  <c r="G84" i="126"/>
  <c r="E84" i="126"/>
  <c r="E74" i="126"/>
  <c r="G74" i="126"/>
  <c r="F74" i="126"/>
  <c r="G98" i="126"/>
  <c r="E98" i="126"/>
  <c r="F98" i="126"/>
  <c r="G80" i="126"/>
  <c r="F80" i="126"/>
  <c r="E80" i="126"/>
  <c r="G82" i="126"/>
  <c r="F82" i="126"/>
  <c r="E82" i="126"/>
  <c r="F84" i="126"/>
  <c r="I2" i="174" l="1"/>
  <c r="E70" i="126"/>
  <c r="E69" i="126"/>
  <c r="E72" i="126"/>
  <c r="E67" i="126"/>
  <c r="E65" i="126"/>
  <c r="E71" i="126"/>
  <c r="E66" i="126"/>
  <c r="E68" i="126"/>
  <c r="E66" i="171" l="1"/>
  <c r="E54" i="171"/>
  <c r="E42" i="171"/>
  <c r="G18" i="171"/>
  <c r="E18" i="171"/>
  <c r="N66" i="171"/>
  <c r="L66" i="171"/>
  <c r="K66" i="171"/>
  <c r="J66" i="171"/>
  <c r="I66" i="171"/>
  <c r="H66" i="171"/>
  <c r="G66" i="171"/>
  <c r="N54" i="171"/>
  <c r="L54" i="171"/>
  <c r="K54" i="171"/>
  <c r="J54" i="171"/>
  <c r="I54" i="171"/>
  <c r="H54" i="171"/>
  <c r="G54" i="171"/>
  <c r="K18" i="174"/>
  <c r="E68" i="171" l="1"/>
  <c r="K80" i="174"/>
  <c r="G48" i="126"/>
  <c r="G49" i="126"/>
  <c r="F49" i="126" l="1"/>
  <c r="G51" i="126"/>
  <c r="G53" i="126"/>
  <c r="F50" i="126"/>
  <c r="G50" i="126"/>
  <c r="F54" i="126"/>
  <c r="F52" i="126"/>
  <c r="G52" i="126"/>
  <c r="G28" i="126"/>
  <c r="F51" i="126"/>
  <c r="F48" i="126"/>
  <c r="G54" i="126"/>
  <c r="F53" i="126"/>
  <c r="F72" i="126"/>
  <c r="G72" i="126"/>
  <c r="F28" i="126"/>
  <c r="G27" i="126"/>
  <c r="F27" i="126"/>
  <c r="G29" i="126"/>
  <c r="F29" i="126"/>
  <c r="F37" i="126" l="1"/>
  <c r="G37" i="126"/>
  <c r="F56" i="126"/>
  <c r="G56" i="126"/>
  <c r="F67" i="126"/>
  <c r="G67" i="126"/>
  <c r="F46" i="126"/>
  <c r="G46" i="126"/>
  <c r="G35" i="126"/>
  <c r="F35" i="126"/>
  <c r="G62" i="126"/>
  <c r="F62" i="126"/>
  <c r="G39" i="126"/>
  <c r="F39" i="126"/>
  <c r="F58" i="126"/>
  <c r="G58" i="126"/>
  <c r="F59" i="126"/>
  <c r="G59" i="126"/>
  <c r="G36" i="126"/>
  <c r="F36" i="126"/>
  <c r="G66" i="126"/>
  <c r="F66" i="126"/>
  <c r="G31" i="126"/>
  <c r="F31" i="126"/>
  <c r="F34" i="126"/>
  <c r="G34" i="126"/>
  <c r="F61" i="126"/>
  <c r="G61" i="126"/>
  <c r="G33" i="126"/>
  <c r="F33" i="126"/>
  <c r="F32" i="126"/>
  <c r="G32" i="126"/>
  <c r="F68" i="126"/>
  <c r="G68" i="126"/>
  <c r="F70" i="126"/>
  <c r="G70" i="126"/>
  <c r="F47" i="126"/>
  <c r="G47" i="126"/>
  <c r="F65" i="126"/>
  <c r="G65" i="126"/>
  <c r="G71" i="126"/>
  <c r="F71" i="126"/>
  <c r="G42" i="126"/>
  <c r="F42" i="126"/>
  <c r="G63" i="126"/>
  <c r="F63" i="126"/>
  <c r="F38" i="126"/>
  <c r="G38" i="126"/>
  <c r="F55" i="126"/>
  <c r="G55" i="126"/>
  <c r="G57" i="126"/>
  <c r="F57" i="126"/>
  <c r="F40" i="126"/>
  <c r="G40" i="126"/>
  <c r="G69" i="126"/>
  <c r="F69" i="126"/>
  <c r="F64" i="126"/>
  <c r="G64" i="126"/>
  <c r="F41" i="126"/>
  <c r="G41" i="126"/>
  <c r="G30" i="126"/>
  <c r="F30" i="126"/>
  <c r="G60" i="126"/>
  <c r="F60" i="126"/>
  <c r="C26" i="150"/>
  <c r="B26" i="150" l="1"/>
  <c r="D26" i="150"/>
  <c r="D16" i="150"/>
  <c r="C16" i="150"/>
  <c r="D15" i="150"/>
  <c r="C15" i="150"/>
  <c r="R3" i="175"/>
  <c r="S52" i="126"/>
  <c r="U68" i="126"/>
  <c r="Z51" i="126"/>
  <c r="Z54" i="126"/>
  <c r="Q59" i="126"/>
  <c r="Q41" i="126"/>
  <c r="R49" i="126"/>
  <c r="T60" i="126"/>
  <c r="V61" i="126"/>
  <c r="Q66" i="126"/>
  <c r="B16" i="150" l="1"/>
  <c r="C17" i="150"/>
  <c r="B17" i="150"/>
  <c r="D17" i="150"/>
  <c r="S67" i="126"/>
  <c r="V66" i="126"/>
  <c r="T58" i="126"/>
  <c r="Z57" i="126"/>
  <c r="W66" i="126"/>
  <c r="Y70" i="126"/>
  <c r="R70" i="126"/>
  <c r="W49" i="126"/>
  <c r="Y65" i="126"/>
  <c r="AC68" i="126"/>
  <c r="Q65" i="126"/>
  <c r="Q49" i="126"/>
  <c r="Z67" i="126"/>
  <c r="AA62" i="126"/>
  <c r="Y67" i="126"/>
  <c r="Y59" i="126"/>
  <c r="Q64" i="126"/>
  <c r="V64" i="126"/>
  <c r="AC64" i="126"/>
  <c r="U64" i="126"/>
  <c r="W56" i="126"/>
  <c r="AC56" i="126"/>
  <c r="U56" i="126"/>
  <c r="T48" i="126"/>
  <c r="V48" i="126"/>
  <c r="AB48" i="126"/>
  <c r="V71" i="126"/>
  <c r="T71" i="126"/>
  <c r="AA71" i="126"/>
  <c r="U71" i="126"/>
  <c r="AB71" i="126"/>
  <c r="AC71" i="126"/>
  <c r="R71" i="126"/>
  <c r="S71" i="126"/>
  <c r="Z71" i="126"/>
  <c r="U55" i="126"/>
  <c r="R55" i="126"/>
  <c r="T55" i="126"/>
  <c r="AB55" i="126"/>
  <c r="Z55" i="126"/>
  <c r="V63" i="126"/>
  <c r="R63" i="126"/>
  <c r="S63" i="126"/>
  <c r="U63" i="126"/>
  <c r="AC63" i="126"/>
  <c r="Z63" i="126"/>
  <c r="AA63" i="126"/>
  <c r="T47" i="126"/>
  <c r="Q47" i="126"/>
  <c r="Y47" i="126"/>
  <c r="AA47" i="126"/>
  <c r="S47" i="126"/>
  <c r="Y69" i="126"/>
  <c r="R67" i="126"/>
  <c r="Y62" i="126"/>
  <c r="AC58" i="126"/>
  <c r="V50" i="126"/>
  <c r="AC42" i="126"/>
  <c r="AB68" i="126"/>
  <c r="Q67" i="126"/>
  <c r="AB58" i="126"/>
  <c r="R57" i="126"/>
  <c r="T50" i="126"/>
  <c r="AA42" i="126"/>
  <c r="T68" i="126"/>
  <c r="AB50" i="126"/>
  <c r="W69" i="126"/>
  <c r="AC66" i="126"/>
  <c r="Y61" i="126"/>
  <c r="W58" i="126"/>
  <c r="U42" i="126"/>
  <c r="AA65" i="126"/>
  <c r="AB60" i="126"/>
  <c r="U58" i="126"/>
  <c r="Y49" i="126"/>
  <c r="S42" i="126"/>
  <c r="AA60" i="126"/>
  <c r="S70" i="126"/>
  <c r="T67" i="126"/>
  <c r="U66" i="126"/>
  <c r="S65" i="126"/>
  <c r="AA59" i="126"/>
  <c r="V41" i="126"/>
  <c r="T40" i="126"/>
  <c r="AB40" i="126"/>
  <c r="U40" i="126"/>
  <c r="AC40" i="126"/>
  <c r="V40" i="126"/>
  <c r="W40" i="126"/>
  <c r="R40" i="126"/>
  <c r="Z40" i="126"/>
  <c r="T62" i="126"/>
  <c r="AB62" i="126"/>
  <c r="U62" i="126"/>
  <c r="AC62" i="126"/>
  <c r="V62" i="126"/>
  <c r="W62" i="126"/>
  <c r="R62" i="126"/>
  <c r="Z62" i="126"/>
  <c r="S54" i="126"/>
  <c r="AA54" i="126"/>
  <c r="T54" i="126"/>
  <c r="AB54" i="126"/>
  <c r="U54" i="126"/>
  <c r="AC54" i="126"/>
  <c r="V54" i="126"/>
  <c r="W54" i="126"/>
  <c r="Q54" i="126"/>
  <c r="Y54" i="126"/>
  <c r="R46" i="126"/>
  <c r="Z46" i="126"/>
  <c r="S46" i="126"/>
  <c r="AA46" i="126"/>
  <c r="T46" i="126"/>
  <c r="AB46" i="126"/>
  <c r="U46" i="126"/>
  <c r="AC46" i="126"/>
  <c r="V46" i="126"/>
  <c r="W61" i="126"/>
  <c r="V60" i="126"/>
  <c r="U52" i="126"/>
  <c r="Q46" i="126"/>
  <c r="S62" i="126"/>
  <c r="S59" i="126"/>
  <c r="Q70" i="126"/>
  <c r="R69" i="126"/>
  <c r="Z69" i="126"/>
  <c r="S69" i="126"/>
  <c r="AA69" i="126"/>
  <c r="T69" i="126"/>
  <c r="AB69" i="126"/>
  <c r="U69" i="126"/>
  <c r="AC69" i="126"/>
  <c r="R61" i="126"/>
  <c r="Z61" i="126"/>
  <c r="S61" i="126"/>
  <c r="AA61" i="126"/>
  <c r="T61" i="126"/>
  <c r="AB61" i="126"/>
  <c r="U61" i="126"/>
  <c r="AC61" i="126"/>
  <c r="Q53" i="126"/>
  <c r="Y53" i="126"/>
  <c r="R53" i="126"/>
  <c r="Z53" i="126"/>
  <c r="S53" i="126"/>
  <c r="AA53" i="126"/>
  <c r="T53" i="126"/>
  <c r="AB53" i="126"/>
  <c r="U53" i="126"/>
  <c r="AC53" i="126"/>
  <c r="W53" i="126"/>
  <c r="Q68" i="126"/>
  <c r="Y68" i="126"/>
  <c r="R68" i="126"/>
  <c r="Z68" i="126"/>
  <c r="S68" i="126"/>
  <c r="AA68" i="126"/>
  <c r="W60" i="126"/>
  <c r="Q60" i="126"/>
  <c r="Y60" i="126"/>
  <c r="R60" i="126"/>
  <c r="Z60" i="126"/>
  <c r="U60" i="126"/>
  <c r="AC60" i="126"/>
  <c r="V52" i="126"/>
  <c r="W52" i="126"/>
  <c r="Q52" i="126"/>
  <c r="Y52" i="126"/>
  <c r="R52" i="126"/>
  <c r="Z52" i="126"/>
  <c r="T52" i="126"/>
  <c r="AB52" i="126"/>
  <c r="AA70" i="126"/>
  <c r="Q69" i="126"/>
  <c r="W68" i="126"/>
  <c r="AB67" i="126"/>
  <c r="Q62" i="126"/>
  <c r="Q61" i="126"/>
  <c r="S60" i="126"/>
  <c r="T70" i="126"/>
  <c r="AB70" i="126"/>
  <c r="U70" i="126"/>
  <c r="AC70" i="126"/>
  <c r="V70" i="126"/>
  <c r="W70" i="126"/>
  <c r="V69" i="126"/>
  <c r="U67" i="126"/>
  <c r="AC67" i="126"/>
  <c r="V67" i="126"/>
  <c r="W67" i="126"/>
  <c r="T59" i="126"/>
  <c r="AB59" i="126"/>
  <c r="U59" i="126"/>
  <c r="AC59" i="126"/>
  <c r="V59" i="126"/>
  <c r="W59" i="126"/>
  <c r="R59" i="126"/>
  <c r="Z59" i="126"/>
  <c r="S51" i="126"/>
  <c r="AA51" i="126"/>
  <c r="T51" i="126"/>
  <c r="AB51" i="126"/>
  <c r="U51" i="126"/>
  <c r="AC51" i="126"/>
  <c r="V51" i="126"/>
  <c r="W51" i="126"/>
  <c r="Q51" i="126"/>
  <c r="Y51" i="126"/>
  <c r="Z70" i="126"/>
  <c r="V68" i="126"/>
  <c r="AA67" i="126"/>
  <c r="V53" i="126"/>
  <c r="AA40" i="126"/>
  <c r="Y40" i="126"/>
  <c r="R54" i="126"/>
  <c r="AC52" i="126"/>
  <c r="R51" i="126"/>
  <c r="Y46" i="126"/>
  <c r="S40" i="126"/>
  <c r="AA52" i="126"/>
  <c r="W46" i="126"/>
  <c r="Q40" i="126"/>
  <c r="Z65" i="126"/>
  <c r="R65" i="126"/>
  <c r="W64" i="126"/>
  <c r="AB63" i="126"/>
  <c r="T63" i="126"/>
  <c r="V58" i="126"/>
  <c r="Y57" i="126"/>
  <c r="Q57" i="126"/>
  <c r="V56" i="126"/>
  <c r="AA55" i="126"/>
  <c r="S55" i="126"/>
  <c r="AC50" i="126"/>
  <c r="U50" i="126"/>
  <c r="AC48" i="126"/>
  <c r="U48" i="126"/>
  <c r="Z47" i="126"/>
  <c r="R47" i="126"/>
  <c r="AB42" i="126"/>
  <c r="T42" i="126"/>
  <c r="W41" i="126"/>
  <c r="W57" i="126"/>
  <c r="AB56" i="126"/>
  <c r="T56" i="126"/>
  <c r="Y55" i="126"/>
  <c r="Q55" i="126"/>
  <c r="AA50" i="126"/>
  <c r="S50" i="126"/>
  <c r="V49" i="126"/>
  <c r="AA48" i="126"/>
  <c r="S48" i="126"/>
  <c r="Z42" i="126"/>
  <c r="R42" i="126"/>
  <c r="AC41" i="126"/>
  <c r="U41" i="126"/>
  <c r="Y71" i="126"/>
  <c r="Q71" i="126"/>
  <c r="AB66" i="126"/>
  <c r="T66" i="126"/>
  <c r="W65" i="126"/>
  <c r="AB64" i="126"/>
  <c r="T64" i="126"/>
  <c r="Y63" i="126"/>
  <c r="Q63" i="126"/>
  <c r="AA58" i="126"/>
  <c r="S58" i="126"/>
  <c r="V57" i="126"/>
  <c r="AA56" i="126"/>
  <c r="S56" i="126"/>
  <c r="Z50" i="126"/>
  <c r="R50" i="126"/>
  <c r="AC49" i="126"/>
  <c r="U49" i="126"/>
  <c r="Z48" i="126"/>
  <c r="R48" i="126"/>
  <c r="W47" i="126"/>
  <c r="Y42" i="126"/>
  <c r="Q42" i="126"/>
  <c r="AB41" i="126"/>
  <c r="T41" i="126"/>
  <c r="AA66" i="126"/>
  <c r="S66" i="126"/>
  <c r="V65" i="126"/>
  <c r="AA64" i="126"/>
  <c r="S64" i="126"/>
  <c r="Z58" i="126"/>
  <c r="R58" i="126"/>
  <c r="AC57" i="126"/>
  <c r="U57" i="126"/>
  <c r="Z56" i="126"/>
  <c r="R56" i="126"/>
  <c r="W55" i="126"/>
  <c r="Y50" i="126"/>
  <c r="Q50" i="126"/>
  <c r="AB49" i="126"/>
  <c r="T49" i="126"/>
  <c r="Y48" i="126"/>
  <c r="Q48" i="126"/>
  <c r="V47" i="126"/>
  <c r="AA41" i="126"/>
  <c r="S41" i="126"/>
  <c r="W71" i="126"/>
  <c r="Z66" i="126"/>
  <c r="R66" i="126"/>
  <c r="AC65" i="126"/>
  <c r="U65" i="126"/>
  <c r="Z64" i="126"/>
  <c r="R64" i="126"/>
  <c r="W63" i="126"/>
  <c r="Y58" i="126"/>
  <c r="Q58" i="126"/>
  <c r="AB57" i="126"/>
  <c r="T57" i="126"/>
  <c r="Y56" i="126"/>
  <c r="Q56" i="126"/>
  <c r="V55" i="126"/>
  <c r="AA49" i="126"/>
  <c r="S49" i="126"/>
  <c r="AC47" i="126"/>
  <c r="U47" i="126"/>
  <c r="W42" i="126"/>
  <c r="Z41" i="126"/>
  <c r="R41" i="126"/>
  <c r="Y66" i="126"/>
  <c r="AB65" i="126"/>
  <c r="T65" i="126"/>
  <c r="Y64" i="126"/>
  <c r="AA57" i="126"/>
  <c r="S57" i="126"/>
  <c r="AC55" i="126"/>
  <c r="W50" i="126"/>
  <c r="Z49" i="126"/>
  <c r="W48" i="126"/>
  <c r="AB47" i="126"/>
  <c r="V42" i="126"/>
  <c r="Y41" i="126"/>
  <c r="I3" i="126" l="1"/>
  <c r="H2" i="126"/>
  <c r="AD69" i="126"/>
  <c r="AE61" i="126"/>
  <c r="N61" i="126" s="1"/>
  <c r="AD60" i="126"/>
  <c r="AE57" i="126"/>
  <c r="N57" i="126" s="1"/>
  <c r="AE41" i="126"/>
  <c r="N41" i="126" s="1"/>
  <c r="AE48" i="126"/>
  <c r="N48" i="126" s="1"/>
  <c r="AD42" i="126"/>
  <c r="AD63" i="126"/>
  <c r="AD65" i="126"/>
  <c r="AD71" i="126"/>
  <c r="AD57" i="126"/>
  <c r="AD55" i="126"/>
  <c r="AE65" i="126"/>
  <c r="N65" i="126" s="1"/>
  <c r="AE52" i="126"/>
  <c r="N52" i="126" s="1"/>
  <c r="AE60" i="126"/>
  <c r="N60" i="126" s="1"/>
  <c r="AD52" i="126"/>
  <c r="AE64" i="126"/>
  <c r="N64" i="126" s="1"/>
  <c r="AE71" i="126"/>
  <c r="N71" i="126" s="1"/>
  <c r="AD56" i="126"/>
  <c r="AE51" i="126"/>
  <c r="N51" i="126" s="1"/>
  <c r="AD40" i="126"/>
  <c r="AE68" i="126"/>
  <c r="N68" i="126" s="1"/>
  <c r="AE63" i="126"/>
  <c r="N63" i="126" s="1"/>
  <c r="AD46" i="126"/>
  <c r="AD47" i="126"/>
  <c r="AE40" i="126"/>
  <c r="N40" i="126" s="1"/>
  <c r="AD51" i="126"/>
  <c r="AE62" i="126"/>
  <c r="N62" i="126" s="1"/>
  <c r="AD41" i="126"/>
  <c r="AE50" i="126"/>
  <c r="N50" i="126" s="1"/>
  <c r="AE53" i="126"/>
  <c r="N53" i="126" s="1"/>
  <c r="AD70" i="126"/>
  <c r="AE59" i="126"/>
  <c r="N59" i="126" s="1"/>
  <c r="AD49" i="126"/>
  <c r="AD58" i="126"/>
  <c r="AE46" i="126"/>
  <c r="N46" i="126" s="1"/>
  <c r="AE70" i="126"/>
  <c r="N70" i="126" s="1"/>
  <c r="AD54" i="126"/>
  <c r="AE47" i="126"/>
  <c r="N47" i="126" s="1"/>
  <c r="AE66" i="126"/>
  <c r="N66" i="126" s="1"/>
  <c r="AE55" i="126"/>
  <c r="N55" i="126" s="1"/>
  <c r="AE56" i="126"/>
  <c r="N56" i="126" s="1"/>
  <c r="AE67" i="126"/>
  <c r="N67" i="126" s="1"/>
  <c r="AD67" i="126"/>
  <c r="AD59" i="126"/>
  <c r="AE42" i="126"/>
  <c r="N42" i="126" s="1"/>
  <c r="AD53" i="126"/>
  <c r="AE54" i="126"/>
  <c r="N54" i="126" s="1"/>
  <c r="AD62" i="126"/>
  <c r="AD61" i="126"/>
  <c r="AD64" i="126"/>
  <c r="AE58" i="126"/>
  <c r="N58" i="126" s="1"/>
  <c r="AD48" i="126"/>
  <c r="AE49" i="126"/>
  <c r="N49" i="126" s="1"/>
  <c r="AD68" i="126"/>
  <c r="AE69" i="126"/>
  <c r="N69" i="126" s="1"/>
  <c r="AD66" i="126"/>
  <c r="AD50" i="126"/>
  <c r="M7" i="137" l="1"/>
  <c r="L7" i="137"/>
  <c r="L2" i="137"/>
  <c r="N2" i="137"/>
  <c r="B1" i="137"/>
  <c r="Z17" i="126"/>
  <c r="U18" i="126"/>
  <c r="AB21" i="126"/>
  <c r="U23" i="126"/>
  <c r="U24" i="126"/>
  <c r="T27" i="126"/>
  <c r="U30" i="126"/>
  <c r="Q33" i="126"/>
  <c r="U34" i="126"/>
  <c r="V35" i="126"/>
  <c r="W38" i="126"/>
  <c r="R35" i="126" l="1"/>
  <c r="R17" i="126"/>
  <c r="T39" i="126"/>
  <c r="AB34" i="126"/>
  <c r="Q34" i="126"/>
  <c r="V28" i="126"/>
  <c r="V22" i="126"/>
  <c r="V14" i="126"/>
  <c r="R36" i="126"/>
  <c r="AA34" i="126"/>
  <c r="U28" i="126"/>
  <c r="U22" i="126"/>
  <c r="U14" i="126"/>
  <c r="W22" i="126"/>
  <c r="T28" i="126"/>
  <c r="T14" i="126"/>
  <c r="AC34" i="126"/>
  <c r="R34" i="126"/>
  <c r="AC35" i="126"/>
  <c r="W34" i="126"/>
  <c r="AB33" i="126"/>
  <c r="AA33" i="126"/>
  <c r="S32" i="126"/>
  <c r="Y32" i="126"/>
  <c r="T32" i="126"/>
  <c r="Z32" i="126"/>
  <c r="U32" i="126"/>
  <c r="AA32" i="126"/>
  <c r="Q32" i="126"/>
  <c r="AC32" i="126"/>
  <c r="R32" i="126"/>
  <c r="AB32" i="126"/>
  <c r="Q26" i="126"/>
  <c r="W26" i="126"/>
  <c r="AC26" i="126"/>
  <c r="R26" i="126"/>
  <c r="S26" i="126"/>
  <c r="Y26" i="126"/>
  <c r="AA26" i="126"/>
  <c r="AB26" i="126"/>
  <c r="Z26" i="126"/>
  <c r="Q16" i="126"/>
  <c r="W16" i="126"/>
  <c r="AC16" i="126"/>
  <c r="R16" i="126"/>
  <c r="S16" i="126"/>
  <c r="Y16" i="126"/>
  <c r="AA16" i="126"/>
  <c r="AB16" i="126"/>
  <c r="U16" i="126"/>
  <c r="Z16" i="126"/>
  <c r="T16" i="126"/>
  <c r="U37" i="126"/>
  <c r="AA37" i="126"/>
  <c r="V37" i="126"/>
  <c r="AB37" i="126"/>
  <c r="Q37" i="126"/>
  <c r="Y37" i="126"/>
  <c r="R37" i="126"/>
  <c r="Z37" i="126"/>
  <c r="S31" i="126"/>
  <c r="Y31" i="126"/>
  <c r="T31" i="126"/>
  <c r="Z31" i="126"/>
  <c r="U31" i="126"/>
  <c r="AA31" i="126"/>
  <c r="W31" i="126"/>
  <c r="AC31" i="126"/>
  <c r="Q31" i="126"/>
  <c r="R25" i="126"/>
  <c r="S25" i="126"/>
  <c r="Y25" i="126"/>
  <c r="T25" i="126"/>
  <c r="Z25" i="126"/>
  <c r="V25" i="126"/>
  <c r="W25" i="126"/>
  <c r="AB25" i="126"/>
  <c r="AC25" i="126"/>
  <c r="R20" i="126"/>
  <c r="S20" i="126"/>
  <c r="Y20" i="126"/>
  <c r="T20" i="126"/>
  <c r="Z20" i="126"/>
  <c r="AB20" i="126"/>
  <c r="Q20" i="126"/>
  <c r="AC20" i="126"/>
  <c r="AA20" i="126"/>
  <c r="U20" i="126"/>
  <c r="V32" i="126"/>
  <c r="U26" i="126"/>
  <c r="T36" i="126"/>
  <c r="Z36" i="126"/>
  <c r="U36" i="126"/>
  <c r="AA36" i="126"/>
  <c r="W36" i="126"/>
  <c r="Q36" i="126"/>
  <c r="Y36" i="126"/>
  <c r="R30" i="126"/>
  <c r="S30" i="126"/>
  <c r="Y30" i="126"/>
  <c r="T30" i="126"/>
  <c r="Z30" i="126"/>
  <c r="AB30" i="126"/>
  <c r="Q30" i="126"/>
  <c r="AC30" i="126"/>
  <c r="AA30" i="126"/>
  <c r="Q24" i="126"/>
  <c r="W24" i="126"/>
  <c r="AC24" i="126"/>
  <c r="R24" i="126"/>
  <c r="S24" i="126"/>
  <c r="Y24" i="126"/>
  <c r="AA24" i="126"/>
  <c r="AB24" i="126"/>
  <c r="Z24" i="126"/>
  <c r="Q19" i="126"/>
  <c r="W19" i="126"/>
  <c r="AC19" i="126"/>
  <c r="R19" i="126"/>
  <c r="S19" i="126"/>
  <c r="Y19" i="126"/>
  <c r="U19" i="126"/>
  <c r="V19" i="126"/>
  <c r="AA19" i="126"/>
  <c r="AB19" i="126"/>
  <c r="R15" i="126"/>
  <c r="S15" i="126"/>
  <c r="Y15" i="126"/>
  <c r="T15" i="126"/>
  <c r="Z15" i="126"/>
  <c r="V15" i="126"/>
  <c r="W15" i="126"/>
  <c r="U15" i="126"/>
  <c r="AB15" i="126"/>
  <c r="AC15" i="126"/>
  <c r="Q15" i="126"/>
  <c r="U33" i="126"/>
  <c r="AB31" i="126"/>
  <c r="Z29" i="126"/>
  <c r="T26" i="126"/>
  <c r="T24" i="126"/>
  <c r="Z19" i="126"/>
  <c r="AC38" i="126"/>
  <c r="AC37" i="126"/>
  <c r="AB36" i="126"/>
  <c r="AB35" i="126"/>
  <c r="R33" i="126"/>
  <c r="V31" i="126"/>
  <c r="T29" i="126"/>
  <c r="Z27" i="126"/>
  <c r="AA25" i="126"/>
  <c r="AA23" i="126"/>
  <c r="T19" i="126"/>
  <c r="V16" i="126"/>
  <c r="W37" i="126"/>
  <c r="V36" i="126"/>
  <c r="R31" i="126"/>
  <c r="U25" i="126"/>
  <c r="AA15" i="126"/>
  <c r="U38" i="126"/>
  <c r="AA38" i="126"/>
  <c r="V38" i="126"/>
  <c r="AB38" i="126"/>
  <c r="Q38" i="126"/>
  <c r="Y38" i="126"/>
  <c r="R38" i="126"/>
  <c r="Z38" i="126"/>
  <c r="S21" i="126"/>
  <c r="Y21" i="126"/>
  <c r="T21" i="126"/>
  <c r="Z21" i="126"/>
  <c r="U21" i="126"/>
  <c r="AA21" i="126"/>
  <c r="W21" i="126"/>
  <c r="AC21" i="126"/>
  <c r="Q21" i="126"/>
  <c r="R21" i="126"/>
  <c r="V20" i="126"/>
  <c r="AC36" i="126"/>
  <c r="T35" i="126"/>
  <c r="Z35" i="126"/>
  <c r="U35" i="126"/>
  <c r="AA35" i="126"/>
  <c r="W35" i="126"/>
  <c r="Q35" i="126"/>
  <c r="Y35" i="126"/>
  <c r="Q29" i="126"/>
  <c r="W29" i="126"/>
  <c r="AC29" i="126"/>
  <c r="R29" i="126"/>
  <c r="S29" i="126"/>
  <c r="Y29" i="126"/>
  <c r="U29" i="126"/>
  <c r="V29" i="126"/>
  <c r="AA29" i="126"/>
  <c r="AB29" i="126"/>
  <c r="R23" i="126"/>
  <c r="S23" i="126"/>
  <c r="Y23" i="126"/>
  <c r="T23" i="126"/>
  <c r="Z23" i="126"/>
  <c r="V23" i="126"/>
  <c r="W23" i="126"/>
  <c r="AB23" i="126"/>
  <c r="AC23" i="126"/>
  <c r="V18" i="126"/>
  <c r="AB18" i="126"/>
  <c r="Q18" i="126"/>
  <c r="W18" i="126"/>
  <c r="AC18" i="126"/>
  <c r="R18" i="126"/>
  <c r="Z18" i="126"/>
  <c r="AA18" i="126"/>
  <c r="Y18" i="126"/>
  <c r="S18" i="126"/>
  <c r="V39" i="126"/>
  <c r="AB39" i="126"/>
  <c r="Q39" i="126"/>
  <c r="W39" i="126"/>
  <c r="AC39" i="126"/>
  <c r="Y39" i="126"/>
  <c r="R39" i="126"/>
  <c r="Z39" i="126"/>
  <c r="S39" i="126"/>
  <c r="AA39" i="126"/>
  <c r="S33" i="126"/>
  <c r="Y33" i="126"/>
  <c r="T33" i="126"/>
  <c r="Z33" i="126"/>
  <c r="V33" i="126"/>
  <c r="W33" i="126"/>
  <c r="Q27" i="126"/>
  <c r="W27" i="126"/>
  <c r="AC27" i="126"/>
  <c r="R27" i="126"/>
  <c r="S27" i="126"/>
  <c r="Y27" i="126"/>
  <c r="U27" i="126"/>
  <c r="V27" i="126"/>
  <c r="AA27" i="126"/>
  <c r="AB27" i="126"/>
  <c r="U39" i="126"/>
  <c r="T38" i="126"/>
  <c r="T37" i="126"/>
  <c r="S36" i="126"/>
  <c r="S35" i="126"/>
  <c r="AC33" i="126"/>
  <c r="W30" i="126"/>
  <c r="Q25" i="126"/>
  <c r="Q23" i="126"/>
  <c r="V21" i="126"/>
  <c r="T18" i="126"/>
  <c r="S38" i="126"/>
  <c r="S37" i="126"/>
  <c r="W32" i="126"/>
  <c r="V30" i="126"/>
  <c r="V26" i="126"/>
  <c r="V24" i="126"/>
  <c r="W20" i="126"/>
  <c r="S34" i="126"/>
  <c r="Y34" i="126"/>
  <c r="T34" i="126"/>
  <c r="Z34" i="126"/>
  <c r="Q28" i="126"/>
  <c r="W28" i="126"/>
  <c r="AC28" i="126"/>
  <c r="R28" i="126"/>
  <c r="S28" i="126"/>
  <c r="Y28" i="126"/>
  <c r="AA28" i="126"/>
  <c r="AB28" i="126"/>
  <c r="R22" i="126"/>
  <c r="S22" i="126"/>
  <c r="Y22" i="126"/>
  <c r="T22" i="126"/>
  <c r="Z22" i="126"/>
  <c r="AB22" i="126"/>
  <c r="Q22" i="126"/>
  <c r="AC22" i="126"/>
  <c r="U17" i="126"/>
  <c r="AA17" i="126"/>
  <c r="V17" i="126"/>
  <c r="AB17" i="126"/>
  <c r="Q17" i="126"/>
  <c r="W17" i="126"/>
  <c r="AC17" i="126"/>
  <c r="S17" i="126"/>
  <c r="T17" i="126"/>
  <c r="Q14" i="126"/>
  <c r="W14" i="126"/>
  <c r="AC14" i="126"/>
  <c r="R14" i="126"/>
  <c r="S14" i="126"/>
  <c r="Y14" i="126"/>
  <c r="AA14" i="126"/>
  <c r="AB14" i="126"/>
  <c r="V34" i="126"/>
  <c r="Z28" i="126"/>
  <c r="AA22" i="126"/>
  <c r="Y17" i="126"/>
  <c r="Z14" i="126"/>
  <c r="AD34" i="126" l="1"/>
  <c r="AE31" i="126"/>
  <c r="N31" i="126" s="1"/>
  <c r="AD33" i="126"/>
  <c r="AE30" i="126"/>
  <c r="N30" i="126" s="1"/>
  <c r="AD18" i="126"/>
  <c r="AD23" i="126"/>
  <c r="AE29" i="126"/>
  <c r="N29" i="126" s="1"/>
  <c r="AE19" i="126"/>
  <c r="N19" i="126" s="1"/>
  <c r="AD20" i="126"/>
  <c r="AD37" i="126"/>
  <c r="AE39" i="126"/>
  <c r="N39" i="126" s="1"/>
  <c r="AD15" i="126"/>
  <c r="AE14" i="126"/>
  <c r="N14" i="126" s="1"/>
  <c r="AD17" i="126"/>
  <c r="AE34" i="126"/>
  <c r="N34" i="126" s="1"/>
  <c r="AD21" i="126"/>
  <c r="AE28" i="126"/>
  <c r="N28" i="126" s="1"/>
  <c r="AE24" i="126"/>
  <c r="N24" i="126" s="1"/>
  <c r="AD39" i="126"/>
  <c r="AE18" i="126"/>
  <c r="N18" i="126" s="1"/>
  <c r="AD27" i="126"/>
  <c r="AD31" i="126"/>
  <c r="AD28" i="126"/>
  <c r="AE33" i="126"/>
  <c r="N33" i="126" s="1"/>
  <c r="AD35" i="126"/>
  <c r="AE15" i="126"/>
  <c r="N15" i="126" s="1"/>
  <c r="AD24" i="126"/>
  <c r="AD30" i="126"/>
  <c r="AE25" i="126"/>
  <c r="N25" i="126" s="1"/>
  <c r="AE37" i="126"/>
  <c r="N37" i="126" s="1"/>
  <c r="AD16" i="126"/>
  <c r="AD32" i="126"/>
  <c r="AD38" i="126"/>
  <c r="AD29" i="126"/>
  <c r="AD36" i="126"/>
  <c r="AD25" i="126"/>
  <c r="AD26" i="126"/>
  <c r="AE27" i="126"/>
  <c r="N27" i="126" s="1"/>
  <c r="AE38" i="126"/>
  <c r="N38" i="126" s="1"/>
  <c r="AE36" i="126"/>
  <c r="N36" i="126" s="1"/>
  <c r="AE22" i="126"/>
  <c r="N22" i="126" s="1"/>
  <c r="AD14" i="126"/>
  <c r="AE23" i="126"/>
  <c r="N23" i="126" s="1"/>
  <c r="AE21" i="126"/>
  <c r="N21" i="126" s="1"/>
  <c r="Q13" i="126"/>
  <c r="W13" i="126"/>
  <c r="AC13" i="126"/>
  <c r="R13" i="126"/>
  <c r="S13" i="126"/>
  <c r="Y13" i="126"/>
  <c r="U13" i="126"/>
  <c r="V13" i="126"/>
  <c r="T13" i="126"/>
  <c r="Z13" i="126"/>
  <c r="AA13" i="126"/>
  <c r="AB13" i="126"/>
  <c r="AE17" i="126"/>
  <c r="N17" i="126" s="1"/>
  <c r="AD22" i="126"/>
  <c r="AE35" i="126"/>
  <c r="N35" i="126" s="1"/>
  <c r="AD19" i="126"/>
  <c r="AE26" i="126"/>
  <c r="N26" i="126" s="1"/>
  <c r="AE20" i="126"/>
  <c r="N20" i="126" s="1"/>
  <c r="AE16" i="126"/>
  <c r="N16" i="126" s="1"/>
  <c r="AE32" i="126"/>
  <c r="N32" i="126" s="1"/>
  <c r="AE13" i="126" l="1"/>
  <c r="N13" i="126" s="1"/>
  <c r="AD13" i="126"/>
  <c r="B5" i="150" l="1"/>
  <c r="B25" i="150" l="1"/>
  <c r="C25" i="150"/>
  <c r="B24" i="150"/>
  <c r="D24" i="150"/>
  <c r="B23" i="150"/>
  <c r="D23" i="150"/>
  <c r="C23" i="150"/>
  <c r="B22" i="150"/>
  <c r="D22" i="150"/>
  <c r="C22" i="150"/>
  <c r="N80" i="174"/>
  <c r="C21" i="150"/>
  <c r="R3" i="174"/>
  <c r="G90" i="169"/>
  <c r="C5" i="150"/>
  <c r="D5" i="150"/>
  <c r="B4" i="150"/>
  <c r="E22" i="168"/>
  <c r="H3" i="168" s="1"/>
  <c r="J80" i="174" l="1"/>
  <c r="M3" i="174" s="1"/>
  <c r="I80" i="174"/>
  <c r="M2" i="174" s="1"/>
  <c r="L80" i="174"/>
  <c r="I4" i="174" s="1"/>
  <c r="M80" i="174"/>
  <c r="M1" i="174" s="1"/>
  <c r="B21" i="150"/>
  <c r="I3" i="174"/>
  <c r="D21" i="150"/>
  <c r="I1" i="174"/>
  <c r="D25" i="150"/>
  <c r="D4" i="150"/>
  <c r="C24" i="150"/>
  <c r="C4" i="150"/>
  <c r="B3" i="150"/>
  <c r="D3" i="150"/>
  <c r="F11" i="168"/>
  <c r="A11" i="168" s="1"/>
  <c r="R3" i="169"/>
  <c r="C11" i="168"/>
  <c r="D11" i="168"/>
  <c r="C12" i="168"/>
  <c r="D12" i="168"/>
  <c r="F12" i="168" l="1"/>
  <c r="A12" i="168" s="1"/>
  <c r="H11" i="168"/>
  <c r="G11" i="168"/>
  <c r="E90" i="169"/>
  <c r="G12" i="168" l="1"/>
  <c r="H12" i="168"/>
  <c r="J90" i="169"/>
  <c r="K90" i="169"/>
  <c r="L90" i="169"/>
  <c r="M90" i="169"/>
  <c r="N90" i="169"/>
  <c r="N81" i="169"/>
  <c r="G81" i="169"/>
  <c r="H81" i="169"/>
  <c r="I81" i="169"/>
  <c r="J81" i="169"/>
  <c r="K81" i="169"/>
  <c r="L81" i="169"/>
  <c r="M81" i="169"/>
  <c r="E81" i="169"/>
  <c r="G25" i="169"/>
  <c r="H25" i="169"/>
  <c r="I25" i="169"/>
  <c r="J25" i="169"/>
  <c r="K25" i="169"/>
  <c r="L25" i="169"/>
  <c r="M25" i="169"/>
  <c r="N25" i="169"/>
  <c r="E25" i="169"/>
  <c r="N16" i="169"/>
  <c r="G16" i="169"/>
  <c r="H16" i="169"/>
  <c r="I16" i="169"/>
  <c r="J16" i="169"/>
  <c r="K16" i="169"/>
  <c r="L16" i="169"/>
  <c r="M16" i="169"/>
  <c r="E16" i="169"/>
  <c r="B11" i="150" l="1"/>
  <c r="N42" i="171"/>
  <c r="L42" i="171"/>
  <c r="G42" i="171"/>
  <c r="H42" i="171"/>
  <c r="I42" i="171"/>
  <c r="J42" i="171"/>
  <c r="K42" i="171"/>
  <c r="B10" i="150"/>
  <c r="N30" i="171"/>
  <c r="L30" i="171"/>
  <c r="G30" i="171"/>
  <c r="H30" i="171"/>
  <c r="I30" i="171"/>
  <c r="J30" i="171"/>
  <c r="K30" i="171"/>
  <c r="C10" i="150"/>
  <c r="N18" i="171"/>
  <c r="L18" i="171"/>
  <c r="K18" i="171"/>
  <c r="D9" i="150"/>
  <c r="H18" i="171"/>
  <c r="I18" i="171"/>
  <c r="J18" i="171"/>
  <c r="C9" i="150"/>
  <c r="N70" i="169"/>
  <c r="G68" i="171" l="1"/>
  <c r="H68" i="171"/>
  <c r="J68" i="171"/>
  <c r="B9" i="150"/>
  <c r="D10" i="150"/>
  <c r="D11" i="150"/>
  <c r="C11" i="150"/>
  <c r="N68" i="171"/>
  <c r="K68" i="171"/>
  <c r="L68" i="171"/>
  <c r="I68" i="171"/>
  <c r="G99" i="169"/>
  <c r="H99" i="169"/>
  <c r="I99" i="169"/>
  <c r="J99" i="169"/>
  <c r="K99" i="169"/>
  <c r="L99" i="169"/>
  <c r="M99" i="169"/>
  <c r="N99" i="169"/>
  <c r="E99" i="169"/>
  <c r="G61" i="169"/>
  <c r="H61" i="169"/>
  <c r="I61" i="169"/>
  <c r="J61" i="169"/>
  <c r="K61" i="169"/>
  <c r="L61" i="169"/>
  <c r="M61" i="169"/>
  <c r="N61" i="169"/>
  <c r="E61" i="169"/>
  <c r="G51" i="169"/>
  <c r="H51" i="169"/>
  <c r="I51" i="169"/>
  <c r="J51" i="169"/>
  <c r="K51" i="169"/>
  <c r="L51" i="169"/>
  <c r="M51" i="169"/>
  <c r="N51" i="169"/>
  <c r="E51" i="169"/>
  <c r="G42" i="169"/>
  <c r="H42" i="169"/>
  <c r="I42" i="169"/>
  <c r="J42" i="169"/>
  <c r="K42" i="169"/>
  <c r="L42" i="169"/>
  <c r="M42" i="169"/>
  <c r="N42" i="169"/>
  <c r="E42" i="169"/>
  <c r="G33" i="169"/>
  <c r="H33" i="169"/>
  <c r="I33" i="169"/>
  <c r="J33" i="169"/>
  <c r="K33" i="169"/>
  <c r="L33" i="169"/>
  <c r="M33" i="169"/>
  <c r="N33" i="169"/>
  <c r="E33" i="169"/>
  <c r="E70" i="169" l="1"/>
  <c r="M70" i="169" l="1"/>
  <c r="C23" i="130" l="1"/>
  <c r="C5" i="173"/>
  <c r="C7" i="173"/>
  <c r="F8" i="173"/>
  <c r="A8" i="173" s="1"/>
  <c r="D8" i="173"/>
  <c r="F7" i="173"/>
  <c r="A7" i="173" s="1"/>
  <c r="D7" i="173"/>
  <c r="F6" i="173"/>
  <c r="A6" i="173" s="1"/>
  <c r="D6" i="173"/>
  <c r="F5" i="173"/>
  <c r="A5" i="173" s="1"/>
  <c r="D5" i="173"/>
  <c r="C8" i="173"/>
  <c r="C6" i="173"/>
  <c r="G8" i="173" l="1"/>
  <c r="G6" i="173"/>
  <c r="H6" i="173"/>
  <c r="H5" i="173"/>
  <c r="G5" i="173"/>
  <c r="H8" i="173"/>
  <c r="G7" i="173"/>
  <c r="H7" i="173"/>
  <c r="B2" i="137" l="1"/>
  <c r="H9" i="173"/>
  <c r="G9" i="173"/>
  <c r="I1" i="173" s="1"/>
  <c r="O15" i="172"/>
  <c r="I3" i="172" s="1"/>
  <c r="N15" i="172"/>
  <c r="I4" i="172" s="1"/>
  <c r="L15" i="172"/>
  <c r="M1" i="172" s="1"/>
  <c r="K15" i="172"/>
  <c r="M3" i="172" s="1"/>
  <c r="J15" i="172"/>
  <c r="M2" i="172" s="1"/>
  <c r="I15" i="172"/>
  <c r="M4" i="172" s="1"/>
  <c r="H15" i="172"/>
  <c r="G15" i="172"/>
  <c r="I1" i="172" s="1"/>
  <c r="E15" i="172"/>
  <c r="I2" i="172" s="1"/>
  <c r="G70" i="169"/>
  <c r="G101" i="169" s="1"/>
  <c r="H70" i="169"/>
  <c r="I70" i="169"/>
  <c r="J70" i="169"/>
  <c r="K70" i="169"/>
  <c r="L70" i="169"/>
  <c r="S3" i="171"/>
  <c r="F21" i="168"/>
  <c r="A21" i="168" s="1"/>
  <c r="D21" i="168"/>
  <c r="C21" i="168"/>
  <c r="F20" i="168"/>
  <c r="A20" i="168" s="1"/>
  <c r="D20" i="168"/>
  <c r="C20" i="168"/>
  <c r="F19" i="168"/>
  <c r="A19" i="168" s="1"/>
  <c r="D19" i="168"/>
  <c r="C19" i="168"/>
  <c r="F18" i="168"/>
  <c r="A18" i="168" s="1"/>
  <c r="D18" i="168"/>
  <c r="C18" i="168"/>
  <c r="F17" i="168"/>
  <c r="A17" i="168" s="1"/>
  <c r="D17" i="168"/>
  <c r="C17" i="168"/>
  <c r="F16" i="168"/>
  <c r="A16" i="168" s="1"/>
  <c r="D16" i="168"/>
  <c r="C16" i="168"/>
  <c r="F15" i="168"/>
  <c r="A15" i="168" s="1"/>
  <c r="D15" i="168"/>
  <c r="C15" i="168"/>
  <c r="F14" i="168"/>
  <c r="A14" i="168" s="1"/>
  <c r="D14" i="168"/>
  <c r="C14" i="168"/>
  <c r="F13" i="168"/>
  <c r="A13" i="168" s="1"/>
  <c r="D13" i="168"/>
  <c r="C13" i="168"/>
  <c r="F10" i="168"/>
  <c r="A10" i="168" s="1"/>
  <c r="D10" i="168"/>
  <c r="C10" i="168"/>
  <c r="F9" i="168"/>
  <c r="A9" i="168" s="1"/>
  <c r="D9" i="168"/>
  <c r="C9" i="168"/>
  <c r="F8" i="168"/>
  <c r="A8" i="168" s="1"/>
  <c r="D8" i="168"/>
  <c r="C8" i="168"/>
  <c r="F7" i="168"/>
  <c r="A7" i="168" s="1"/>
  <c r="D7" i="168"/>
  <c r="C7" i="168"/>
  <c r="F6" i="168"/>
  <c r="A6" i="168" s="1"/>
  <c r="D6" i="168"/>
  <c r="C6" i="168"/>
  <c r="F5" i="168"/>
  <c r="A5" i="168" s="1"/>
  <c r="D5" i="168"/>
  <c r="C5" i="168"/>
  <c r="T3" i="126"/>
  <c r="S3" i="126"/>
  <c r="R3" i="126"/>
  <c r="S3" i="167"/>
  <c r="I1" i="169" l="1"/>
  <c r="M3" i="171"/>
  <c r="M2" i="171"/>
  <c r="I1" i="171"/>
  <c r="M4" i="171"/>
  <c r="I3" i="171"/>
  <c r="I2" i="171"/>
  <c r="M1" i="171"/>
  <c r="I4" i="171"/>
  <c r="S9" i="126"/>
  <c r="Y9" i="126"/>
  <c r="T9" i="126"/>
  <c r="Z9" i="126"/>
  <c r="U9" i="126"/>
  <c r="AA9" i="126"/>
  <c r="V9" i="126"/>
  <c r="AB9" i="126"/>
  <c r="W9" i="126"/>
  <c r="AC9" i="126"/>
  <c r="Q9" i="126"/>
  <c r="R9" i="126"/>
  <c r="V6" i="126"/>
  <c r="AB6" i="126"/>
  <c r="Q6" i="126"/>
  <c r="W6" i="126"/>
  <c r="AC6" i="126"/>
  <c r="R6" i="126"/>
  <c r="S6" i="126"/>
  <c r="Y6" i="126"/>
  <c r="Z6" i="126"/>
  <c r="AA6" i="126"/>
  <c r="T6" i="126"/>
  <c r="U6" i="126"/>
  <c r="Q11" i="126"/>
  <c r="W11" i="126"/>
  <c r="AC11" i="126"/>
  <c r="R11" i="126"/>
  <c r="S11" i="126"/>
  <c r="Y11" i="126"/>
  <c r="T11" i="126"/>
  <c r="Z11" i="126"/>
  <c r="U11" i="126"/>
  <c r="V11" i="126"/>
  <c r="AA11" i="126"/>
  <c r="AB11" i="126"/>
  <c r="V12" i="126"/>
  <c r="AB12" i="126"/>
  <c r="Q12" i="126"/>
  <c r="W12" i="126"/>
  <c r="AC12" i="126"/>
  <c r="R12" i="126"/>
  <c r="S12" i="126"/>
  <c r="Y12" i="126"/>
  <c r="T12" i="126"/>
  <c r="U12" i="126"/>
  <c r="Z12" i="126"/>
  <c r="AA12" i="126"/>
  <c r="T8" i="126"/>
  <c r="Z8" i="126"/>
  <c r="U8" i="126"/>
  <c r="AA8" i="126"/>
  <c r="V8" i="126"/>
  <c r="AB8" i="126"/>
  <c r="Q8" i="126"/>
  <c r="W8" i="126"/>
  <c r="AC8" i="126"/>
  <c r="R8" i="126"/>
  <c r="S8" i="126"/>
  <c r="Y8" i="126"/>
  <c r="R10" i="126"/>
  <c r="S10" i="126"/>
  <c r="Y10" i="126"/>
  <c r="T10" i="126"/>
  <c r="Z10" i="126"/>
  <c r="U10" i="126"/>
  <c r="AA10" i="126"/>
  <c r="AB10" i="126"/>
  <c r="AC10" i="126"/>
  <c r="Q10" i="126"/>
  <c r="V10" i="126"/>
  <c r="W10" i="126"/>
  <c r="U7" i="126"/>
  <c r="AA7" i="126"/>
  <c r="V7" i="126"/>
  <c r="AB7" i="126"/>
  <c r="Q7" i="126"/>
  <c r="W7" i="126"/>
  <c r="AC7" i="126"/>
  <c r="R7" i="126"/>
  <c r="S7" i="126"/>
  <c r="T7" i="126"/>
  <c r="Y7" i="126"/>
  <c r="Z7" i="126"/>
  <c r="N101" i="169"/>
  <c r="I101" i="169"/>
  <c r="M2" i="169" s="1"/>
  <c r="L101" i="169"/>
  <c r="J101" i="169"/>
  <c r="M101" i="169"/>
  <c r="M1" i="169" s="1"/>
  <c r="H101" i="169"/>
  <c r="K101" i="169"/>
  <c r="E101" i="169"/>
  <c r="I2" i="169" s="1"/>
  <c r="K4" i="167"/>
  <c r="M3" i="167"/>
  <c r="I1" i="167"/>
  <c r="M2" i="167"/>
  <c r="M4" i="167"/>
  <c r="G19" i="168"/>
  <c r="G7" i="168"/>
  <c r="G10" i="168"/>
  <c r="G13" i="168"/>
  <c r="G16" i="168"/>
  <c r="G5" i="168"/>
  <c r="H5" i="168"/>
  <c r="H9" i="168"/>
  <c r="G9" i="168"/>
  <c r="H14" i="168"/>
  <c r="G14" i="168"/>
  <c r="H17" i="168"/>
  <c r="G17" i="168"/>
  <c r="H20" i="168"/>
  <c r="G20" i="168"/>
  <c r="H6" i="168"/>
  <c r="G6" i="168"/>
  <c r="G8" i="168"/>
  <c r="H8" i="168"/>
  <c r="H15" i="168"/>
  <c r="G15" i="168"/>
  <c r="H18" i="168"/>
  <c r="G18" i="168"/>
  <c r="H21" i="168"/>
  <c r="G21" i="168"/>
  <c r="H10" i="168"/>
  <c r="H7" i="168"/>
  <c r="H16" i="168"/>
  <c r="H13" i="168"/>
  <c r="H19" i="168"/>
  <c r="D6" i="130"/>
  <c r="D7" i="130"/>
  <c r="D8" i="130"/>
  <c r="D9" i="130"/>
  <c r="D10" i="130"/>
  <c r="D11" i="130"/>
  <c r="D12" i="130"/>
  <c r="D13" i="130"/>
  <c r="D14" i="130"/>
  <c r="D15" i="130"/>
  <c r="D16" i="130"/>
  <c r="D17" i="130"/>
  <c r="D18" i="130"/>
  <c r="D19" i="130"/>
  <c r="D20" i="130"/>
  <c r="D21" i="130"/>
  <c r="D22" i="130"/>
  <c r="D23" i="130"/>
  <c r="D24" i="130"/>
  <c r="D25" i="130"/>
  <c r="D26" i="130"/>
  <c r="D27" i="130"/>
  <c r="D28" i="130"/>
  <c r="D29" i="130"/>
  <c r="D30" i="130"/>
  <c r="D31" i="130"/>
  <c r="D32" i="130"/>
  <c r="D33" i="130"/>
  <c r="D34" i="130"/>
  <c r="D35" i="130"/>
  <c r="D36" i="130"/>
  <c r="D37" i="130"/>
  <c r="D38" i="130"/>
  <c r="D39" i="130"/>
  <c r="D40" i="130"/>
  <c r="C6" i="130"/>
  <c r="C7" i="130"/>
  <c r="C8" i="130"/>
  <c r="C9" i="130"/>
  <c r="C10" i="130"/>
  <c r="C11" i="130"/>
  <c r="C12" i="130"/>
  <c r="C13" i="130"/>
  <c r="C14" i="130"/>
  <c r="C15" i="130"/>
  <c r="C16" i="130"/>
  <c r="C17" i="130"/>
  <c r="C18" i="130"/>
  <c r="C19" i="130"/>
  <c r="C20" i="130"/>
  <c r="C21" i="130"/>
  <c r="C22" i="130"/>
  <c r="C24" i="130"/>
  <c r="C25" i="130"/>
  <c r="C26" i="130"/>
  <c r="C27" i="130"/>
  <c r="C28" i="130"/>
  <c r="C29" i="130"/>
  <c r="C30" i="130"/>
  <c r="C31" i="130"/>
  <c r="C32" i="130"/>
  <c r="C33" i="130"/>
  <c r="C34" i="130"/>
  <c r="C35" i="130"/>
  <c r="C36" i="130"/>
  <c r="C37" i="130"/>
  <c r="C38" i="130"/>
  <c r="C39" i="130"/>
  <c r="C40" i="130"/>
  <c r="AD9" i="126" l="1"/>
  <c r="AD11" i="126"/>
  <c r="AD6" i="126"/>
  <c r="AE6" i="126"/>
  <c r="N6" i="126" s="1"/>
  <c r="AE9" i="126"/>
  <c r="N9" i="126" s="1"/>
  <c r="AE11" i="126"/>
  <c r="N11" i="126" s="1"/>
  <c r="AD7" i="126"/>
  <c r="AE10" i="126"/>
  <c r="N10" i="126" s="1"/>
  <c r="AD10" i="126"/>
  <c r="AE8" i="126"/>
  <c r="N8" i="126" s="1"/>
  <c r="AD8" i="126"/>
  <c r="AD12" i="126"/>
  <c r="AE12" i="126"/>
  <c r="N12" i="126" s="1"/>
  <c r="AE7" i="126"/>
  <c r="N7" i="126" s="1"/>
  <c r="I4" i="169"/>
  <c r="K4" i="169"/>
  <c r="M4" i="169"/>
  <c r="M3" i="169"/>
  <c r="I3" i="167"/>
  <c r="I3" i="169"/>
  <c r="L1" i="167"/>
  <c r="I4" i="167"/>
  <c r="H22" i="168"/>
  <c r="G22" i="168"/>
  <c r="I1" i="168" s="1"/>
  <c r="G31" i="130"/>
  <c r="A31" i="130" s="1"/>
  <c r="G32" i="130"/>
  <c r="A32" i="130" s="1"/>
  <c r="G33" i="130"/>
  <c r="A33" i="130" s="1"/>
  <c r="G34" i="130"/>
  <c r="A34" i="130" s="1"/>
  <c r="G35" i="130"/>
  <c r="A35" i="130" s="1"/>
  <c r="G30" i="130"/>
  <c r="A30" i="130" s="1"/>
  <c r="E29" i="135"/>
  <c r="D29" i="135"/>
  <c r="C29" i="135"/>
  <c r="G38" i="130"/>
  <c r="A38" i="130" s="1"/>
  <c r="G39" i="130"/>
  <c r="A39" i="130" s="1"/>
  <c r="I30" i="130" l="1"/>
  <c r="H35" i="130"/>
  <c r="I34" i="130"/>
  <c r="I33" i="130"/>
  <c r="H33" i="130"/>
  <c r="H34" i="130"/>
  <c r="I32" i="130"/>
  <c r="I31" i="130"/>
  <c r="H32" i="130"/>
  <c r="H30" i="130"/>
  <c r="I35" i="130"/>
  <c r="H31" i="130"/>
  <c r="H38" i="130"/>
  <c r="I38" i="130"/>
  <c r="H39" i="130"/>
  <c r="I39" i="130"/>
  <c r="H4" i="137" l="1"/>
  <c r="G4" i="137" s="1"/>
  <c r="I4" i="137" l="1"/>
  <c r="W3" i="126" l="1"/>
  <c r="G21" i="130" l="1"/>
  <c r="A21" i="130" s="1"/>
  <c r="G40" i="130"/>
  <c r="A40" i="130" s="1"/>
  <c r="G37" i="130"/>
  <c r="A37" i="130" s="1"/>
  <c r="G36" i="130"/>
  <c r="A36" i="130" s="1"/>
  <c r="G29" i="130"/>
  <c r="A29" i="130" s="1"/>
  <c r="G28" i="130"/>
  <c r="A28" i="130" s="1"/>
  <c r="G25" i="130" l="1"/>
  <c r="A25" i="130" s="1"/>
  <c r="AC3" i="126" l="1"/>
  <c r="AB3" i="126"/>
  <c r="AA3" i="126"/>
  <c r="Z3" i="126"/>
  <c r="Y3" i="126"/>
  <c r="V3" i="126"/>
  <c r="U3" i="126"/>
  <c r="G19" i="130" l="1"/>
  <c r="A19" i="130" s="1"/>
  <c r="G18" i="130"/>
  <c r="A18" i="130" s="1"/>
  <c r="G17" i="130"/>
  <c r="A17" i="130" s="1"/>
  <c r="G16" i="130"/>
  <c r="A16" i="130" s="1"/>
  <c r="G15" i="130"/>
  <c r="A15" i="130" s="1"/>
  <c r="G14" i="130"/>
  <c r="A14" i="130" s="1"/>
  <c r="G13" i="130"/>
  <c r="A13" i="130" s="1"/>
  <c r="G23" i="130"/>
  <c r="A23" i="130" s="1"/>
  <c r="G12" i="130"/>
  <c r="A12" i="130" s="1"/>
  <c r="G27" i="130"/>
  <c r="A27" i="130" s="1"/>
  <c r="G11" i="130"/>
  <c r="A11" i="130" s="1"/>
  <c r="G26" i="130"/>
  <c r="A26" i="130" s="1"/>
  <c r="G24" i="130"/>
  <c r="A24" i="130" s="1"/>
  <c r="G10" i="130"/>
  <c r="A10" i="130" s="1"/>
  <c r="G9" i="130"/>
  <c r="A9" i="130" s="1"/>
  <c r="G8" i="130"/>
  <c r="A8" i="130" s="1"/>
  <c r="G22" i="130"/>
  <c r="A22" i="130" s="1"/>
  <c r="G7" i="130"/>
  <c r="A7" i="130" s="1"/>
  <c r="G20" i="130"/>
  <c r="A20" i="130" s="1"/>
  <c r="G6" i="130"/>
  <c r="A6" i="130" s="1"/>
  <c r="G5" i="130"/>
  <c r="A5" i="130" s="1"/>
  <c r="H5" i="130" s="1"/>
  <c r="I37" i="130" l="1"/>
  <c r="I29" i="130"/>
  <c r="H28" i="130"/>
  <c r="H21" i="130"/>
  <c r="H29" i="130"/>
  <c r="I28" i="130"/>
  <c r="I36" i="130"/>
  <c r="H40" i="130"/>
  <c r="H37" i="130"/>
  <c r="I21" i="130"/>
  <c r="I40" i="130"/>
  <c r="H36" i="130"/>
  <c r="H25" i="130"/>
  <c r="I25" i="130"/>
  <c r="H17" i="130"/>
  <c r="H20" i="130"/>
  <c r="I10" i="130"/>
  <c r="I19" i="130"/>
  <c r="H26" i="130"/>
  <c r="H15" i="130"/>
  <c r="I11" i="130"/>
  <c r="I20" i="130"/>
  <c r="H7" i="130"/>
  <c r="I23" i="130"/>
  <c r="I15" i="130"/>
  <c r="H9" i="130"/>
  <c r="I27" i="130"/>
  <c r="I5" i="130"/>
  <c r="H11" i="130"/>
  <c r="H14" i="130"/>
  <c r="I6" i="130"/>
  <c r="I16" i="130"/>
  <c r="H24" i="130"/>
  <c r="I13" i="130"/>
  <c r="H19" i="130"/>
  <c r="I26" i="130"/>
  <c r="H6" i="130"/>
  <c r="H12" i="130"/>
  <c r="I24" i="130"/>
  <c r="I18" i="130"/>
  <c r="H8" i="130"/>
  <c r="I7" i="130"/>
  <c r="H10" i="130"/>
  <c r="I9" i="130"/>
  <c r="H27" i="130"/>
  <c r="H18" i="130"/>
  <c r="H23" i="130"/>
  <c r="I8" i="130"/>
  <c r="H13" i="130"/>
  <c r="H16" i="130"/>
  <c r="I17" i="130"/>
  <c r="I14" i="130"/>
  <c r="I22" i="130"/>
  <c r="I12" i="130"/>
  <c r="H22" i="130"/>
  <c r="AA5" i="126" l="1"/>
  <c r="U5" i="126"/>
  <c r="Z5" i="126"/>
  <c r="T5" i="126"/>
  <c r="X5" i="126"/>
  <c r="R5" i="126"/>
  <c r="AC5" i="126"/>
  <c r="W5" i="126"/>
  <c r="S5" i="126"/>
  <c r="AB5" i="126"/>
  <c r="Y5" i="126"/>
  <c r="V5" i="126"/>
  <c r="H41" i="130"/>
  <c r="I41" i="130"/>
  <c r="AE5" i="126" l="1"/>
  <c r="N5" i="126" s="1"/>
  <c r="AD5" i="126"/>
  <c r="D25" i="135"/>
  <c r="C25" i="135"/>
  <c r="J1" i="130"/>
  <c r="L6" i="137" l="1"/>
  <c r="L3" i="137"/>
  <c r="L11" i="137"/>
  <c r="L4" i="137"/>
  <c r="L8" i="137"/>
  <c r="L5" i="137"/>
  <c r="L9" i="137"/>
  <c r="L10" i="137"/>
  <c r="N3" i="137"/>
  <c r="N9" i="137"/>
  <c r="M9" i="137"/>
  <c r="N4" i="137"/>
  <c r="N6" i="137"/>
  <c r="N11" i="137"/>
  <c r="M3" i="137"/>
  <c r="M2" i="137"/>
  <c r="N5" i="137"/>
  <c r="N7" i="137"/>
  <c r="N10" i="137"/>
  <c r="M4" i="137"/>
  <c r="M6" i="137"/>
  <c r="M8" i="137"/>
  <c r="M11" i="137"/>
  <c r="N8" i="137"/>
  <c r="M5" i="137"/>
  <c r="M10" i="137"/>
  <c r="L22" i="137" l="1"/>
  <c r="S22" i="137" s="1"/>
  <c r="N23" i="137"/>
  <c r="M23" i="137"/>
  <c r="L23" i="137"/>
  <c r="M22" i="137"/>
  <c r="N22" i="137"/>
  <c r="O2" i="137"/>
  <c r="O9" i="137"/>
  <c r="N22" i="168"/>
  <c r="O4" i="137"/>
  <c r="O5" i="137"/>
  <c r="O3" i="137"/>
  <c r="O10" i="137"/>
  <c r="O6" i="137"/>
  <c r="O7" i="137"/>
  <c r="O8" i="137"/>
  <c r="O11" i="137"/>
  <c r="T22" i="137" l="1"/>
  <c r="L24" i="137"/>
  <c r="O22" i="137"/>
  <c r="S25" i="137"/>
  <c r="M24" i="137"/>
  <c r="N24" i="137"/>
  <c r="O23" i="137"/>
  <c r="K5" i="130"/>
  <c r="S26" i="137" l="1"/>
  <c r="U22" i="137"/>
  <c r="P21" i="130"/>
  <c r="J7" i="173"/>
  <c r="E16" i="130"/>
  <c r="L6" i="168"/>
  <c r="N15" i="130"/>
  <c r="O19" i="168"/>
  <c r="M31" i="130"/>
  <c r="O5" i="173"/>
  <c r="M14" i="130"/>
  <c r="K8" i="130"/>
  <c r="N29" i="130"/>
  <c r="E13" i="130"/>
  <c r="O20" i="130"/>
  <c r="K25" i="130"/>
  <c r="M36" i="130"/>
  <c r="I13" i="168"/>
  <c r="L38" i="130"/>
  <c r="L7" i="168"/>
  <c r="L33" i="130"/>
  <c r="L15" i="130"/>
  <c r="M12" i="130"/>
  <c r="M14" i="168"/>
  <c r="I17" i="168"/>
  <c r="O21" i="130"/>
  <c r="K10" i="130"/>
  <c r="O25" i="130"/>
  <c r="M8" i="130"/>
  <c r="L11" i="130"/>
  <c r="P5" i="130"/>
  <c r="J6" i="168"/>
  <c r="E32" i="130"/>
  <c r="M27" i="130"/>
  <c r="M20" i="130"/>
  <c r="L17" i="168"/>
  <c r="K24" i="130"/>
  <c r="E29" i="130"/>
  <c r="M6" i="173"/>
  <c r="O30" i="130"/>
  <c r="N28" i="130"/>
  <c r="K36" i="130"/>
  <c r="J16" i="168"/>
  <c r="P15" i="130"/>
  <c r="P19" i="130"/>
  <c r="J19" i="168"/>
  <c r="K11" i="130"/>
  <c r="O28" i="130"/>
  <c r="J17" i="130"/>
  <c r="J25" i="130"/>
  <c r="P12" i="130"/>
  <c r="L19" i="130"/>
  <c r="O11" i="130"/>
  <c r="J18" i="130"/>
  <c r="O12" i="168"/>
  <c r="J17" i="168"/>
  <c r="K23" i="130"/>
  <c r="N23" i="130"/>
  <c r="P11" i="130"/>
  <c r="O18" i="130"/>
  <c r="E7" i="173"/>
  <c r="E34" i="130"/>
  <c r="J26" i="130"/>
  <c r="O10" i="168"/>
  <c r="J10" i="168"/>
  <c r="L37" i="130"/>
  <c r="N34" i="130"/>
  <c r="M21" i="130"/>
  <c r="M11" i="130"/>
  <c r="E14" i="130"/>
  <c r="P18" i="130"/>
  <c r="L18" i="130"/>
  <c r="O36" i="130"/>
  <c r="L12" i="168"/>
  <c r="J6" i="173"/>
  <c r="L21" i="168"/>
  <c r="E20" i="130"/>
  <c r="M26" i="130"/>
  <c r="I6" i="168"/>
  <c r="M29" i="130"/>
  <c r="O6" i="168"/>
  <c r="O39" i="130"/>
  <c r="M5" i="168"/>
  <c r="P20" i="130"/>
  <c r="P9" i="130"/>
  <c r="L13" i="168"/>
  <c r="L10" i="130"/>
  <c r="N33" i="130"/>
  <c r="M37" i="130"/>
  <c r="N16" i="130"/>
  <c r="M8" i="173"/>
  <c r="L18" i="168"/>
  <c r="K16" i="130"/>
  <c r="M40" i="130"/>
  <c r="M17" i="168"/>
  <c r="O13" i="168"/>
  <c r="K13" i="168"/>
  <c r="J31" i="130"/>
  <c r="J15" i="130"/>
  <c r="I20" i="168"/>
  <c r="M24" i="130"/>
  <c r="M13" i="168"/>
  <c r="E25" i="130"/>
  <c r="O5" i="130"/>
  <c r="L11" i="168"/>
  <c r="J12" i="168"/>
  <c r="P33" i="130"/>
  <c r="I15" i="168"/>
  <c r="L9" i="130"/>
  <c r="M34" i="130"/>
  <c r="M9" i="130"/>
  <c r="N10" i="130"/>
  <c r="O6" i="173"/>
  <c r="M9" i="168"/>
  <c r="K17" i="130"/>
  <c r="J20" i="130"/>
  <c r="L35" i="130"/>
  <c r="O9" i="168"/>
  <c r="L32" i="130"/>
  <c r="E38" i="130"/>
  <c r="J14" i="168"/>
  <c r="L34" i="130"/>
  <c r="O11" i="168"/>
  <c r="K20" i="168"/>
  <c r="M23" i="130"/>
  <c r="M18" i="130"/>
  <c r="L24" i="130"/>
  <c r="M22" i="130"/>
  <c r="K6" i="173"/>
  <c r="O17" i="168"/>
  <c r="L20" i="168"/>
  <c r="I10" i="168"/>
  <c r="L29" i="130"/>
  <c r="K26" i="130"/>
  <c r="O31" i="130"/>
  <c r="O14" i="130"/>
  <c r="J21" i="130"/>
  <c r="M6" i="130"/>
  <c r="I7" i="173"/>
  <c r="L16" i="130"/>
  <c r="J7" i="130"/>
  <c r="N8" i="173"/>
  <c r="O18" i="168"/>
  <c r="J21" i="168"/>
  <c r="I19" i="168"/>
  <c r="L21" i="130"/>
  <c r="K31" i="130"/>
  <c r="O32" i="130"/>
  <c r="O7" i="130"/>
  <c r="J29" i="130"/>
  <c r="N9" i="130"/>
  <c r="E12" i="130"/>
  <c r="L36" i="130"/>
  <c r="N24" i="130"/>
  <c r="J5" i="168"/>
  <c r="K5" i="168"/>
  <c r="I5" i="173"/>
  <c r="I5" i="168"/>
  <c r="M5" i="173"/>
  <c r="E5" i="173"/>
  <c r="J18" i="168"/>
  <c r="L30" i="130"/>
  <c r="K12" i="130"/>
  <c r="E21" i="130"/>
  <c r="J38" i="130"/>
  <c r="E28" i="130"/>
  <c r="N8" i="130"/>
  <c r="N12" i="130"/>
  <c r="E6" i="173"/>
  <c r="K39" i="130"/>
  <c r="E15" i="130"/>
  <c r="O7" i="173"/>
  <c r="O5" i="168"/>
  <c r="L14" i="168"/>
  <c r="K18" i="168"/>
  <c r="L31" i="130"/>
  <c r="K18" i="130"/>
  <c r="E22" i="130"/>
  <c r="N39" i="130"/>
  <c r="E36" i="130"/>
  <c r="M17" i="130"/>
  <c r="N27" i="130"/>
  <c r="P6" i="130"/>
  <c r="K6" i="130"/>
  <c r="E9" i="130"/>
  <c r="K8" i="173"/>
  <c r="P32" i="130"/>
  <c r="L10" i="168"/>
  <c r="M18" i="168"/>
  <c r="L40" i="130"/>
  <c r="K19" i="130"/>
  <c r="O35" i="130"/>
  <c r="O12" i="130"/>
  <c r="E24" i="130"/>
  <c r="M19" i="130"/>
  <c r="N6" i="130"/>
  <c r="K37" i="130"/>
  <c r="E19" i="130"/>
  <c r="I8" i="173"/>
  <c r="P34" i="130"/>
  <c r="M16" i="168"/>
  <c r="K16" i="168"/>
  <c r="L8" i="130"/>
  <c r="K27" i="130"/>
  <c r="O33" i="130"/>
  <c r="O26" i="130"/>
  <c r="M25" i="130"/>
  <c r="J11" i="130"/>
  <c r="P16" i="130"/>
  <c r="K38" i="130"/>
  <c r="E11" i="130"/>
  <c r="N6" i="173"/>
  <c r="P31" i="130"/>
  <c r="J9" i="168"/>
  <c r="K21" i="168"/>
  <c r="L17" i="130"/>
  <c r="K32" i="130"/>
  <c r="J33" i="130"/>
  <c r="O22" i="130"/>
  <c r="N36" i="130"/>
  <c r="M16" i="130"/>
  <c r="K7" i="173"/>
  <c r="N32" i="130"/>
  <c r="J19" i="130"/>
  <c r="L5" i="168"/>
  <c r="N5" i="130"/>
  <c r="E8" i="173"/>
  <c r="P14" i="130"/>
  <c r="L9" i="168"/>
  <c r="K19" i="168"/>
  <c r="L39" i="130"/>
  <c r="K7" i="130"/>
  <c r="N35" i="130"/>
  <c r="J39" i="130"/>
  <c r="E23" i="130"/>
  <c r="J14" i="130"/>
  <c r="M7" i="130"/>
  <c r="P30" i="130"/>
  <c r="E35" i="130"/>
  <c r="E6" i="130"/>
  <c r="O8" i="173"/>
  <c r="P38" i="130"/>
  <c r="I9" i="168"/>
  <c r="J15" i="168"/>
  <c r="L28" i="130"/>
  <c r="K13" i="130"/>
  <c r="N30" i="130"/>
  <c r="O6" i="130"/>
  <c r="E26" i="130"/>
  <c r="J23" i="130"/>
  <c r="M10" i="130"/>
  <c r="O20" i="168"/>
  <c r="K40" i="130"/>
  <c r="E17" i="130"/>
  <c r="I6" i="173"/>
  <c r="P28" i="130"/>
  <c r="J8" i="168"/>
  <c r="K8" i="168"/>
  <c r="L7" i="130"/>
  <c r="K20" i="130"/>
  <c r="M30" i="130"/>
  <c r="O8" i="130"/>
  <c r="J36" i="130"/>
  <c r="J27" i="130"/>
  <c r="E18" i="130"/>
  <c r="J34" i="130"/>
  <c r="I11" i="168"/>
  <c r="J8" i="173"/>
  <c r="P29" i="130"/>
  <c r="M8" i="168"/>
  <c r="K15" i="168"/>
  <c r="L13" i="130"/>
  <c r="K28" i="130"/>
  <c r="J32" i="130"/>
  <c r="O24" i="130"/>
  <c r="J10" i="130"/>
  <c r="N18" i="130"/>
  <c r="P40" i="130"/>
  <c r="O34" i="130"/>
  <c r="E7" i="130"/>
  <c r="L6" i="173"/>
  <c r="P37" i="130"/>
  <c r="M21" i="168"/>
  <c r="K9" i="168"/>
  <c r="L14" i="130"/>
  <c r="K33" i="130"/>
  <c r="J35" i="130"/>
  <c r="O10" i="130"/>
  <c r="J40" i="130"/>
  <c r="N26" i="130"/>
  <c r="O7" i="168"/>
  <c r="O19" i="130"/>
  <c r="J16" i="130"/>
  <c r="E5" i="130"/>
  <c r="P39" i="130"/>
  <c r="M20" i="168"/>
  <c r="I8" i="168"/>
  <c r="L25" i="130"/>
  <c r="K14" i="130"/>
  <c r="M35" i="130"/>
  <c r="O29" i="130"/>
  <c r="J28" i="130"/>
  <c r="J8" i="130"/>
  <c r="N22" i="130"/>
  <c r="P23" i="130"/>
  <c r="J30" i="130"/>
  <c r="E10" i="130"/>
  <c r="O16" i="168"/>
  <c r="P25" i="130"/>
  <c r="I14" i="168"/>
  <c r="M7" i="168"/>
  <c r="L6" i="130"/>
  <c r="K21" i="130"/>
  <c r="M33" i="130"/>
  <c r="O23" i="130"/>
  <c r="M28" i="130"/>
  <c r="N7" i="130"/>
  <c r="L7" i="173"/>
  <c r="O38" i="130"/>
  <c r="I12" i="168"/>
  <c r="O15" i="168"/>
  <c r="P26" i="130"/>
  <c r="K17" i="168"/>
  <c r="M15" i="168"/>
  <c r="L12" i="130"/>
  <c r="K29" i="130"/>
  <c r="M39" i="130"/>
  <c r="E37" i="130"/>
  <c r="M13" i="130"/>
  <c r="N19" i="130"/>
  <c r="I16" i="168"/>
  <c r="N38" i="130"/>
  <c r="K11" i="168"/>
  <c r="P7" i="130"/>
  <c r="P27" i="130"/>
  <c r="M6" i="168"/>
  <c r="I18" i="168"/>
  <c r="L23" i="130"/>
  <c r="K34" i="130"/>
  <c r="E31" i="130"/>
  <c r="O27" i="130"/>
  <c r="N25" i="130"/>
  <c r="J12" i="130"/>
  <c r="P22" i="130"/>
  <c r="J24" i="130"/>
  <c r="L5" i="173"/>
  <c r="J5" i="130"/>
  <c r="M5" i="130"/>
  <c r="L5" i="130"/>
  <c r="J5" i="173"/>
  <c r="K5" i="173"/>
  <c r="N5" i="173"/>
  <c r="K14" i="168"/>
  <c r="O13" i="130"/>
  <c r="J11" i="168"/>
  <c r="M7" i="173"/>
  <c r="E8" i="130"/>
  <c r="N7" i="173"/>
  <c r="P35" i="130"/>
  <c r="J20" i="168"/>
  <c r="K10" i="168"/>
  <c r="L26" i="130"/>
  <c r="K9" i="130"/>
  <c r="E30" i="130"/>
  <c r="O9" i="130"/>
  <c r="N37" i="130"/>
  <c r="J13" i="130"/>
  <c r="J22" i="130"/>
  <c r="J13" i="168"/>
  <c r="E27" i="130"/>
  <c r="K12" i="168"/>
  <c r="O8" i="168"/>
  <c r="P36" i="130"/>
  <c r="M19" i="168"/>
  <c r="L16" i="168"/>
  <c r="L27" i="130"/>
  <c r="K15" i="130"/>
  <c r="M32" i="130"/>
  <c r="O15" i="130"/>
  <c r="N40" i="130"/>
  <c r="J9" i="130"/>
  <c r="N13" i="130"/>
  <c r="I7" i="168"/>
  <c r="O40" i="130"/>
  <c r="M11" i="168"/>
  <c r="P8" i="130"/>
  <c r="P24" i="130"/>
  <c r="I21" i="168"/>
  <c r="K6" i="168"/>
  <c r="L22" i="130"/>
  <c r="K22" i="130"/>
  <c r="E33" i="130"/>
  <c r="O17" i="130"/>
  <c r="J37" i="130"/>
  <c r="N17" i="130"/>
  <c r="O14" i="168"/>
  <c r="E40" i="130"/>
  <c r="L8" i="173"/>
  <c r="P17" i="130"/>
  <c r="P10" i="130"/>
  <c r="L19" i="168"/>
  <c r="J7" i="168"/>
  <c r="K30" i="130"/>
  <c r="N31" i="130"/>
  <c r="M38" i="130"/>
  <c r="N21" i="130"/>
  <c r="M15" i="130"/>
  <c r="N14" i="130"/>
  <c r="L15" i="168"/>
  <c r="O16" i="130"/>
  <c r="M12" i="168"/>
  <c r="O21" i="168"/>
  <c r="P13" i="130"/>
  <c r="M10" i="168"/>
  <c r="K7" i="168"/>
  <c r="L20" i="130"/>
  <c r="K35" i="130"/>
  <c r="E39" i="130"/>
  <c r="O37" i="130"/>
  <c r="J6" i="130"/>
  <c r="N11" i="130"/>
  <c r="L8" i="168"/>
  <c r="N20" i="130"/>
  <c r="K9" i="173" l="1"/>
  <c r="L3" i="173" s="1"/>
  <c r="J9" i="173"/>
  <c r="L2" i="173" s="1"/>
  <c r="M22" i="168"/>
  <c r="H2" i="168" s="1"/>
  <c r="O41" i="130"/>
  <c r="K41" i="130"/>
  <c r="M2" i="130" s="1"/>
  <c r="I22" i="168"/>
  <c r="J2" i="168" s="1"/>
  <c r="L41" i="130"/>
  <c r="M3" i="130" s="1"/>
  <c r="I9" i="173"/>
  <c r="J2" i="173" s="1"/>
  <c r="M41" i="130"/>
  <c r="K3" i="130" s="1"/>
  <c r="E41" i="130"/>
  <c r="I3" i="130" s="1"/>
  <c r="K22" i="168"/>
  <c r="L3" i="168" s="1"/>
  <c r="J41" i="130"/>
  <c r="K2" i="130" s="1"/>
  <c r="J22" i="168"/>
  <c r="L2" i="168" s="1"/>
  <c r="N9" i="173"/>
  <c r="L9" i="173"/>
  <c r="J3" i="173" s="1"/>
  <c r="N41" i="130"/>
  <c r="I2" i="130" s="1"/>
  <c r="E9" i="173"/>
  <c r="H3" i="173" s="1"/>
  <c r="L22" i="168"/>
  <c r="J3" i="168" s="1"/>
  <c r="M9" i="173"/>
  <c r="H2" i="173" s="1"/>
  <c r="I2" i="167"/>
  <c r="C3" i="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Barrozo Di Renzo</author>
    <author>Katia De Fatima Boaventura De Souza</author>
  </authors>
  <commentList>
    <comment ref="A9" authorId="0" shapeId="0" xr:uid="{8A91E25D-416B-4990-B397-366443587732}">
      <text>
        <r>
          <rPr>
            <sz val="9"/>
            <color indexed="81"/>
            <rFont val="Segoe UI"/>
            <family val="2"/>
          </rPr>
          <t xml:space="preserve">Caso apareça saudo no A105, fazer a transferencia de carreta
</t>
        </r>
      </text>
    </comment>
    <comment ref="A10" authorId="0" shapeId="0" xr:uid="{5A7946C7-6CD1-43BB-A6C5-5E6998ADA235}">
      <text>
        <r>
          <rPr>
            <sz val="9"/>
            <color indexed="81"/>
            <rFont val="Segoe UI"/>
            <family val="2"/>
          </rPr>
          <t xml:space="preserve">Após a liberação dos arquivos no grupo do teams
</t>
        </r>
      </text>
    </comment>
    <comment ref="A12" authorId="0" shapeId="0" xr:uid="{899CFDB4-55D3-49BC-B82D-E27EB9F94802}">
      <text>
        <r>
          <rPr>
            <b/>
            <sz val="9"/>
            <color indexed="81"/>
            <rFont val="Segoe UI"/>
            <family val="2"/>
          </rPr>
          <t>Inicio baixa picking, fazer após o envio da produtividade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8" authorId="1" shapeId="0" xr:uid="{1E9BF204-2749-499A-A4AB-5F89978A8A6F}">
      <text>
        <r>
          <rPr>
            <sz val="9"/>
            <color indexed="81"/>
            <rFont val="Segoe UI"/>
            <family val="2"/>
          </rPr>
          <t xml:space="preserve">ISSO GERA MINUTA
</t>
        </r>
      </text>
    </comment>
    <comment ref="A34" authorId="0" shapeId="0" xr:uid="{CF3069A5-5325-48B9-87D0-7AB0637EA9B7}">
      <text>
        <r>
          <rPr>
            <sz val="9"/>
            <color indexed="81"/>
            <rFont val="Segoe UI"/>
            <family val="2"/>
          </rPr>
          <t xml:space="preserve">Abinha vermenha onde atualiza clicando nas engrenagens
</t>
        </r>
      </text>
    </comment>
    <comment ref="A35" authorId="0" shapeId="0" xr:uid="{2376323C-12FB-4A71-9EFB-1088E031F6E0}">
      <text>
        <r>
          <rPr>
            <b/>
            <sz val="9"/>
            <color indexed="81"/>
            <rFont val="Segoe UI"/>
            <family val="2"/>
          </rPr>
          <t xml:space="preserve">Relatorio feito pelo SALESFORCE COMPLETÃO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36" authorId="0" shapeId="0" xr:uid="{3FF7DE9A-626A-4059-B676-CF4B768314BB}">
      <text>
        <r>
          <rPr>
            <sz val="9"/>
            <color indexed="81"/>
            <rFont val="Segoe UI"/>
            <family val="2"/>
          </rPr>
          <t xml:space="preserve">E-mail resumo Logistica Reversa após tudo atualizado
</t>
        </r>
      </text>
    </comment>
    <comment ref="A37" authorId="1" shapeId="0" xr:uid="{46D7DC58-DB9F-4BD1-962C-E62F231A1D6B}">
      <text>
        <r>
          <rPr>
            <b/>
            <sz val="9"/>
            <color indexed="81"/>
            <rFont val="Segoe UI"/>
            <family val="2"/>
          </rPr>
          <t xml:space="preserve">esses dessa cor podem ser feito mesmo sem ter feito a puxada então enquanto espera liberar pode fazer isso.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38" authorId="0" shapeId="0" xr:uid="{1DA8FC7D-154B-40BC-B3AC-346DE89E9E38}">
      <text>
        <r>
          <rPr>
            <b/>
            <sz val="9"/>
            <color indexed="81"/>
            <rFont val="Segoe UI"/>
            <family val="2"/>
          </rPr>
          <t xml:space="preserve">Caso precise alterar status, esperar 1h para poder dar entrada nas NF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39" authorId="0" shapeId="0" xr:uid="{5D347818-E6A0-4A34-9325-F836E5E9F1E6}">
      <text>
        <r>
          <rPr>
            <sz val="9"/>
            <color indexed="81"/>
            <rFont val="Segoe UI"/>
            <family val="2"/>
          </rPr>
          <t xml:space="preserve">Italo faz durante o dia e deixa em cima da minha mesa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Romulo Santos</author>
  </authors>
  <commentList>
    <comment ref="B29" authorId="0" shapeId="0" xr:uid="{C37AD021-23FF-4EF8-A7A1-14CE26F081CF}">
      <text>
        <r>
          <rPr>
            <b/>
            <sz val="9"/>
            <color indexed="81"/>
            <rFont val="Segoe UI"/>
            <family val="2"/>
          </rPr>
          <t>Romulo Santos:</t>
        </r>
        <r>
          <rPr>
            <sz val="9"/>
            <color indexed="81"/>
            <rFont val="Segoe UI"/>
            <family val="2"/>
          </rPr>
          <t xml:space="preserve">
Colocar aqui o COD 04 digitos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<sst xmlns="http://schemas.openxmlformats.org/spreadsheetml/2006/main" count="13794" uniqueCount="908">
  <si>
    <t>CM TRANSPORTES</t>
  </si>
  <si>
    <t>Milheiros</t>
  </si>
  <si>
    <t>Local exportar:</t>
  </si>
  <si>
    <t>C:\Users\85195743\OneDrive - BAT\EstoqueCuritiba - Backup Arquivos Estoque\Noturno</t>
  </si>
  <si>
    <t>PARA TRANSMIT</t>
  </si>
  <si>
    <t>alessandro.rangel@bat.com; bruna_mayara_dos_santos@bat.com; cleitomarinho@hotmail.com;Ludmila Ferreira Phelipe &lt;ludmila_ferreira_phelipe@bat.com&gt;</t>
  </si>
  <si>
    <t>Data da Entrega:</t>
  </si>
  <si>
    <t>GARRAFAS</t>
  </si>
  <si>
    <t>ICE</t>
  </si>
  <si>
    <t>Everlast 473 ML</t>
  </si>
  <si>
    <t>Local da base:</t>
  </si>
  <si>
    <t>CÓPIA TRANSMIT</t>
  </si>
  <si>
    <t>EstoqueCDCuritiba@bat.onmicrosoft.com; Celso Oliveira &lt;celso.oliveira@comfrio.com.br&gt;; Leonardo Pinto &lt;lpinto@comfrio.com.br&gt;</t>
  </si>
  <si>
    <t>VOLUMES</t>
  </si>
  <si>
    <t>ALCOOL</t>
  </si>
  <si>
    <t>Everlast 269 ML</t>
  </si>
  <si>
    <t>Nome Arquivo</t>
  </si>
  <si>
    <t>CE</t>
  </si>
  <si>
    <t>Destino</t>
  </si>
  <si>
    <t>Volumes</t>
  </si>
  <si>
    <t>Data Entrega</t>
  </si>
  <si>
    <t xml:space="preserve"> Nº NF</t>
  </si>
  <si>
    <t xml:space="preserve">Smirnoff ice </t>
  </si>
  <si>
    <t>Alcool</t>
  </si>
  <si>
    <t>Garrafas</t>
  </si>
  <si>
    <t>Garrafeiras</t>
  </si>
  <si>
    <t>PALLET . VAN?</t>
  </si>
  <si>
    <t>C470975</t>
  </si>
  <si>
    <t>C470204</t>
  </si>
  <si>
    <t>C470705</t>
  </si>
  <si>
    <t>C470753</t>
  </si>
  <si>
    <t>MIL</t>
  </si>
  <si>
    <t>Analista Responsavel:</t>
  </si>
  <si>
    <t>COMFRIO</t>
  </si>
  <si>
    <t>RESPONSÁVEL PELO RECEBIMENTO</t>
  </si>
  <si>
    <t>TRANSMIT</t>
  </si>
  <si>
    <t>C:\Users\85046594\Desktop\ARQUIVOS DE PUXADA\MINUTAS\</t>
  </si>
  <si>
    <t>alessandro.rangel@bat.com; arielson@transmit.com.br; Gabriele.tmb@gmail.com; Rogersoares.tmb@gmail.com; ludmila_ferreira_phelipe@bat.com; monitoramento@transmit.com.br</t>
  </si>
  <si>
    <t>EstoqueCDCuritiba@bat.onmicrosoft.com; Celso Oliveira &lt;celso.oliveira@comfrio.com.br&gt;; Leonardo Pinto &lt;lpinto@comfrio.com.br&gt;; Marcio Terajima &lt;mterajima@comfrio.com.br&gt;</t>
  </si>
  <si>
    <t>C470808</t>
  </si>
  <si>
    <t>C470823</t>
  </si>
  <si>
    <t>C470824</t>
  </si>
  <si>
    <t>C470809</t>
  </si>
  <si>
    <t>C470810</t>
  </si>
  <si>
    <t>C470825</t>
  </si>
  <si>
    <t>C470826</t>
  </si>
  <si>
    <t>C470747</t>
  </si>
  <si>
    <t>C470827</t>
  </si>
  <si>
    <t>C470828</t>
  </si>
  <si>
    <t>C470752</t>
  </si>
  <si>
    <t>C470844</t>
  </si>
  <si>
    <t>C470867</t>
  </si>
  <si>
    <t>C470748</t>
  </si>
  <si>
    <t>C470751</t>
  </si>
  <si>
    <t>C470739</t>
  </si>
  <si>
    <t>C470022</t>
  </si>
  <si>
    <t>Data de Entrega</t>
  </si>
  <si>
    <t>Data de Picking</t>
  </si>
  <si>
    <t>Transportation Planning Point</t>
  </si>
  <si>
    <t>Doc. Transp</t>
  </si>
  <si>
    <t>Quantidade De Remessas</t>
  </si>
  <si>
    <t>Carro de Entreg</t>
  </si>
  <si>
    <t>Van desc.</t>
  </si>
  <si>
    <t>Prioridade Carro de Entrega</t>
  </si>
  <si>
    <t>Linha</t>
  </si>
  <si>
    <t>Carga por Pallet / Van</t>
  </si>
  <si>
    <t>Status</t>
  </si>
  <si>
    <t>Versão</t>
  </si>
  <si>
    <t>Qtd Total Pick em TH</t>
  </si>
  <si>
    <t>Qtd Pick de Cigarros em TH</t>
  </si>
  <si>
    <t>Qtd Pick Outros</t>
  </si>
  <si>
    <t>3PL</t>
  </si>
  <si>
    <t>DBR1</t>
  </si>
  <si>
    <t>BR219600</t>
  </si>
  <si>
    <t>ON1</t>
  </si>
  <si>
    <t>P</t>
  </si>
  <si>
    <t>C</t>
  </si>
  <si>
    <t>BR219603</t>
  </si>
  <si>
    <t>BR219599</t>
  </si>
  <si>
    <t>Remessas:</t>
  </si>
  <si>
    <t>BR219605</t>
  </si>
  <si>
    <t>Volume:</t>
  </si>
  <si>
    <t>BR219606</t>
  </si>
  <si>
    <t>BR219601</t>
  </si>
  <si>
    <t>BR075522</t>
  </si>
  <si>
    <t>V</t>
  </si>
  <si>
    <t>BR075549</t>
  </si>
  <si>
    <t>BR075802</t>
  </si>
  <si>
    <t>BR075781</t>
  </si>
  <si>
    <t>BR075950</t>
  </si>
  <si>
    <t>BR075598</t>
  </si>
  <si>
    <t>BR075727</t>
  </si>
  <si>
    <t>BR075485</t>
  </si>
  <si>
    <t>BR075564</t>
  </si>
  <si>
    <t>BR075488</t>
  </si>
  <si>
    <t>BR075494</t>
  </si>
  <si>
    <t>BR075517</t>
  </si>
  <si>
    <t>BR442235</t>
  </si>
  <si>
    <t>BR442233</t>
  </si>
  <si>
    <t>BR442236</t>
  </si>
  <si>
    <t>BR442237</t>
  </si>
  <si>
    <t>BR442243</t>
  </si>
  <si>
    <t/>
  </si>
  <si>
    <t>Centro</t>
  </si>
  <si>
    <t>Puxada</t>
  </si>
  <si>
    <t>Data</t>
  </si>
  <si>
    <t>CodigoSKU</t>
  </si>
  <si>
    <t>SKU</t>
  </si>
  <si>
    <t>Carro</t>
  </si>
  <si>
    <t>Carga</t>
  </si>
  <si>
    <t>DataEntregaCarro</t>
  </si>
  <si>
    <t>DocumentoTransporte</t>
  </si>
  <si>
    <t>BRAZ</t>
  </si>
  <si>
    <t>DUNHILL IN BLUE BOX EG</t>
  </si>
  <si>
    <t>R075485</t>
  </si>
  <si>
    <t>ROTHMANS HAND SELEC CORE BLUE BOX HW25</t>
  </si>
  <si>
    <t>DUNHILL IN RED BOX EG</t>
  </si>
  <si>
    <t>DUNHILL VOYAGE MIX REFRESH BOX</t>
  </si>
  <si>
    <t>DUNHILL VOYAGE ICE REFRESH BOX</t>
  </si>
  <si>
    <t>LUCKY STRIKE AMERICAN ORIGINAL BOX HW25</t>
  </si>
  <si>
    <t>ROTHMANS  Hand Selected Silver BOX HW25</t>
  </si>
  <si>
    <t>ISQ BIC MIN C/6 (ONU1057-ISQUEIRO GAS)</t>
  </si>
  <si>
    <t>ROTH LONDON LOUIS ORIG GLOB BLUE BOX REV</t>
  </si>
  <si>
    <t>ROTH LONDON LOUIS ORIG GLOB RED BOX</t>
  </si>
  <si>
    <t>ISQ BIC MAX C/6 (ONU1057-ISQUEIRO GAS)</t>
  </si>
  <si>
    <t>ROTHMANS LONDON 1890 D.CLICK MAX BOX POS</t>
  </si>
  <si>
    <t>ROTHMANS HAND SELECTED CORE BLUE BOX BFC</t>
  </si>
  <si>
    <t>ROTHMANS LOND 1890 GLOBAL BLUE BOX BFC</t>
  </si>
  <si>
    <t>DUNHILL CARLTON BLEND 2.0 BOX 10X1</t>
  </si>
  <si>
    <t>DUNHILL BLUE BLEND 2.0 BOX 10X1</t>
  </si>
  <si>
    <t>DUNHILL VOYAGE DOUBLE REFRESH BOX</t>
  </si>
  <si>
    <t>DUNHILL INSIGNIA RED BOX BFC</t>
  </si>
  <si>
    <t>KENT Prata BOX HW25</t>
  </si>
  <si>
    <t>ROTH LONDON INTERN CLICK SENSE BOX HW25</t>
  </si>
  <si>
    <t>ROTHMANS LONDON INT BLUE BOX HW25</t>
  </si>
  <si>
    <t>ROTH LONDON 1890 WHTE CLAS BLUE BOX HW25</t>
  </si>
  <si>
    <t>LUCKY STRIKE  FRESH ICE BOX HW25</t>
  </si>
  <si>
    <t>DUNHILL EVOQUE TABACO BLEND BOX HW25</t>
  </si>
  <si>
    <t>ROTH LONDON 1890 PURPLE BOOST BOX HW25</t>
  </si>
  <si>
    <t>ROTH LONDON 1890 WHTE CLAS RED BOX HW25</t>
  </si>
  <si>
    <t>ROTHMANS  Hand Selected Red   BOX HW25</t>
  </si>
  <si>
    <t>LUCKY STRIKE FRESH MINT X BOX HW25</t>
  </si>
  <si>
    <t>LUCKY STRIKE AMERICAN ORIGINAL MACO HW25</t>
  </si>
  <si>
    <t>Kent Pro Blue BOX HW25</t>
  </si>
  <si>
    <t>LUCKY STRIKE PURPLE MIX BOX HW25</t>
  </si>
  <si>
    <t>LUCKY BLUE PATTERSONFOUND1871 BOX HW25</t>
  </si>
  <si>
    <t>LUCKY BLUE AMERICAN ORIGINAL BOX HW25</t>
  </si>
  <si>
    <t>Kent Pro Red BOX HW25</t>
  </si>
  <si>
    <t>LUCKY STRIKE RED MIX BOX HW25</t>
  </si>
  <si>
    <t>ROTH London 1890 Tropical Boost BOX HW25</t>
  </si>
  <si>
    <t>KENT AZUL SC HW25 MACO</t>
  </si>
  <si>
    <t>LUCKY RED R.A PATTER. 1871 BOX HW25 5x2</t>
  </si>
  <si>
    <t>Kent Pro Silver BOX HW25</t>
  </si>
  <si>
    <t>LUCKY STRIKE DOUBLE CLICK BOX</t>
  </si>
  <si>
    <t>ROTHMANS GLOBAL SILVER ORIGINAL BOX</t>
  </si>
  <si>
    <t>ROTH LONDON LOUIS ORIG GLOB BLUEBOX POLI</t>
  </si>
  <si>
    <t>LUCKY STRIKE  FRESH DOUBLE ICE BOX HW25</t>
  </si>
  <si>
    <t>LAMINA BARB D.FIO WILKINSON C3 OS</t>
  </si>
  <si>
    <t>R075488</t>
  </si>
  <si>
    <t>PILHA Zn AA4 RAY 48 CART 4 SM 192 10842</t>
  </si>
  <si>
    <t>PILHA ZINCO AA4 RAY 28 TUBO 48 CM 1344</t>
  </si>
  <si>
    <t>PILHA ZINCO AAA4 RAY 32 TUBO 40 CM 1280</t>
  </si>
  <si>
    <t>ROTHMANS HAND SELEC CORE BLUE MACO HW2</t>
  </si>
  <si>
    <t>KENT VERMELHO MACO</t>
  </si>
  <si>
    <t>KENT PRATA MACO HW25</t>
  </si>
  <si>
    <t>TREVO TABACO NATURAL 45G EURO - 13P HW25</t>
  </si>
  <si>
    <t>Kent Mix Purple Twist BOX 5X2</t>
  </si>
  <si>
    <t>FINI DENTADURAS 24X12X15G</t>
  </si>
  <si>
    <t>FINI GELATINA BEIJOS</t>
  </si>
  <si>
    <t>PAPEL TREVO PRC</t>
  </si>
  <si>
    <t>R075494</t>
  </si>
  <si>
    <t>LUCKY BLUE AMERICAN ORIGINAL MACO HW25</t>
  </si>
  <si>
    <t>DUNHILL OF LONDON CARLTON BLEND BOX BFC</t>
  </si>
  <si>
    <t>KENT Azul BOX HW25</t>
  </si>
  <si>
    <t>LUCKY RED RA PATTERSON 1871 MACO HW25</t>
  </si>
  <si>
    <t>LUCKY BLUE RA PATTERSON 1871 MACO HW25</t>
  </si>
  <si>
    <t>Kent Mix Red Twist BOX 5X2</t>
  </si>
  <si>
    <t>Kent Mix Green Twist BOX 5X2</t>
  </si>
  <si>
    <t>FINI BANANAS 24X12X15G</t>
  </si>
  <si>
    <t>Mais Mu ChocoWheyfer Paçoquita</t>
  </si>
  <si>
    <t>AP BARB PRESTO 2 FIXO 24UNID + 2PB3 CHAM</t>
  </si>
  <si>
    <t>R075517</t>
  </si>
  <si>
    <t>ROTH LONDON INTERN DOUBLE CLICK BOX HW25</t>
  </si>
  <si>
    <t>ROTH LONDON 1890 GLOBAL BLUE BOX HW25</t>
  </si>
  <si>
    <t>BIC DECOR FUN c/6</t>
  </si>
  <si>
    <t>BIC DECOR TREND c/6</t>
  </si>
  <si>
    <t>PILHA Zn AAA4 RAY 24 CART 4 SM 96 10307</t>
  </si>
  <si>
    <t>ROTHMANS HAND SELECTED SILVER MACO HW25</t>
  </si>
  <si>
    <t>LUCKY STRIKE FRESH WILD BOX HW25</t>
  </si>
  <si>
    <t>R075549</t>
  </si>
  <si>
    <t>BIC COMFORT 2 C/12</t>
  </si>
  <si>
    <t>R075564</t>
  </si>
  <si>
    <t>DUNHILL IN FULL RED BOX EG</t>
  </si>
  <si>
    <t>TUBES MORANGO CITRICO 12X12X15G</t>
  </si>
  <si>
    <t>Bolinho Duplo Chocolate Bauducco</t>
  </si>
  <si>
    <t>Bolinho Laranja Bauducco 9x16x40g</t>
  </si>
  <si>
    <t>R075598</t>
  </si>
  <si>
    <t>BIC SENSITIVE C/12</t>
  </si>
  <si>
    <t>R075727</t>
  </si>
  <si>
    <t>BIC COMFORT 3 C/12</t>
  </si>
  <si>
    <t>LUCKY STRIKE BLUE CLICK BOX HW25</t>
  </si>
  <si>
    <t>AP BARB PROBAKII 28 UNID</t>
  </si>
  <si>
    <t>AP BAR PRESTO UG FIXO c/24</t>
  </si>
  <si>
    <t>ISQUEIRO BIC MAXI BERÇO 50</t>
  </si>
  <si>
    <t>TUBES MORANGO 12X12X15G</t>
  </si>
  <si>
    <t>TUBES PINTA LINGUA 12X12X15G</t>
  </si>
  <si>
    <t>AP BARB GILLETTE PRESTO3 CHAMPIONS C/12</t>
  </si>
  <si>
    <t>BOBINA PREMIUM 48g C/10</t>
  </si>
  <si>
    <t>R219601</t>
  </si>
  <si>
    <t>R219603</t>
  </si>
  <si>
    <t>R219606</t>
  </si>
  <si>
    <t>Roll Chocolate Bauducco 6x15x34g</t>
  </si>
  <si>
    <t>MAISMU BEBIDA BAUNILHA C/12</t>
  </si>
  <si>
    <t>Mais Mu Bebida Pronta Choco 250ml c/12</t>
  </si>
  <si>
    <t>MAISMU BEBIDA MORANGO C/12</t>
  </si>
  <si>
    <t>PAPEL COLOMY PRC</t>
  </si>
  <si>
    <t>GUARAPUAVA</t>
  </si>
  <si>
    <t>Milheiros:</t>
  </si>
  <si>
    <t>Garrafeiras:</t>
  </si>
  <si>
    <t>PARA PG</t>
  </si>
  <si>
    <t>Tatiana Miranda &lt;tatiana.miranda@bat.com&gt;; Anelise Brusamolin &lt;anelise_brusamolin@bat.com&gt;; Maria Eduarda Mizidio Teixeira Dos Santos &lt;maria_eduarda_mizidio_teixeira_dos_santos1@bat.com&gt;</t>
  </si>
  <si>
    <t>Volumes:</t>
  </si>
  <si>
    <t>Everlast 473 ML:</t>
  </si>
  <si>
    <t>C:\Users\85244657\OneDrive - BAT\EstoqueCuritiba - Backup Arquivos Estoque</t>
  </si>
  <si>
    <t>CÓPIA PG</t>
  </si>
  <si>
    <t>EstoqueCuritiba &lt;EstoqueCDCuritiba@bat.onmicrosoft.com&gt;; james.balbino@emergentcold.com; felipe.aguiar@emergentcold.com; diogo.deus@emergentcold.com; celso.oliveira@emergentcold.com; juan.pereira@emergentcold.com</t>
  </si>
  <si>
    <t>Data do Embarque:</t>
  </si>
  <si>
    <t>Pallets:</t>
  </si>
  <si>
    <t>Everlast 269 ML:</t>
  </si>
  <si>
    <t>Placa:</t>
  </si>
  <si>
    <t>EST6815</t>
  </si>
  <si>
    <t>Motorista:</t>
  </si>
  <si>
    <t>Diageo:</t>
  </si>
  <si>
    <t>Ice:</t>
  </si>
  <si>
    <t>Dt de Entrega</t>
  </si>
  <si>
    <t>Everlast 473ML</t>
  </si>
  <si>
    <t>Everlast  269 ML</t>
  </si>
  <si>
    <t>Diageo</t>
  </si>
  <si>
    <t>Pallets</t>
  </si>
  <si>
    <t>Visto Do Recebedor</t>
  </si>
  <si>
    <t>C470920 - BR0442235</t>
  </si>
  <si>
    <t>Irati - TPE</t>
  </si>
  <si>
    <t>Irati</t>
  </si>
  <si>
    <t>MATERIAIS DE MERCHANDISING</t>
  </si>
  <si>
    <t>C470759 - BR0442245</t>
  </si>
  <si>
    <t>Prudentópolis - TPE</t>
  </si>
  <si>
    <t>Prudentópolis</t>
  </si>
  <si>
    <t>C470910 - BR0442233</t>
  </si>
  <si>
    <t>Guarapuava- TPE</t>
  </si>
  <si>
    <t>Guarapuava</t>
  </si>
  <si>
    <t>C470915 - BR0442234</t>
  </si>
  <si>
    <t>TOTAL GERAL</t>
  </si>
  <si>
    <t>Responsável Carregamento</t>
  </si>
  <si>
    <t>CONTROLE DE SEPARAÇÃO DE VOLUMES E BEBIDAS</t>
  </si>
  <si>
    <t>PARA:</t>
  </si>
  <si>
    <t>lpinto@comfrio.com.br; celso.oliveira@comfrio.com.br; faguiar@comfrio.com.br; palves@comfrio.com.br</t>
  </si>
  <si>
    <t>C:\Users\81143454\Desktop\Noite\NOITE\</t>
  </si>
  <si>
    <t xml:space="preserve"> </t>
  </si>
  <si>
    <t>TOTAL</t>
  </si>
  <si>
    <t>CE+DATA</t>
  </si>
  <si>
    <t>CE+DATA+TRANSP</t>
  </si>
  <si>
    <t>DATA DA ENTREGA</t>
  </si>
  <si>
    <t>CARRO</t>
  </si>
  <si>
    <t>BR</t>
  </si>
  <si>
    <t>TIPO</t>
  </si>
  <si>
    <t>DESCRIÇÃO</t>
  </si>
  <si>
    <t>VOL EM MIL</t>
  </si>
  <si>
    <t>REMESSAS</t>
  </si>
  <si>
    <t>HORA INÍCIO</t>
  </si>
  <si>
    <t>HORA FIM</t>
  </si>
  <si>
    <t>BAGS</t>
  </si>
  <si>
    <t>ENGRADADOS</t>
  </si>
  <si>
    <t xml:space="preserve"> VAN / PALLET</t>
  </si>
  <si>
    <t>EVERLAST 473ML</t>
  </si>
  <si>
    <t>EVERLAST 269ML</t>
  </si>
  <si>
    <t>EVERLAST 269ML SEM AÇUCAR</t>
  </si>
  <si>
    <t>VODKA</t>
  </si>
  <si>
    <t>YPIOCA</t>
  </si>
  <si>
    <t>RED LABEL</t>
  </si>
  <si>
    <t>GORDONS</t>
  </si>
  <si>
    <t>TANKERAY</t>
  </si>
  <si>
    <t>ALG 12X70ML</t>
  </si>
  <si>
    <t>ALG 6X250ML</t>
  </si>
  <si>
    <t>ALG 6X500ML</t>
  </si>
  <si>
    <t>FRUTAS 12X70ML</t>
  </si>
  <si>
    <t>TOTAL ALCOOL</t>
  </si>
  <si>
    <t>SOMA BEBIDAS</t>
  </si>
  <si>
    <t>RETIRADA NA CID</t>
  </si>
  <si>
    <t>MILHEIROS:</t>
  </si>
  <si>
    <t>DIAGEO:</t>
  </si>
  <si>
    <t>VOLUMES:</t>
  </si>
  <si>
    <t>EVERLAST 473 ML:</t>
  </si>
  <si>
    <t>Data de Embarque:</t>
  </si>
  <si>
    <t>PALLETS:</t>
  </si>
  <si>
    <t>EVERLAST 269 ML:</t>
  </si>
  <si>
    <t>COD PINHAIS</t>
  </si>
  <si>
    <t>JOICE DE ASSIS</t>
  </si>
  <si>
    <t>ICE:</t>
  </si>
  <si>
    <t>DATA ENTREGA</t>
  </si>
  <si>
    <t>MILHEIROS</t>
  </si>
  <si>
    <t>EVERLAST 473 ML</t>
  </si>
  <si>
    <t>EVERLAST 269 ML</t>
  </si>
  <si>
    <t>DIAGEO</t>
  </si>
  <si>
    <t>GARRAFEIRAS</t>
  </si>
  <si>
    <t>PALLETS</t>
  </si>
  <si>
    <t>C470802 - BR0442252</t>
  </si>
  <si>
    <t>SÃO JOSÉ DOS PINHAIS - TPE</t>
  </si>
  <si>
    <t>SÃO JOSÉ DOS PINHAIS</t>
  </si>
  <si>
    <t>Analista Responsável</t>
  </si>
  <si>
    <t>Greice Keli Pereira Nogueira &lt;greice_keli_pereira@bat.com&gt;; maria_eduarda_cardoso_galdino@bat.com</t>
  </si>
  <si>
    <t>EstoqueCDCuritiba@bat.onmicrosoft.com; Comfrio_Pinhais</t>
  </si>
  <si>
    <t>LITORAL</t>
  </si>
  <si>
    <t>rodrigo_gago@bat.com; Anelise Brusamolin &lt;anelise_brusamolin@bat.com&gt;; Maria Eduarda Mizidio Teixeira Dos Santos &lt;maria_eduarda_mizidio_teixeira_dos_santos1@bat.com&gt;</t>
  </si>
  <si>
    <t>EstoqueCuritiba &lt;EstoqueCDCuritiba@bat.onmicrosoft.com</t>
  </si>
  <si>
    <t>VITOR HUGO</t>
  </si>
  <si>
    <t>Ice</t>
  </si>
  <si>
    <t>C470980 - BR0442237</t>
  </si>
  <si>
    <t>Paranaguá - TPE</t>
  </si>
  <si>
    <t>Paranaguá</t>
  </si>
  <si>
    <t>C470999 - BR0442243</t>
  </si>
  <si>
    <t>Pontal do Paraná - TPE</t>
  </si>
  <si>
    <t>Pontal do Paraná</t>
  </si>
  <si>
    <t>C470976 - BR0442236</t>
  </si>
  <si>
    <t>Matinhos - TPE</t>
  </si>
  <si>
    <t>Matinhos</t>
  </si>
  <si>
    <t>C470841 - BR0347315</t>
  </si>
  <si>
    <t>PV Matinhos - TPE</t>
  </si>
  <si>
    <t>PV - Matinhos</t>
  </si>
  <si>
    <t>C470842 - BR0347316</t>
  </si>
  <si>
    <t>PV Pontal do PR  - TPE</t>
  </si>
  <si>
    <t>PV Pontal do PR</t>
  </si>
  <si>
    <t xml:space="preserve">Sudoeste </t>
  </si>
  <si>
    <t>henrique_tonete_michelao@bat.com; jeferson_caris@bat.com; Tatiana Miranda &lt;tatiana.miranda@bat.com&gt;; Anelise Brusamolin; luciano.rocha@bat.com</t>
  </si>
  <si>
    <t>EstoqueCuritiba &lt;EstoqueCDCuritiba@bat.onmicrosoft.com&gt;; juan.pereira@emergentcold.com;celso.oliveira@emergentcold.com;james.balbino@emergentcold.com;felipe.aguiar@emergentcold.com;diogo.deus@emergentcold.com</t>
  </si>
  <si>
    <t>BR0442246</t>
  </si>
  <si>
    <t>União da Vitória - TPE</t>
  </si>
  <si>
    <t>União da Vitória</t>
  </si>
  <si>
    <t>C470908 - BR0442231</t>
  </si>
  <si>
    <t>Pato Branco - TPE</t>
  </si>
  <si>
    <t>Pato Branco</t>
  </si>
  <si>
    <t>C470924 - BR0442186</t>
  </si>
  <si>
    <t>Francisco Beltrão - TPE</t>
  </si>
  <si>
    <t>Francisco Beltrão</t>
  </si>
  <si>
    <t>C470803 - BR0442702</t>
  </si>
  <si>
    <t>Realeza - TPE</t>
  </si>
  <si>
    <t>Realeza</t>
  </si>
  <si>
    <t>BR0442185</t>
  </si>
  <si>
    <t>Dois Vizinhos - TPE</t>
  </si>
  <si>
    <t>Dois Vizinhos</t>
  </si>
  <si>
    <t>C470907 - BR0442230</t>
  </si>
  <si>
    <t>Laranjeiras do Sul - TPE</t>
  </si>
  <si>
    <t xml:space="preserve">                                                                                                                                                                                                    </t>
  </si>
  <si>
    <t>Laranjeiras do Sul</t>
  </si>
  <si>
    <t>D</t>
  </si>
  <si>
    <t>SUDOESTE</t>
  </si>
  <si>
    <t>Jefferson_Santos@bat.com; henrique_tonete_michelao@bat.com; greice_keli_pereira@bat.com; jeferson_caris@bat.com; maria_eduarda_cardoso_galdino@bat.com</t>
  </si>
  <si>
    <t>C:\Users\81143454\Desktop\Noite\MINUTAS\</t>
  </si>
  <si>
    <t>EstoqueCDCuritiba@bat.onmicrosoft.com;Leonardo Pinto &lt;lpinto@comfrio.com.br&gt;; Celso Oliveira &lt;celso.oliveira@comfrio.com.br&gt;; Marcio Terajima &lt;mterajima@comfrio.com.br&gt;</t>
  </si>
  <si>
    <t>AZG-9394</t>
  </si>
  <si>
    <t>SERGIO</t>
  </si>
  <si>
    <t>C470923 - BR0442185</t>
  </si>
  <si>
    <t>C470760 - BR0442246</t>
  </si>
  <si>
    <t>PONTA GROSSA</t>
  </si>
  <si>
    <t>EstoqueCuritiba &lt;EstoqueCDCuritiba@bat.onmicrosoft.com&gt;;juan.pereira@emergentcold.com;diogo.deus@emergentcold.com;james.balbino@emergentcold.com;felipe.aguiar@emergentcold.com;celso.oliveira@emergentcold.com</t>
  </si>
  <si>
    <t>IZM2I00</t>
  </si>
  <si>
    <t>JOSÉ R LOPES</t>
  </si>
  <si>
    <t>Garrafas:</t>
  </si>
  <si>
    <t>C470909 - BR0442232</t>
  </si>
  <si>
    <t>Castro - TPE</t>
  </si>
  <si>
    <t>Castro</t>
  </si>
  <si>
    <t>C470977 - BR0442240</t>
  </si>
  <si>
    <t>Ponta Grossa - TPE</t>
  </si>
  <si>
    <t>Ponta Grossa</t>
  </si>
  <si>
    <t>C470958 - BR0442242</t>
  </si>
  <si>
    <t>C470801 - BR0442251</t>
  </si>
  <si>
    <t>Lapa - TPE</t>
  </si>
  <si>
    <t>Lapa</t>
  </si>
  <si>
    <t>Tatiana Miranda &lt;tatiana.miranda@bat.com&gt;; Anelise Brusamolin &lt;anelise_brusamolin@bat.com&gt;</t>
  </si>
  <si>
    <t>Drop Size</t>
  </si>
  <si>
    <t>Target ( + )</t>
  </si>
  <si>
    <t>Target ( - )</t>
  </si>
  <si>
    <t>Capacidade Esteira
Movimentos</t>
  </si>
  <si>
    <t>Capacidade Esteira
Milheiros</t>
  </si>
  <si>
    <t>Esteiras</t>
  </si>
  <si>
    <t>FADEL</t>
  </si>
  <si>
    <t>PARA FADEL</t>
  </si>
  <si>
    <t>Alessandro Rangel &lt;alessandro.rangel@bat.com&gt;; vagner.leal@fadeltransportes.com.br;  emerson.cardoso@fadeltransportes.com.br; roberto.serra@fadeltransportes.com.br; camila.brito@fadeltransportes.com.br; Ludmila Ferreira Phelipe &lt;ludmila_ferreira_phelipe@bat.com&gt;</t>
  </si>
  <si>
    <t>CÓPIA FADEL</t>
  </si>
  <si>
    <t>EstoqueCDCuritiba@bat.onmicrosoft.com; celso.oliveira@comfrio.com.br; lpinto@comfrio.com.br; mterajima@comfrio.com.br;</t>
  </si>
  <si>
    <t>Nome Arquivo:</t>
  </si>
  <si>
    <t>Bags</t>
  </si>
  <si>
    <t>C470024</t>
  </si>
  <si>
    <t>C470038</t>
  </si>
  <si>
    <t>C470740</t>
  </si>
  <si>
    <t>C470741</t>
  </si>
  <si>
    <t>C470744</t>
  </si>
  <si>
    <t>C470746</t>
  </si>
  <si>
    <t>C470749</t>
  </si>
  <si>
    <t>C470750</t>
  </si>
  <si>
    <t>C470831</t>
  </si>
  <si>
    <t>C470866</t>
  </si>
  <si>
    <t>C470901</t>
  </si>
  <si>
    <t>C470903</t>
  </si>
  <si>
    <t>C470905</t>
  </si>
  <si>
    <t>C470906</t>
  </si>
  <si>
    <t>C470911</t>
  </si>
  <si>
    <t>C470003</t>
  </si>
  <si>
    <t>C470010</t>
  </si>
  <si>
    <t>C470014</t>
  </si>
  <si>
    <t>C470021</t>
  </si>
  <si>
    <t>C470023</t>
  </si>
  <si>
    <t>C470025</t>
  </si>
  <si>
    <t>C470026</t>
  </si>
  <si>
    <t>C470027</t>
  </si>
  <si>
    <t>C470028</t>
  </si>
  <si>
    <t>C470033</t>
  </si>
  <si>
    <t>C470101</t>
  </si>
  <si>
    <t>C470102</t>
  </si>
  <si>
    <t>C470737</t>
  </si>
  <si>
    <t>C470742</t>
  </si>
  <si>
    <t>C470743</t>
  </si>
  <si>
    <t>C470745</t>
  </si>
  <si>
    <t>C470868</t>
  </si>
  <si>
    <t>C470870</t>
  </si>
  <si>
    <t>C470900</t>
  </si>
  <si>
    <t>C470902</t>
  </si>
  <si>
    <t>C470904</t>
  </si>
  <si>
    <t>CE'S 24 HS (IWS)</t>
  </si>
  <si>
    <t>VOL</t>
  </si>
  <si>
    <t>DROP</t>
  </si>
  <si>
    <t>NF'S</t>
  </si>
  <si>
    <t>CE'S</t>
  </si>
  <si>
    <t>ROTA</t>
  </si>
  <si>
    <t>NF</t>
  </si>
  <si>
    <t>QTD CE'S</t>
  </si>
  <si>
    <t>D.S</t>
  </si>
  <si>
    <t>key account</t>
  </si>
  <si>
    <t>Wave 03</t>
  </si>
  <si>
    <t>FADEL - FIXO - FIORINO</t>
  </si>
  <si>
    <t>Qtd NF's</t>
  </si>
  <si>
    <t>Wave 02</t>
  </si>
  <si>
    <t>FADEL - FIXO - VAN</t>
  </si>
  <si>
    <t>Wave 01</t>
  </si>
  <si>
    <t>FADEL - SPOT - FIORINO</t>
  </si>
  <si>
    <t>TRANSMIT - SPOT - FIORINO</t>
  </si>
  <si>
    <t>CM TRANS - SPOT - VAN</t>
  </si>
  <si>
    <t>Check List de Atividades</t>
  </si>
  <si>
    <t>Validar DN1, GN1, MB52/A104, LL01 e LU04</t>
  </si>
  <si>
    <t>-</t>
  </si>
  <si>
    <t>OK</t>
  </si>
  <si>
    <t>Criar Transportes</t>
  </si>
  <si>
    <t xml:space="preserve">ZVLE_VT04_PREP </t>
  </si>
  <si>
    <t>SEDE</t>
  </si>
  <si>
    <t>Puxada para picking 24H + 168H + TPE</t>
  </si>
  <si>
    <t>Transação ZVLE_PICKING_DC</t>
  </si>
  <si>
    <t>Buscar OT + 1º passo da baixa</t>
  </si>
  <si>
    <t>LT22 + LT12</t>
  </si>
  <si>
    <t>Vl06P</t>
  </si>
  <si>
    <t>Usar doc transporte da puxada</t>
  </si>
  <si>
    <t>VL06G</t>
  </si>
  <si>
    <t>Conferência MB52 / A104</t>
  </si>
  <si>
    <t>2ª conf da noite, após as baixas</t>
  </si>
  <si>
    <t>Lançar Picking MC</t>
  </si>
  <si>
    <t>Subir após a puxada, finalizar dia anterior</t>
  </si>
  <si>
    <t>Envio Dos Arquivos Picking (22:20)</t>
  </si>
  <si>
    <t>RotaBraz_dia, VL06O_dia, ALO1_dia</t>
  </si>
  <si>
    <t>Envio Consolidado</t>
  </si>
  <si>
    <t>Gerar reconvan+ preencher o DashNoturno</t>
  </si>
  <si>
    <t>Envio produtividade Whats (SPR + DDS Comfrio)</t>
  </si>
  <si>
    <t>Planilha teams DDS-SPR Logística</t>
  </si>
  <si>
    <t>Envio Whats Faturamento/Routing (Info 24h)</t>
  </si>
  <si>
    <t>Arquivo Resumo Operação. Usar consolidado</t>
  </si>
  <si>
    <t>Impressão NF's Retorno TPE (ZRCB)</t>
  </si>
  <si>
    <t>Volume</t>
  </si>
  <si>
    <t>Remessas</t>
  </si>
  <si>
    <t>Qtde Carros</t>
  </si>
  <si>
    <t>DS</t>
  </si>
  <si>
    <t>preenchimento planilha produtividade picking</t>
  </si>
  <si>
    <t>Impressão NF's Remessas TPE (ZKB1)</t>
  </si>
  <si>
    <t>24Horas</t>
  </si>
  <si>
    <t>Impressão NF'S 168H (ZORB)</t>
  </si>
  <si>
    <t>TPE / 168h</t>
  </si>
  <si>
    <t>Impressão NF'S 24Hs (ZORB)</t>
  </si>
  <si>
    <t>Total</t>
  </si>
  <si>
    <t>preenchimento planilha dds noturna</t>
  </si>
  <si>
    <t>Impressão NF'S Recompras</t>
  </si>
  <si>
    <t>Impressão NF'S KEY ACCOUNT</t>
  </si>
  <si>
    <t>Resumo Picking</t>
  </si>
  <si>
    <t>Target</t>
  </si>
  <si>
    <t>Envio Arquivos</t>
  </si>
  <si>
    <t>Preencher Consolidado Puxadas Redespacho</t>
  </si>
  <si>
    <t>Com base na puxada do dia</t>
  </si>
  <si>
    <t>Minuta Ponta Grossa</t>
  </si>
  <si>
    <t>Usar Consolidado Puxadas</t>
  </si>
  <si>
    <t>Minuta Sudoeste</t>
  </si>
  <si>
    <t>Produtividade</t>
  </si>
  <si>
    <t>Valores</t>
  </si>
  <si>
    <t>Minuta Guarapuava</t>
  </si>
  <si>
    <t>Total de remessas</t>
  </si>
  <si>
    <t>Minuta Litoral</t>
  </si>
  <si>
    <t xml:space="preserve">Volume Total </t>
  </si>
  <si>
    <t>Criar SM Redespacho</t>
  </si>
  <si>
    <t>Sempre validar placa + motorista do dia</t>
  </si>
  <si>
    <t>Compartilhar mapa + nº SMP grupo redespacho</t>
  </si>
  <si>
    <t>Drop size</t>
  </si>
  <si>
    <t>Montar a conferência da reversa do dia</t>
  </si>
  <si>
    <t>Target (+)</t>
  </si>
  <si>
    <t>Previsão Fim:</t>
  </si>
  <si>
    <t>Alterar Status NFs &lt;&gt; Retornada</t>
  </si>
  <si>
    <t>Target (-)</t>
  </si>
  <si>
    <t>Enviar Dashboard Logística Reversa do dia</t>
  </si>
  <si>
    <t>Enviar Retorno de Papelão</t>
  </si>
  <si>
    <t>Incorporar Logística Reversa do dia</t>
  </si>
  <si>
    <t>Entrada Retorno TPE</t>
  </si>
  <si>
    <t>Lançamentos de Falta&amp;Sobra</t>
  </si>
  <si>
    <t>DAR BAIXA NO QUE DEU ENTRADA NA LX02</t>
  </si>
  <si>
    <t>LQ02 + LT10</t>
  </si>
  <si>
    <t>Transito</t>
  </si>
  <si>
    <t>Enviar base para recebimento Log Reversa</t>
  </si>
  <si>
    <t>Folhao SAP + Trânsito Recompras + Grupo Teams estoque Curitiba</t>
  </si>
  <si>
    <t>Pendências De Vl'S</t>
  </si>
  <si>
    <t>Chamar variante para as VLs</t>
  </si>
  <si>
    <t>Boletos Conecta Prime</t>
  </si>
  <si>
    <t>Atualizar report Gatos + OCs</t>
  </si>
  <si>
    <t>Preencher a planilha FSD de acordo com o TMS</t>
  </si>
  <si>
    <t xml:space="preserve">Com base no lançamento do TMS/ PASSOU PRO DIA  POR ENQUANTO </t>
  </si>
  <si>
    <t>Fill Rate / TMS</t>
  </si>
  <si>
    <t xml:space="preserve">Com base na minuta redespacho/ PASSOU PRO DIA  POR ENQUANTO  </t>
  </si>
  <si>
    <t>QTD CARROS</t>
  </si>
  <si>
    <t>COLAR A PUXADA</t>
  </si>
  <si>
    <t>CXS</t>
  </si>
  <si>
    <t>COLAR O RECONVAN</t>
  </si>
  <si>
    <t>C470912</t>
  </si>
  <si>
    <t>CLICAR EM PREPARAR</t>
  </si>
  <si>
    <t>AJUSTAR A DATA DO CONSOLIDADO</t>
  </si>
  <si>
    <t>PROCURAR DADOS REMESSA SEM ROTA COMFRIO</t>
  </si>
  <si>
    <t>CLICAR EM ENVIAR</t>
  </si>
  <si>
    <t>4 DIGITOS</t>
  </si>
  <si>
    <t>CPF</t>
  </si>
  <si>
    <t>C470</t>
  </si>
  <si>
    <t>* Remessa na VL02N / Transporte / Chapeu / (CódProcEsp)</t>
  </si>
  <si>
    <t>4 DIG</t>
  </si>
  <si>
    <t>CE + BR</t>
  </si>
  <si>
    <t>Modalidade</t>
  </si>
  <si>
    <t>Capacidade</t>
  </si>
  <si>
    <t xml:space="preserve"> /</t>
  </si>
  <si>
    <t>BR0442236</t>
  </si>
  <si>
    <t>TPE</t>
  </si>
  <si>
    <t>BR0442237</t>
  </si>
  <si>
    <t>BR0442243</t>
  </si>
  <si>
    <t>BR347315</t>
  </si>
  <si>
    <t>BR0347315</t>
  </si>
  <si>
    <t>BR347316</t>
  </si>
  <si>
    <t>BR0347316</t>
  </si>
  <si>
    <t>BR348596</t>
  </si>
  <si>
    <t>BR0348596</t>
  </si>
  <si>
    <t>BR442232</t>
  </si>
  <si>
    <t>BR0442232</t>
  </si>
  <si>
    <t>Rótulos de Linha</t>
  </si>
  <si>
    <t>BR442242</t>
  </si>
  <si>
    <t>BR0442242</t>
  </si>
  <si>
    <t>BR442240</t>
  </si>
  <si>
    <t>BR0442240</t>
  </si>
  <si>
    <t>BR442251</t>
  </si>
  <si>
    <t>BR0442251</t>
  </si>
  <si>
    <t>BR442252</t>
  </si>
  <si>
    <t>BR0442252</t>
  </si>
  <si>
    <t>BR442245</t>
  </si>
  <si>
    <t>BR0442245</t>
  </si>
  <si>
    <t>BR442246</t>
  </si>
  <si>
    <t>BR442702</t>
  </si>
  <si>
    <t>BR0442702</t>
  </si>
  <si>
    <t>BR442230</t>
  </si>
  <si>
    <t>BR0442230</t>
  </si>
  <si>
    <t>BR442231</t>
  </si>
  <si>
    <t>BR0442231</t>
  </si>
  <si>
    <t>(vazio)</t>
  </si>
  <si>
    <t>BR0442233</t>
  </si>
  <si>
    <t>BR442234</t>
  </si>
  <si>
    <t>BR0442234</t>
  </si>
  <si>
    <t>Total Geral</t>
  </si>
  <si>
    <t>BR0442235</t>
  </si>
  <si>
    <t>BR442185</t>
  </si>
  <si>
    <t>BR442186</t>
  </si>
  <si>
    <t>BR0442186</t>
  </si>
  <si>
    <t>BR075567</t>
  </si>
  <si>
    <t>BR0075567</t>
  </si>
  <si>
    <t>C470975 - BR0075567</t>
  </si>
  <si>
    <t>24H</t>
  </si>
  <si>
    <t>VAN</t>
  </si>
  <si>
    <t>BR423003</t>
  </si>
  <si>
    <t>BR0423003</t>
  </si>
  <si>
    <t>C470204 - BR0423003</t>
  </si>
  <si>
    <t>BR423004</t>
  </si>
  <si>
    <t>BR0423004</t>
  </si>
  <si>
    <t>C470705 - BR0423004</t>
  </si>
  <si>
    <t>BR423005</t>
  </si>
  <si>
    <t>BR0423005</t>
  </si>
  <si>
    <t>C470753 - BR0423005</t>
  </si>
  <si>
    <t>BR0219599</t>
  </si>
  <si>
    <t>C470808 - BR0219599</t>
  </si>
  <si>
    <t>FIORINO</t>
  </si>
  <si>
    <t>BR0219600</t>
  </si>
  <si>
    <t>BR0219601</t>
  </si>
  <si>
    <t>C470810 - BR0219601</t>
  </si>
  <si>
    <t>BR0219605</t>
  </si>
  <si>
    <t>C470824 - BR0219605</t>
  </si>
  <si>
    <t>BR0219603</t>
  </si>
  <si>
    <t>C470823 - BR0219603</t>
  </si>
  <si>
    <t>BR0219606</t>
  </si>
  <si>
    <t>C470825 - BR0219606</t>
  </si>
  <si>
    <t>BR0075598</t>
  </si>
  <si>
    <t>C470749 - BR0075598</t>
  </si>
  <si>
    <t>BR0075485</t>
  </si>
  <si>
    <t>C470741 - BR0075485</t>
  </si>
  <si>
    <t>BR0075564</t>
  </si>
  <si>
    <t>C470740 - BR0075564</t>
  </si>
  <si>
    <t>BR0075488</t>
  </si>
  <si>
    <t>C470038 - BR0075488</t>
  </si>
  <si>
    <t>BR0075950</t>
  </si>
  <si>
    <t>C470901 - BR0075950</t>
  </si>
  <si>
    <t>BR0075727</t>
  </si>
  <si>
    <t>C470905 - BR0075727</t>
  </si>
  <si>
    <t>BR0075517</t>
  </si>
  <si>
    <t>C470831 - BR0075517</t>
  </si>
  <si>
    <t>BR0075494</t>
  </si>
  <si>
    <t>C470024 - BR0075494</t>
  </si>
  <si>
    <t>BR219610</t>
  </si>
  <si>
    <t>BR0219610</t>
  </si>
  <si>
    <t>C470828 - BR0219610</t>
  </si>
  <si>
    <t>BR219609</t>
  </si>
  <si>
    <t>BR0219609</t>
  </si>
  <si>
    <t>C470827 - BR0219609</t>
  </si>
  <si>
    <t>BR075816</t>
  </si>
  <si>
    <t>BR0075816</t>
  </si>
  <si>
    <t>C470744 - BR0075816</t>
  </si>
  <si>
    <t>BR075507</t>
  </si>
  <si>
    <t>BR0075507</t>
  </si>
  <si>
    <t>C470866 - BR0075507</t>
  </si>
  <si>
    <t>BR423002</t>
  </si>
  <si>
    <t>BR0423002</t>
  </si>
  <si>
    <t>C470102 - BR0423002</t>
  </si>
  <si>
    <t>BR423001</t>
  </si>
  <si>
    <t>BR0423001</t>
  </si>
  <si>
    <t>C470101 - BR0423001</t>
  </si>
  <si>
    <t>BR423000</t>
  </si>
  <si>
    <t>BR0423000</t>
  </si>
  <si>
    <t>C470033 - BR0423000</t>
  </si>
  <si>
    <t>BR422999</t>
  </si>
  <si>
    <t>BR0422999</t>
  </si>
  <si>
    <t>C470028 - BR0422999</t>
  </si>
  <si>
    <t>BR422998</t>
  </si>
  <si>
    <t>BR0422998</t>
  </si>
  <si>
    <t>C470027 - BR0422998</t>
  </si>
  <si>
    <t>BR219552</t>
  </si>
  <si>
    <t>BR0219552</t>
  </si>
  <si>
    <t>C470023 - BR0219552</t>
  </si>
  <si>
    <t>BR075882</t>
  </si>
  <si>
    <t>BR0075882</t>
  </si>
  <si>
    <t>C470870 - BR0075882</t>
  </si>
  <si>
    <t>BR219554</t>
  </si>
  <si>
    <t>BR0219554</t>
  </si>
  <si>
    <t>C470025 - BR0219554</t>
  </si>
  <si>
    <t>BR075542</t>
  </si>
  <si>
    <t>BR0075542</t>
  </si>
  <si>
    <t>C470868 - BR0075542</t>
  </si>
  <si>
    <t>BR075785</t>
  </si>
  <si>
    <t>BR0075785</t>
  </si>
  <si>
    <t>C470904 - BR0075785</t>
  </si>
  <si>
    <t>BR075841</t>
  </si>
  <si>
    <t>BR0075841</t>
  </si>
  <si>
    <t>C470743 - BR0075841</t>
  </si>
  <si>
    <t>BR075703</t>
  </si>
  <si>
    <t>BR0075703</t>
  </si>
  <si>
    <t>C470742 - BR0075703</t>
  </si>
  <si>
    <t>BR219546</t>
  </si>
  <si>
    <t>BR0219546</t>
  </si>
  <si>
    <t>C470014 - BR0219546</t>
  </si>
  <si>
    <t>BR219545</t>
  </si>
  <si>
    <t>BR0219545</t>
  </si>
  <si>
    <t>C470010 - BR0219545</t>
  </si>
  <si>
    <t>BR219544</t>
  </si>
  <si>
    <t>BR0219544</t>
  </si>
  <si>
    <t>C470003 - BR0219544</t>
  </si>
  <si>
    <t>BR075512</t>
  </si>
  <si>
    <t>BR0075512</t>
  </si>
  <si>
    <t>C470902 - BR0075512</t>
  </si>
  <si>
    <t>BR075865</t>
  </si>
  <si>
    <t>BR0075865</t>
  </si>
  <si>
    <t>C470745 - BR0075865</t>
  </si>
  <si>
    <t>BR219562</t>
  </si>
  <si>
    <t>BR0219562</t>
  </si>
  <si>
    <t>C470026 - BR0219562</t>
  </si>
  <si>
    <t>BR075849</t>
  </si>
  <si>
    <t>BR0075849</t>
  </si>
  <si>
    <t>C470900 - BR0075849</t>
  </si>
  <si>
    <t>BR219608</t>
  </si>
  <si>
    <t>BR0219608</t>
  </si>
  <si>
    <t>C470826 - BR0219608</t>
  </si>
  <si>
    <t>BR075684</t>
  </si>
  <si>
    <t>BR0075684</t>
  </si>
  <si>
    <t>C470739 - BR0075684</t>
  </si>
  <si>
    <t>BR075652</t>
  </si>
  <si>
    <t>BR0075652</t>
  </si>
  <si>
    <t>C470751 - BR0075652</t>
  </si>
  <si>
    <t>BR075562</t>
  </si>
  <si>
    <t>BR0075562</t>
  </si>
  <si>
    <t>C470022 - BR0075562</t>
  </si>
  <si>
    <t>BR219549</t>
  </si>
  <si>
    <t>BR0219549</t>
  </si>
  <si>
    <t>C470021 - BR0219549</t>
  </si>
  <si>
    <t>BR075595</t>
  </si>
  <si>
    <t>BR0075595</t>
  </si>
  <si>
    <t>C470912 - BR0075595</t>
  </si>
  <si>
    <t>BR075813</t>
  </si>
  <si>
    <t>BR0075813</t>
  </si>
  <si>
    <t>C470750 - BR0075813</t>
  </si>
  <si>
    <t>BR075672</t>
  </si>
  <si>
    <t>BR0075672</t>
  </si>
  <si>
    <t>C470737 - BR0075672</t>
  </si>
  <si>
    <t>BR075807</t>
  </si>
  <si>
    <t>BR0075807</t>
  </si>
  <si>
    <t>C470747 - BR0075807</t>
  </si>
  <si>
    <t>BR075798</t>
  </si>
  <si>
    <t>BR0075798</t>
  </si>
  <si>
    <t>C470748 - BR0075798</t>
  </si>
  <si>
    <t>BR075783</t>
  </si>
  <si>
    <t>BR0075783</t>
  </si>
  <si>
    <t>C470867 - BR0075783</t>
  </si>
  <si>
    <t>BR075774</t>
  </si>
  <si>
    <t>BR0075774</t>
  </si>
  <si>
    <t>C470752 - BR0075774</t>
  </si>
  <si>
    <t>BR075712</t>
  </si>
  <si>
    <t>BR0075712</t>
  </si>
  <si>
    <t>C470844 - BR0075712</t>
  </si>
  <si>
    <t>BR0075802</t>
  </si>
  <si>
    <t>C470746 - BR0075802</t>
  </si>
  <si>
    <t>24H - GROCERY</t>
  </si>
  <si>
    <t>BR0075522</t>
  </si>
  <si>
    <t>C470906 - BR0075522</t>
  </si>
  <si>
    <t>BR0075549</t>
  </si>
  <si>
    <t>C470911 - BR0075549</t>
  </si>
  <si>
    <t>BR0075781</t>
  </si>
  <si>
    <t>C470903 - BR0075781</t>
  </si>
  <si>
    <t>PALLET</t>
  </si>
  <si>
    <t>VOLUME</t>
  </si>
  <si>
    <t>CASTRO</t>
  </si>
  <si>
    <t>LAPA</t>
  </si>
  <si>
    <t>PARANAGUÁ</t>
  </si>
  <si>
    <t>PONTAL DO PR</t>
  </si>
  <si>
    <t>MATINHOS</t>
  </si>
  <si>
    <t>IRATI</t>
  </si>
  <si>
    <t>PRUDENTÓPOLIS</t>
  </si>
  <si>
    <t>UNIÃO DA VITÓRIA</t>
  </si>
  <si>
    <t>PATO BRANCO</t>
  </si>
  <si>
    <t>FRANCISCO BELTRÃO</t>
  </si>
  <si>
    <t>REALEZA</t>
  </si>
  <si>
    <t>DOIS VIZINHOS</t>
  </si>
  <si>
    <t>LARANJEIRAS DO SUL</t>
  </si>
  <si>
    <t>Carro 
Sales Force</t>
  </si>
  <si>
    <t>SEDE DA ZONA
Municipio/UF</t>
  </si>
  <si>
    <t>Rota Litoral</t>
  </si>
  <si>
    <t>C470976</t>
  </si>
  <si>
    <t>C470980</t>
  </si>
  <si>
    <t>C470999</t>
  </si>
  <si>
    <t>PONTAL DO PARANÁ</t>
  </si>
  <si>
    <t>C470841</t>
  </si>
  <si>
    <t>PROJ. VERÃO</t>
  </si>
  <si>
    <t>C470852</t>
  </si>
  <si>
    <t>Rota PG</t>
  </si>
  <si>
    <t>C470909</t>
  </si>
  <si>
    <t>BRESOLIN</t>
  </si>
  <si>
    <t>C470977</t>
  </si>
  <si>
    <t>C470958</t>
  </si>
  <si>
    <t>Rota Guarapuava</t>
  </si>
  <si>
    <t>C470920</t>
  </si>
  <si>
    <t>C470759</t>
  </si>
  <si>
    <t>PRUDENTOPOLIS</t>
  </si>
  <si>
    <t>C470910</t>
  </si>
  <si>
    <t>GUARAPUAVA 1</t>
  </si>
  <si>
    <t>C470915</t>
  </si>
  <si>
    <t>GUARAPUAVA 2</t>
  </si>
  <si>
    <t>Rota Sudoeste</t>
  </si>
  <si>
    <t>C470907</t>
  </si>
  <si>
    <t>C470923</t>
  </si>
  <si>
    <t>C470803</t>
  </si>
  <si>
    <t>C470924</t>
  </si>
  <si>
    <t>FRANCISCO BELTRAO</t>
  </si>
  <si>
    <t>C470908</t>
  </si>
  <si>
    <t>C470760</t>
  </si>
  <si>
    <t>UNIAO DA VITORIA</t>
  </si>
  <si>
    <t>C470801</t>
  </si>
  <si>
    <t>Rota Sede</t>
  </si>
  <si>
    <t>C470802</t>
  </si>
  <si>
    <t>SAO JOSE DOS PINHAIS</t>
  </si>
  <si>
    <t>Seda OCB MIX 1.1/4 - c/ 50 unid.</t>
  </si>
  <si>
    <t>Seda OCB MIX SLIM - c/ 50 unid.</t>
  </si>
  <si>
    <t>MaisMu Barra Muke Pacoquita 60g c/12</t>
  </si>
  <si>
    <t>Mais Mu Crush Bar Morango 35g C/12</t>
  </si>
  <si>
    <t>PILHA ALC RAY AAA2 24 CART 2 SM 48 20912</t>
  </si>
  <si>
    <t>PILHA ALC RAY AA2 72 CART 2 SM 144 20860</t>
  </si>
  <si>
    <t>AP BAR PRESTO UG MOVEL c/24</t>
  </si>
  <si>
    <t>Cookies Original Bauducco 24x60g</t>
  </si>
  <si>
    <t>Mais Mu Choco Wheyfer Cookies 25g C/12</t>
  </si>
  <si>
    <t>Mais Mu ChocoWheyfer D Leite 25g C/12</t>
  </si>
  <si>
    <t>Seda OCB PREMIUM 1.1/4 - C/ 25 unid.</t>
  </si>
  <si>
    <t>Seda OCB SLIM PREMIUM - c/ 50 unid.</t>
  </si>
  <si>
    <t>Seda OCB SLIM UNBLEACHED - c/ 50 unid.</t>
  </si>
  <si>
    <t>SEDA OCB UNBLEACHED 1.1/4 C/25</t>
  </si>
  <si>
    <t>Mais Mu Choco Wheyfer Chocolate 25g C/12</t>
  </si>
  <si>
    <t>MaisMu ChocoWhey Choco Bco 25g C/12</t>
  </si>
  <si>
    <t>Mais Mu Bebida Cappuccino 250ml c/12</t>
  </si>
  <si>
    <t>Seda OCB SLIM ULTIMATE - c/ 50 unid.</t>
  </si>
  <si>
    <t>Seda OCB ULTIMATE 1.1/4 - C/ 25 unid.</t>
  </si>
  <si>
    <t>Mais Mu ChocoWheyfer Pistache 25g C/12</t>
  </si>
  <si>
    <t>30.07.2026</t>
  </si>
  <si>
    <t>KENT Vermelho BOX HW25</t>
  </si>
  <si>
    <t>R219600</t>
  </si>
  <si>
    <t>R442186</t>
  </si>
  <si>
    <t>04.08.2026</t>
  </si>
  <si>
    <t>R442231</t>
  </si>
  <si>
    <t>R442246</t>
  </si>
  <si>
    <t>05.08.2026</t>
  </si>
  <si>
    <t>31.07.2026</t>
  </si>
  <si>
    <t>LUCKY STRIKE ORIGINAL BLUE BOX BFC</t>
  </si>
  <si>
    <t>BOBINA PREMIUM C/16</t>
  </si>
  <si>
    <t>R075802</t>
  </si>
  <si>
    <t>R219599</t>
  </si>
  <si>
    <t>R442232</t>
  </si>
  <si>
    <t>06.08.2026</t>
  </si>
  <si>
    <t>R442233</t>
  </si>
  <si>
    <t>R442235</t>
  </si>
  <si>
    <t>BIC EZ REACH 24X6 CX144</t>
  </si>
  <si>
    <t>R442236</t>
  </si>
  <si>
    <t>Filtro OCB LONG SLIM - c/10</t>
  </si>
  <si>
    <t>R442243</t>
  </si>
  <si>
    <t>R442245</t>
  </si>
  <si>
    <t>R07548531.07.20266497832</t>
  </si>
  <si>
    <t>R07549431.07.20266497525</t>
  </si>
  <si>
    <t>R07551731.07.20266497537</t>
  </si>
  <si>
    <t>R07554931.07.20266497843</t>
  </si>
  <si>
    <t>R07556431.07.20266497188</t>
  </si>
  <si>
    <t>R07559831.07.20266497428</t>
  </si>
  <si>
    <t>R07572731.07.20266497450</t>
  </si>
  <si>
    <t>R07580231.07.20266497187</t>
  </si>
  <si>
    <t>R21959931.07.20266497750</t>
  </si>
  <si>
    <t>R21960031.07.20266497427</t>
  </si>
  <si>
    <t>R21960131.07.20266497807</t>
  </si>
  <si>
    <t>R21960331.07.20266497865</t>
  </si>
  <si>
    <t>R21960631.07.20266497120</t>
  </si>
  <si>
    <t>R44218631.07.20266497930</t>
  </si>
  <si>
    <t>R44223131.07.20266497919</t>
  </si>
  <si>
    <t>R44223206.08.20266497848</t>
  </si>
  <si>
    <t>R44223304.08.20266498005</t>
  </si>
  <si>
    <t>R44223504.08.20266497770</t>
  </si>
  <si>
    <t>R44223605.08.20266497309</t>
  </si>
  <si>
    <t>R44224305.08.20266498121</t>
  </si>
  <si>
    <t>R44224504.08.20266498113</t>
  </si>
  <si>
    <t>R44224606.08.20266497509</t>
  </si>
  <si>
    <t>BR21960046234</t>
  </si>
  <si>
    <t>BR219600462346497427</t>
  </si>
  <si>
    <t>BR21960346234</t>
  </si>
  <si>
    <t>BR219603462346497865</t>
  </si>
  <si>
    <t>BR21959946234</t>
  </si>
  <si>
    <t>BR219599462346497750</t>
  </si>
  <si>
    <t>BR21960646234</t>
  </si>
  <si>
    <t>BR219606462346497120</t>
  </si>
  <si>
    <t>BR21960146234</t>
  </si>
  <si>
    <t>BR219601462346497807</t>
  </si>
  <si>
    <t>BR07554946234</t>
  </si>
  <si>
    <t>BR075549462346497843</t>
  </si>
  <si>
    <t>BR07580246234</t>
  </si>
  <si>
    <t>BR075802462346497187</t>
  </si>
  <si>
    <t>BR07559846234</t>
  </si>
  <si>
    <t>BR075598462346497428</t>
  </si>
  <si>
    <t>BR07572746234</t>
  </si>
  <si>
    <t>BR075727462346497450</t>
  </si>
  <si>
    <t>BR07548546234</t>
  </si>
  <si>
    <t>BR075485462346497832</t>
  </si>
  <si>
    <t>BR07556446234</t>
  </si>
  <si>
    <t>BR075564462346497188</t>
  </si>
  <si>
    <t>BR07549446234</t>
  </si>
  <si>
    <t>BR075494462346497525</t>
  </si>
  <si>
    <t>BR07551746234</t>
  </si>
  <si>
    <t>BR075517462346497537</t>
  </si>
  <si>
    <t>BR44223246240</t>
  </si>
  <si>
    <t>BR442232462406497848</t>
  </si>
  <si>
    <t>BR44224546238</t>
  </si>
  <si>
    <t>BR442245462386498113</t>
  </si>
  <si>
    <t>BR44218646234</t>
  </si>
  <si>
    <t>BR442186462346497930</t>
  </si>
  <si>
    <t>BR44223146234</t>
  </si>
  <si>
    <t>BR442231462346497919</t>
  </si>
  <si>
    <t>BR44224646240</t>
  </si>
  <si>
    <t>BR442246462406497509</t>
  </si>
  <si>
    <t>BR44223646239</t>
  </si>
  <si>
    <t>BR442236462396497309</t>
  </si>
  <si>
    <t>BR44224346239</t>
  </si>
  <si>
    <t>BR442243462396498121</t>
  </si>
  <si>
    <t>BR44223546238</t>
  </si>
  <si>
    <t>BR442235462386497770</t>
  </si>
  <si>
    <t>BR44223346238</t>
  </si>
  <si>
    <t>BR442233462386498005</t>
  </si>
  <si>
    <t>30.07</t>
  </si>
  <si>
    <t>LUCKY STRIKE RED PATERSON 1871 BOX BFC</t>
  </si>
  <si>
    <t>R07548831.07.20266498037</t>
  </si>
  <si>
    <t>BR07548846234</t>
  </si>
  <si>
    <t>BR075488462346498037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</si>
</sst>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* #,##0.00_);_(* \(#,##0.00\);_(* \-??_);_(@_)"/>
    <numFmt numFmtId="166" formatCode="_(&quot;R$&quot;* #,##0.00_);_(&quot;R$&quot;* \(#,##0.00\);_(&quot;R$&quot;* \-??_);_(@_)"/>
    <numFmt numFmtId="167" formatCode="#,##0.000"/>
    <numFmt numFmtId="168" formatCode="0.000"/>
    <numFmt numFmtId="169" formatCode="0.0"/>
    <numFmt numFmtId="170" formatCode="[$-F400]h:mm:ss\ AM/PM"/>
    <numFmt numFmtId="171" formatCode="#,##0_ ;\-#,##0\ "/>
  </numFmts>
  <fonts count="9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36"/>
      <name val="Arial"/>
      <family val="2"/>
    </font>
    <font>
      <u/>
      <sz val="12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26"/>
      <color theme="1"/>
      <name val="Calibri"/>
      <family val="2"/>
      <scheme val="minor"/>
    </font>
    <font>
      <b/>
      <sz val="12"/>
      <color theme="5" tint="-0.49995422223578601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5" tint="-0.49995422223578601"/>
      <name val="Arial"/>
      <family val="2"/>
    </font>
    <font>
      <b/>
      <sz val="14"/>
      <color theme="5" tint="-0.499984740745262"/>
      <name val="Arial"/>
      <family val="2"/>
    </font>
    <font>
      <b/>
      <sz val="13"/>
      <name val="Arial"/>
      <family val="2"/>
    </font>
    <font>
      <b/>
      <sz val="8"/>
      <name val="Calibri"/>
      <family val="2"/>
      <scheme val="minor"/>
    </font>
    <font>
      <sz val="8"/>
      <name val="Arial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name val="Calibri"/>
      <family val="2"/>
      <scheme val="minor"/>
    </font>
    <font>
      <b/>
      <sz val="22"/>
      <name val="Calibri"/>
      <family val="2"/>
      <scheme val="minor"/>
    </font>
    <font>
      <b/>
      <sz val="24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color theme="5" tint="-0.49995422223578601"/>
      <name val="Calibri"/>
      <family val="2"/>
      <scheme val="minor"/>
    </font>
    <font>
      <u/>
      <sz val="10"/>
      <color rgb="FFFF0000"/>
      <name val="Calibri"/>
      <family val="2"/>
      <scheme val="minor"/>
    </font>
    <font>
      <b/>
      <sz val="12"/>
      <color theme="5" tint="-0.49995422223578601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36"/>
      <name val="Calibri"/>
      <family val="2"/>
      <scheme val="minor"/>
    </font>
    <font>
      <b/>
      <sz val="14"/>
      <color theme="5" tint="-0.49995422223578601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5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5" tint="-0.49995422223578601"/>
      <name val="Calibri"/>
      <family val="2"/>
      <scheme val="minor"/>
    </font>
    <font>
      <i/>
      <u/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28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name val="Calibri Light"/>
      <family val="2"/>
    </font>
    <font>
      <b/>
      <sz val="8"/>
      <name val="Calibri Light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u/>
      <sz val="36"/>
      <name val="Book Antiqua"/>
      <family val="1"/>
    </font>
    <font>
      <b/>
      <sz val="11"/>
      <color theme="1"/>
      <name val="Calibri"/>
      <family val="2"/>
      <scheme val="minor"/>
    </font>
    <font>
      <b/>
      <sz val="11"/>
      <color theme="5" tint="-0.4999542222357860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8"/>
      <color theme="5" tint="-0.49995422223578601"/>
      <name val="Calibri"/>
      <family val="2"/>
      <scheme val="minor"/>
    </font>
    <font>
      <b/>
      <u/>
      <sz val="9"/>
      <color theme="0"/>
      <name val="Book Antiqua"/>
      <family val="1"/>
    </font>
    <font>
      <b/>
      <sz val="9"/>
      <color theme="0"/>
      <name val="Aptos Narrow"/>
      <family val="2"/>
    </font>
    <font>
      <sz val="9"/>
      <name val="Aptos Narrow"/>
      <family val="2"/>
    </font>
    <font>
      <sz val="9"/>
      <color indexed="8"/>
      <name val="Aptos Narrow"/>
      <family val="2"/>
    </font>
    <font>
      <sz val="10"/>
      <name val="Times New Roman"/>
      <family val="1"/>
    </font>
    <font>
      <sz val="12"/>
      <name val="Aptos"/>
      <family val="2"/>
    </font>
    <font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rgb="FF00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indexed="22"/>
      </patternFill>
    </fill>
    <fill>
      <patternFill patternType="solid">
        <fgColor theme="0" tint="-0.24994659260841701"/>
        <bgColor indexed="26"/>
      </patternFill>
    </fill>
    <fill>
      <patternFill patternType="solid">
        <fgColor theme="0"/>
        <bgColor indexed="22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 tint="-0.249977111117893"/>
        <b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indexed="26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theme="4" tint="0.59999389629810485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0000"/>
        <bgColor theme="4" tint="0.79998168889431442"/>
      </patternFill>
    </fill>
    <fill>
      <patternFill patternType="solid">
        <fgColor theme="9" tint="-0.249977111117893"/>
        <bgColor theme="4" tint="0.59999389629810485"/>
      </patternFill>
    </fill>
    <fill>
      <patternFill patternType="solid">
        <fgColor theme="9" tint="-0.249977111117893"/>
        <bgColor theme="4" tint="0.79998168889431442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3" tint="0.39997558519241921"/>
        <bgColor theme="4" tint="0.59999389629810485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8" tint="0.39997558519241921"/>
        <bgColor theme="4" tint="0.59999389629810485"/>
      </patternFill>
    </fill>
    <fill>
      <patternFill patternType="solid">
        <fgColor theme="8" tint="0.39997558519241921"/>
        <bgColor theme="4" tint="0.79998168889431442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3"/>
      </left>
      <right style="medium">
        <color indexed="63"/>
      </right>
      <top style="medium">
        <color indexed="64"/>
      </top>
      <bottom/>
      <diagonal/>
    </border>
    <border>
      <left style="medium">
        <color indexed="63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3"/>
      </bottom>
      <diagonal/>
    </border>
    <border>
      <left/>
      <right style="medium">
        <color indexed="63"/>
      </right>
      <top style="medium">
        <color indexed="64"/>
      </top>
      <bottom style="medium">
        <color indexed="63"/>
      </bottom>
      <diagonal/>
    </border>
    <border>
      <left style="medium">
        <color indexed="63"/>
      </left>
      <right/>
      <top style="medium">
        <color indexed="64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3"/>
      </bottom>
      <diagonal/>
    </border>
    <border>
      <left style="medium">
        <color indexed="63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/>
      <right style="medium">
        <color indexed="63"/>
      </right>
      <top/>
      <bottom style="medium">
        <color indexed="64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4"/>
      </right>
      <top style="medium">
        <color indexed="63"/>
      </top>
      <bottom/>
      <diagonal/>
    </border>
    <border>
      <left style="medium">
        <color indexed="63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3"/>
      </right>
      <top style="medium">
        <color indexed="64"/>
      </top>
      <bottom/>
      <diagonal/>
    </border>
    <border>
      <left style="medium">
        <color indexed="64"/>
      </left>
      <right style="medium">
        <color indexed="63"/>
      </right>
      <top/>
      <bottom style="medium">
        <color indexed="64"/>
      </bottom>
      <diagonal/>
    </border>
    <border>
      <left style="medium">
        <color indexed="63"/>
      </left>
      <right style="medium">
        <color indexed="63"/>
      </right>
      <top/>
      <bottom style="medium">
        <color indexed="64"/>
      </bottom>
      <diagonal/>
    </border>
    <border>
      <left style="medium">
        <color indexed="63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3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/>
      <diagonal/>
    </border>
    <border>
      <left style="medium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</borders>
  <cellStyleXfs count="16">
    <xf numFmtId="0" fontId="0" fillId="0" borderId="0"/>
    <xf numFmtId="0" fontId="5" fillId="0" borderId="0"/>
    <xf numFmtId="165" fontId="5" fillId="0" borderId="0" applyFill="0" applyBorder="0" applyAlignment="0" applyProtection="0"/>
    <xf numFmtId="166" fontId="5" fillId="0" borderId="0" applyFill="0" applyBorder="0" applyAlignment="0" applyProtection="0"/>
    <xf numFmtId="0" fontId="15" fillId="0" borderId="0" applyNumberFormat="0" applyFill="0" applyBorder="0" applyAlignment="0" applyProtection="0"/>
    <xf numFmtId="0" fontId="4" fillId="0" borderId="0"/>
    <xf numFmtId="0" fontId="5" fillId="0" borderId="0"/>
    <xf numFmtId="0" fontId="14" fillId="0" borderId="0"/>
    <xf numFmtId="0" fontId="3" fillId="0" borderId="0"/>
    <xf numFmtId="9" fontId="5" fillId="0" borderId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3" fillId="0" borderId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931">
    <xf numFmtId="0" fontId="0" fillId="0" borderId="0" xfId="0"/>
    <xf numFmtId="0" fontId="10" fillId="8" borderId="5" xfId="0" applyFont="1" applyFill="1" applyBorder="1" applyAlignment="1" applyProtection="1">
      <alignment vertical="center"/>
      <protection hidden="1"/>
    </xf>
    <xf numFmtId="1" fontId="8" fillId="10" borderId="17" xfId="0" applyNumberFormat="1" applyFont="1" applyFill="1" applyBorder="1" applyAlignment="1" applyProtection="1">
      <alignment vertical="center" wrapText="1"/>
      <protection locked="0"/>
    </xf>
    <xf numFmtId="1" fontId="8" fillId="10" borderId="18" xfId="0" applyNumberFormat="1" applyFont="1" applyFill="1" applyBorder="1" applyAlignment="1" applyProtection="1">
      <alignment vertical="center" wrapText="1"/>
      <protection locked="0"/>
    </xf>
    <xf numFmtId="1" fontId="8" fillId="10" borderId="0" xfId="0" applyNumberFormat="1" applyFont="1" applyFill="1" applyAlignment="1" applyProtection="1">
      <alignment vertical="center" wrapText="1"/>
      <protection locked="0"/>
    </xf>
    <xf numFmtId="49" fontId="7" fillId="10" borderId="38" xfId="0" applyNumberFormat="1" applyFont="1" applyFill="1" applyBorder="1" applyAlignment="1" applyProtection="1">
      <alignment vertical="center" wrapText="1"/>
      <protection locked="0"/>
    </xf>
    <xf numFmtId="0" fontId="7" fillId="10" borderId="39" xfId="0" applyFont="1" applyFill="1" applyBorder="1" applyAlignment="1" applyProtection="1">
      <alignment horizontal="center" vertical="center"/>
      <protection locked="0"/>
    </xf>
    <xf numFmtId="1" fontId="8" fillId="10" borderId="20" xfId="0" applyNumberFormat="1" applyFont="1" applyFill="1" applyBorder="1" applyAlignment="1" applyProtection="1">
      <alignment vertical="center"/>
      <protection locked="0"/>
    </xf>
    <xf numFmtId="49" fontId="7" fillId="10" borderId="21" xfId="0" applyNumberFormat="1" applyFont="1" applyFill="1" applyBorder="1" applyAlignment="1" applyProtection="1">
      <alignment vertical="center" wrapText="1"/>
      <protection locked="0"/>
    </xf>
    <xf numFmtId="0" fontId="10" fillId="9" borderId="31" xfId="0" applyFont="1" applyFill="1" applyBorder="1" applyAlignment="1" applyProtection="1">
      <alignment horizontal="center" vertical="center"/>
      <protection hidden="1"/>
    </xf>
    <xf numFmtId="0" fontId="10" fillId="9" borderId="43" xfId="0" applyFont="1" applyFill="1" applyBorder="1" applyAlignment="1" applyProtection="1">
      <alignment horizontal="center" vertical="center"/>
      <protection hidden="1"/>
    </xf>
    <xf numFmtId="167" fontId="17" fillId="3" borderId="1" xfId="0" applyNumberFormat="1" applyFont="1" applyFill="1" applyBorder="1" applyAlignment="1" applyProtection="1">
      <alignment horizontal="center" vertical="center"/>
      <protection locked="0"/>
    </xf>
    <xf numFmtId="1" fontId="10" fillId="8" borderId="5" xfId="0" applyNumberFormat="1" applyFont="1" applyFill="1" applyBorder="1" applyAlignment="1" applyProtection="1">
      <alignment vertical="center" wrapText="1"/>
      <protection hidden="1"/>
    </xf>
    <xf numFmtId="1" fontId="10" fillId="3" borderId="4" xfId="0" applyNumberFormat="1" applyFont="1" applyFill="1" applyBorder="1" applyAlignment="1" applyProtection="1">
      <alignment horizontal="center" vertical="center"/>
      <protection locked="0"/>
    </xf>
    <xf numFmtId="1" fontId="10" fillId="9" borderId="1" xfId="0" applyNumberFormat="1" applyFont="1" applyFill="1" applyBorder="1" applyAlignment="1" applyProtection="1">
      <alignment horizontal="center" vertical="center"/>
      <protection locked="0"/>
    </xf>
    <xf numFmtId="1" fontId="10" fillId="9" borderId="32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/>
    <xf numFmtId="0" fontId="10" fillId="3" borderId="66" xfId="0" applyFont="1" applyFill="1" applyBorder="1" applyAlignment="1" applyProtection="1">
      <alignment horizontal="center" vertical="center"/>
      <protection locked="0"/>
    </xf>
    <xf numFmtId="14" fontId="10" fillId="3" borderId="23" xfId="0" applyNumberFormat="1" applyFont="1" applyFill="1" applyBorder="1" applyAlignment="1" applyProtection="1">
      <alignment horizontal="center" vertical="center"/>
      <protection locked="0"/>
    </xf>
    <xf numFmtId="1" fontId="10" fillId="9" borderId="24" xfId="0" applyNumberFormat="1" applyFont="1" applyFill="1" applyBorder="1" applyAlignment="1" applyProtection="1">
      <alignment horizontal="center" vertical="center"/>
      <protection locked="0"/>
    </xf>
    <xf numFmtId="14" fontId="10" fillId="3" borderId="33" xfId="0" applyNumberFormat="1" applyFont="1" applyFill="1" applyBorder="1" applyAlignment="1" applyProtection="1">
      <alignment horizontal="center" vertical="center"/>
      <protection locked="0"/>
    </xf>
    <xf numFmtId="0" fontId="10" fillId="3" borderId="65" xfId="0" applyFont="1" applyFill="1" applyBorder="1" applyAlignment="1" applyProtection="1">
      <alignment horizontal="center" vertical="center"/>
      <protection locked="0"/>
    </xf>
    <xf numFmtId="1" fontId="10" fillId="3" borderId="24" xfId="0" applyNumberFormat="1" applyFont="1" applyFill="1" applyBorder="1" applyAlignment="1" applyProtection="1">
      <alignment horizontal="center" vertical="center"/>
      <protection locked="0"/>
    </xf>
    <xf numFmtId="14" fontId="10" fillId="3" borderId="31" xfId="0" applyNumberFormat="1" applyFont="1" applyFill="1" applyBorder="1" applyAlignment="1" applyProtection="1">
      <alignment horizontal="center" vertical="center"/>
      <protection locked="0"/>
    </xf>
    <xf numFmtId="167" fontId="17" fillId="3" borderId="24" xfId="0" applyNumberFormat="1" applyFont="1" applyFill="1" applyBorder="1" applyAlignment="1" applyProtection="1">
      <alignment horizontal="center" vertical="center"/>
      <protection locked="0"/>
    </xf>
    <xf numFmtId="1" fontId="10" fillId="3" borderId="1" xfId="0" applyNumberFormat="1" applyFont="1" applyFill="1" applyBorder="1" applyAlignment="1" applyProtection="1">
      <alignment horizontal="center" vertical="center"/>
      <protection locked="0"/>
    </xf>
    <xf numFmtId="0" fontId="10" fillId="3" borderId="67" xfId="0" applyFont="1" applyFill="1" applyBorder="1" applyAlignment="1" applyProtection="1">
      <alignment vertical="center"/>
      <protection hidden="1"/>
    </xf>
    <xf numFmtId="0" fontId="10" fillId="3" borderId="17" xfId="0" applyFont="1" applyFill="1" applyBorder="1" applyAlignment="1" applyProtection="1">
      <alignment vertical="center"/>
      <protection hidden="1"/>
    </xf>
    <xf numFmtId="0" fontId="10" fillId="3" borderId="18" xfId="0" applyFont="1" applyFill="1" applyBorder="1" applyAlignment="1" applyProtection="1">
      <alignment vertical="center"/>
      <protection hidden="1"/>
    </xf>
    <xf numFmtId="1" fontId="10" fillId="3" borderId="3" xfId="0" applyNumberFormat="1" applyFont="1" applyFill="1" applyBorder="1" applyAlignment="1" applyProtection="1">
      <alignment horizontal="center" vertical="center"/>
      <protection locked="0"/>
    </xf>
    <xf numFmtId="0" fontId="10" fillId="9" borderId="5" xfId="0" applyFont="1" applyFill="1" applyBorder="1" applyAlignment="1" applyProtection="1">
      <alignment horizontal="center" vertical="center"/>
      <protection locked="0"/>
    </xf>
    <xf numFmtId="1" fontId="8" fillId="10" borderId="0" xfId="0" applyNumberFormat="1" applyFont="1" applyFill="1" applyAlignment="1" applyProtection="1">
      <alignment horizontal="center" vertical="center" wrapText="1"/>
      <protection locked="0"/>
    </xf>
    <xf numFmtId="1" fontId="8" fillId="10" borderId="20" xfId="0" applyNumberFormat="1" applyFont="1" applyFill="1" applyBorder="1" applyAlignment="1" applyProtection="1">
      <alignment horizontal="center" vertical="center"/>
      <protection locked="0"/>
    </xf>
    <xf numFmtId="0" fontId="10" fillId="3" borderId="17" xfId="0" applyFont="1" applyFill="1" applyBorder="1" applyAlignment="1" applyProtection="1">
      <alignment horizontal="center" vertical="center"/>
      <protection hidden="1"/>
    </xf>
    <xf numFmtId="168" fontId="10" fillId="9" borderId="5" xfId="0" applyNumberFormat="1" applyFont="1" applyFill="1" applyBorder="1" applyAlignment="1" applyProtection="1">
      <alignment horizontal="center" vertical="center"/>
      <protection locked="0"/>
    </xf>
    <xf numFmtId="0" fontId="10" fillId="3" borderId="5" xfId="0" applyFont="1" applyFill="1" applyBorder="1" applyAlignment="1" applyProtection="1">
      <alignment horizontal="center" vertical="center"/>
      <protection locked="0"/>
    </xf>
    <xf numFmtId="1" fontId="8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21" fillId="6" borderId="40" xfId="0" applyFont="1" applyFill="1" applyBorder="1" applyAlignment="1">
      <alignment vertical="center" wrapText="1"/>
    </xf>
    <xf numFmtId="0" fontId="22" fillId="13" borderId="40" xfId="10" applyFont="1" applyFill="1" applyBorder="1" applyAlignment="1">
      <alignment horizontal="center" vertical="center"/>
    </xf>
    <xf numFmtId="164" fontId="22" fillId="13" borderId="40" xfId="11" applyFont="1" applyFill="1" applyBorder="1" applyAlignment="1">
      <alignment horizontal="center" vertical="center" wrapText="1"/>
    </xf>
    <xf numFmtId="171" fontId="22" fillId="13" borderId="40" xfId="11" applyNumberFormat="1" applyFont="1" applyFill="1" applyBorder="1" applyAlignment="1">
      <alignment horizontal="center" vertical="center"/>
    </xf>
    <xf numFmtId="164" fontId="22" fillId="13" borderId="22" xfId="11" applyFont="1" applyFill="1" applyBorder="1" applyAlignment="1">
      <alignment horizontal="center" vertical="center" wrapText="1"/>
    </xf>
    <xf numFmtId="0" fontId="23" fillId="0" borderId="0" xfId="12">
      <alignment vertical="center"/>
    </xf>
    <xf numFmtId="164" fontId="0" fillId="0" borderId="1" xfId="11" applyFont="1" applyBorder="1" applyAlignment="1">
      <alignment horizontal="center" vertical="center"/>
    </xf>
    <xf numFmtId="171" fontId="0" fillId="0" borderId="1" xfId="11" applyNumberFormat="1" applyFont="1" applyBorder="1" applyAlignment="1">
      <alignment horizontal="center" vertical="center"/>
    </xf>
    <xf numFmtId="164" fontId="0" fillId="0" borderId="43" xfId="11" applyFont="1" applyBorder="1" applyAlignment="1">
      <alignment horizontal="center" vertical="center"/>
    </xf>
    <xf numFmtId="1" fontId="2" fillId="0" borderId="1" xfId="10" applyNumberForma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6" borderId="22" xfId="0" applyFont="1" applyFill="1" applyBorder="1" applyAlignment="1">
      <alignment vertical="center" wrapText="1"/>
    </xf>
    <xf numFmtId="0" fontId="27" fillId="6" borderId="0" xfId="0" applyFont="1" applyFill="1" applyAlignment="1">
      <alignment vertical="center" wrapText="1"/>
    </xf>
    <xf numFmtId="0" fontId="28" fillId="6" borderId="0" xfId="0" applyFont="1" applyFill="1" applyAlignment="1">
      <alignment vertical="center" wrapText="1"/>
    </xf>
    <xf numFmtId="1" fontId="30" fillId="8" borderId="5" xfId="0" applyNumberFormat="1" applyFont="1" applyFill="1" applyBorder="1" applyAlignment="1" applyProtection="1">
      <alignment horizontal="center" vertical="center" wrapText="1"/>
      <protection hidden="1"/>
    </xf>
    <xf numFmtId="1" fontId="30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13" fillId="3" borderId="56" xfId="0" applyFont="1" applyFill="1" applyBorder="1" applyAlignment="1" applyProtection="1">
      <alignment horizontal="center" vertical="center" wrapText="1"/>
      <protection locked="0"/>
    </xf>
    <xf numFmtId="0" fontId="13" fillId="3" borderId="20" xfId="0" applyFont="1" applyFill="1" applyBorder="1" applyAlignment="1" applyProtection="1">
      <alignment horizontal="center" vertical="center" wrapText="1"/>
      <protection locked="0"/>
    </xf>
    <xf numFmtId="0" fontId="10" fillId="9" borderId="22" xfId="0" applyFont="1" applyFill="1" applyBorder="1" applyAlignment="1" applyProtection="1">
      <alignment horizontal="center" vertical="center"/>
      <protection locked="0"/>
    </xf>
    <xf numFmtId="3" fontId="30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32" fillId="5" borderId="9" xfId="0" applyFont="1" applyFill="1" applyBorder="1" applyAlignment="1">
      <alignment horizontal="center" vertical="center" wrapText="1"/>
    </xf>
    <xf numFmtId="0" fontId="32" fillId="5" borderId="10" xfId="0" applyFont="1" applyFill="1" applyBorder="1" applyAlignment="1">
      <alignment horizontal="center" vertical="center" wrapText="1"/>
    </xf>
    <xf numFmtId="0" fontId="32" fillId="5" borderId="11" xfId="0" applyFont="1" applyFill="1" applyBorder="1" applyAlignment="1">
      <alignment horizontal="center" vertical="center" wrapText="1"/>
    </xf>
    <xf numFmtId="0" fontId="33" fillId="0" borderId="0" xfId="0" applyFont="1"/>
    <xf numFmtId="0" fontId="34" fillId="5" borderId="45" xfId="0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4" fillId="5" borderId="34" xfId="0" applyFont="1" applyFill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36" fillId="0" borderId="0" xfId="0" applyFont="1" applyAlignment="1">
      <alignment horizontal="center"/>
    </xf>
    <xf numFmtId="169" fontId="36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18" fillId="0" borderId="5" xfId="0" applyFont="1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42" fillId="0" borderId="6" xfId="13" applyNumberFormat="1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2" fillId="5" borderId="7" xfId="13" applyNumberFormat="1" applyFont="1" applyFill="1" applyBorder="1" applyAlignment="1">
      <alignment horizontal="center"/>
    </xf>
    <xf numFmtId="0" fontId="42" fillId="5" borderId="1" xfId="0" applyFont="1" applyFill="1" applyBorder="1" applyAlignment="1">
      <alignment horizontal="center"/>
    </xf>
    <xf numFmtId="0" fontId="43" fillId="5" borderId="1" xfId="0" applyFont="1" applyFill="1" applyBorder="1" applyAlignment="1">
      <alignment horizontal="center"/>
    </xf>
    <xf numFmtId="0" fontId="41" fillId="0" borderId="0" xfId="0" applyFont="1"/>
    <xf numFmtId="0" fontId="21" fillId="6" borderId="59" xfId="0" applyFont="1" applyFill="1" applyBorder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21" fillId="6" borderId="14" xfId="0" applyFont="1" applyFill="1" applyBorder="1" applyAlignment="1">
      <alignment horizontal="center" vertical="center" wrapText="1"/>
    </xf>
    <xf numFmtId="0" fontId="22" fillId="6" borderId="14" xfId="0" applyFont="1" applyFill="1" applyBorder="1" applyAlignment="1">
      <alignment horizontal="center" vertical="center" wrapText="1"/>
    </xf>
    <xf numFmtId="168" fontId="36" fillId="0" borderId="76" xfId="0" applyNumberFormat="1" applyFont="1" applyBorder="1" applyAlignment="1">
      <alignment horizontal="center"/>
    </xf>
    <xf numFmtId="169" fontId="36" fillId="0" borderId="76" xfId="0" applyNumberFormat="1" applyFont="1" applyBorder="1" applyAlignment="1">
      <alignment horizontal="center"/>
    </xf>
    <xf numFmtId="0" fontId="36" fillId="0" borderId="76" xfId="0" applyFont="1" applyBorder="1" applyAlignment="1">
      <alignment horizontal="center"/>
    </xf>
    <xf numFmtId="0" fontId="36" fillId="0" borderId="76" xfId="0" applyFont="1" applyBorder="1" applyAlignment="1">
      <alignment horizontal="center" vertical="center"/>
    </xf>
    <xf numFmtId="168" fontId="36" fillId="0" borderId="76" xfId="0" applyNumberFormat="1" applyFont="1" applyBorder="1" applyAlignment="1">
      <alignment horizontal="center" vertical="center"/>
    </xf>
    <xf numFmtId="20" fontId="37" fillId="0" borderId="76" xfId="0" applyNumberFormat="1" applyFont="1" applyBorder="1" applyAlignment="1">
      <alignment horizontal="center"/>
    </xf>
    <xf numFmtId="0" fontId="37" fillId="12" borderId="76" xfId="0" applyFont="1" applyFill="1" applyBorder="1" applyAlignment="1">
      <alignment horizontal="center"/>
    </xf>
    <xf numFmtId="1" fontId="36" fillId="0" borderId="76" xfId="0" applyNumberFormat="1" applyFont="1" applyBorder="1" applyAlignment="1">
      <alignment horizontal="center"/>
    </xf>
    <xf numFmtId="0" fontId="36" fillId="0" borderId="80" xfId="0" applyFont="1" applyBorder="1"/>
    <xf numFmtId="0" fontId="38" fillId="11" borderId="78" xfId="0" applyFont="1" applyFill="1" applyBorder="1" applyAlignment="1">
      <alignment horizontal="center" vertical="center"/>
    </xf>
    <xf numFmtId="0" fontId="38" fillId="11" borderId="79" xfId="0" applyFont="1" applyFill="1" applyBorder="1" applyAlignment="1">
      <alignment horizontal="center" vertical="center"/>
    </xf>
    <xf numFmtId="169" fontId="36" fillId="0" borderId="81" xfId="0" applyNumberFormat="1" applyFont="1" applyBorder="1" applyAlignment="1">
      <alignment horizontal="center" vertical="center"/>
    </xf>
    <xf numFmtId="169" fontId="36" fillId="0" borderId="84" xfId="0" applyNumberFormat="1" applyFont="1" applyBorder="1" applyAlignment="1">
      <alignment horizontal="center" vertical="center"/>
    </xf>
    <xf numFmtId="0" fontId="38" fillId="11" borderId="77" xfId="0" applyFont="1" applyFill="1" applyBorder="1"/>
    <xf numFmtId="0" fontId="38" fillId="11" borderId="78" xfId="0" applyFont="1" applyFill="1" applyBorder="1" applyAlignment="1">
      <alignment horizontal="center"/>
    </xf>
    <xf numFmtId="0" fontId="38" fillId="11" borderId="79" xfId="0" applyFont="1" applyFill="1" applyBorder="1" applyAlignment="1">
      <alignment horizontal="center"/>
    </xf>
    <xf numFmtId="0" fontId="36" fillId="0" borderId="81" xfId="0" applyFont="1" applyBorder="1" applyAlignment="1">
      <alignment horizontal="center"/>
    </xf>
    <xf numFmtId="0" fontId="36" fillId="0" borderId="82" xfId="0" applyFont="1" applyBorder="1"/>
    <xf numFmtId="168" fontId="36" fillId="0" borderId="83" xfId="0" applyNumberFormat="1" applyFont="1" applyBorder="1" applyAlignment="1">
      <alignment horizontal="center"/>
    </xf>
    <xf numFmtId="169" fontId="36" fillId="0" borderId="83" xfId="0" applyNumberFormat="1" applyFont="1" applyBorder="1" applyAlignment="1">
      <alignment horizontal="center"/>
    </xf>
    <xf numFmtId="0" fontId="36" fillId="0" borderId="83" xfId="0" applyFont="1" applyBorder="1" applyAlignment="1">
      <alignment horizontal="center"/>
    </xf>
    <xf numFmtId="0" fontId="36" fillId="0" borderId="84" xfId="0" applyFont="1" applyBorder="1" applyAlignment="1">
      <alignment horizontal="center"/>
    </xf>
    <xf numFmtId="0" fontId="35" fillId="0" borderId="77" xfId="0" applyFont="1" applyBorder="1"/>
    <xf numFmtId="0" fontId="35" fillId="0" borderId="80" xfId="0" applyFont="1" applyBorder="1"/>
    <xf numFmtId="0" fontId="35" fillId="0" borderId="82" xfId="0" applyFont="1" applyBorder="1"/>
    <xf numFmtId="0" fontId="38" fillId="11" borderId="77" xfId="0" applyFont="1" applyFill="1" applyBorder="1" applyAlignment="1">
      <alignment horizontal="left" vertical="center"/>
    </xf>
    <xf numFmtId="0" fontId="36" fillId="0" borderId="80" xfId="0" applyFont="1" applyBorder="1" applyAlignment="1">
      <alignment horizontal="left" vertical="center"/>
    </xf>
    <xf numFmtId="0" fontId="36" fillId="0" borderId="82" xfId="0" applyFont="1" applyBorder="1" applyAlignment="1">
      <alignment horizontal="left" vertical="center"/>
    </xf>
    <xf numFmtId="0" fontId="36" fillId="0" borderId="0" xfId="0" applyFont="1" applyAlignment="1">
      <alignment horizontal="left"/>
    </xf>
    <xf numFmtId="0" fontId="18" fillId="0" borderId="16" xfId="0" applyFont="1" applyBorder="1" applyProtection="1">
      <protection locked="0"/>
    </xf>
    <xf numFmtId="0" fontId="18" fillId="0" borderId="17" xfId="0" applyFont="1" applyBorder="1"/>
    <xf numFmtId="49" fontId="48" fillId="10" borderId="18" xfId="0" applyNumberFormat="1" applyFont="1" applyFill="1" applyBorder="1" applyAlignment="1" applyProtection="1">
      <alignment vertical="center" wrapText="1"/>
      <protection locked="0"/>
    </xf>
    <xf numFmtId="0" fontId="19" fillId="3" borderId="1" xfId="0" applyFont="1" applyFill="1" applyBorder="1" applyProtection="1">
      <protection locked="0"/>
    </xf>
    <xf numFmtId="0" fontId="19" fillId="0" borderId="1" xfId="0" applyFont="1" applyBorder="1"/>
    <xf numFmtId="0" fontId="53" fillId="0" borderId="0" xfId="4" applyFont="1" applyProtection="1">
      <protection locked="0"/>
    </xf>
    <xf numFmtId="0" fontId="18" fillId="0" borderId="37" xfId="0" applyFont="1" applyBorder="1" applyProtection="1">
      <protection locked="0"/>
    </xf>
    <xf numFmtId="49" fontId="45" fillId="8" borderId="5" xfId="0" applyNumberFormat="1" applyFont="1" applyFill="1" applyBorder="1" applyAlignment="1" applyProtection="1">
      <alignment horizontal="center" vertical="center" wrapText="1"/>
      <protection hidden="1"/>
    </xf>
    <xf numFmtId="1" fontId="45" fillId="0" borderId="5" xfId="0" applyNumberFormat="1" applyFont="1" applyBorder="1" applyAlignment="1" applyProtection="1">
      <alignment horizontal="center" vertical="center" wrapText="1"/>
      <protection hidden="1"/>
    </xf>
    <xf numFmtId="3" fontId="45" fillId="0" borderId="22" xfId="0" applyNumberFormat="1" applyFont="1" applyBorder="1" applyAlignment="1" applyProtection="1">
      <alignment horizontal="center" vertical="center" wrapText="1"/>
      <protection hidden="1"/>
    </xf>
    <xf numFmtId="49" fontId="45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45" fillId="0" borderId="22" xfId="0" applyNumberFormat="1" applyFont="1" applyBorder="1" applyAlignment="1" applyProtection="1">
      <alignment horizontal="center" vertical="center" wrapText="1"/>
      <protection hidden="1"/>
    </xf>
    <xf numFmtId="49" fontId="48" fillId="10" borderId="38" xfId="0" applyNumberFormat="1" applyFont="1" applyFill="1" applyBorder="1" applyAlignment="1" applyProtection="1">
      <alignment vertical="center" wrapText="1"/>
      <protection locked="0"/>
    </xf>
    <xf numFmtId="0" fontId="18" fillId="0" borderId="19" xfId="0" applyFont="1" applyBorder="1" applyProtection="1">
      <protection locked="0"/>
    </xf>
    <xf numFmtId="0" fontId="18" fillId="0" borderId="20" xfId="0" applyFont="1" applyBorder="1"/>
    <xf numFmtId="0" fontId="45" fillId="8" borderId="5" xfId="0" applyFont="1" applyFill="1" applyBorder="1" applyAlignment="1" applyProtection="1">
      <alignment horizontal="center" vertical="center"/>
      <protection hidden="1"/>
    </xf>
    <xf numFmtId="1" fontId="45" fillId="0" borderId="22" xfId="0" applyNumberFormat="1" applyFont="1" applyBorder="1" applyAlignment="1" applyProtection="1">
      <alignment horizontal="center" vertical="center"/>
      <protection hidden="1"/>
    </xf>
    <xf numFmtId="0" fontId="44" fillId="9" borderId="19" xfId="0" applyFont="1" applyFill="1" applyBorder="1" applyAlignment="1" applyProtection="1">
      <alignment horizontal="center" vertical="center"/>
      <protection hidden="1"/>
    </xf>
    <xf numFmtId="0" fontId="44" fillId="9" borderId="59" xfId="0" applyFont="1" applyFill="1" applyBorder="1" applyAlignment="1" applyProtection="1">
      <alignment horizontal="center" vertical="center"/>
      <protection hidden="1"/>
    </xf>
    <xf numFmtId="0" fontId="44" fillId="9" borderId="54" xfId="0" applyFont="1" applyFill="1" applyBorder="1" applyAlignment="1" applyProtection="1">
      <alignment horizontal="center" vertical="center" wrapText="1"/>
      <protection hidden="1"/>
    </xf>
    <xf numFmtId="0" fontId="44" fillId="9" borderId="58" xfId="0" applyFont="1" applyFill="1" applyBorder="1" applyAlignment="1" applyProtection="1">
      <alignment horizontal="center" vertical="center" wrapText="1"/>
      <protection hidden="1"/>
    </xf>
    <xf numFmtId="0" fontId="44" fillId="9" borderId="59" xfId="0" applyFont="1" applyFill="1" applyBorder="1" applyAlignment="1" applyProtection="1">
      <alignment horizontal="center" vertical="center" wrapText="1"/>
      <protection hidden="1"/>
    </xf>
    <xf numFmtId="0" fontId="18" fillId="3" borderId="0" xfId="0" applyFont="1" applyFill="1" applyProtection="1">
      <protection locked="0"/>
    </xf>
    <xf numFmtId="0" fontId="18" fillId="0" borderId="0" xfId="0" applyFont="1" applyProtection="1">
      <protection hidden="1"/>
    </xf>
    <xf numFmtId="0" fontId="45" fillId="7" borderId="45" xfId="0" applyFont="1" applyFill="1" applyBorder="1" applyAlignment="1" applyProtection="1">
      <alignment horizontal="center"/>
      <protection hidden="1"/>
    </xf>
    <xf numFmtId="0" fontId="45" fillId="9" borderId="12" xfId="0" applyFont="1" applyFill="1" applyBorder="1" applyAlignment="1" applyProtection="1">
      <alignment horizontal="center" vertical="center"/>
      <protection hidden="1"/>
    </xf>
    <xf numFmtId="0" fontId="22" fillId="0" borderId="12" xfId="0" applyFont="1" applyBorder="1" applyAlignment="1" applyProtection="1">
      <alignment horizontal="center" vertical="center"/>
      <protection locked="0"/>
    </xf>
    <xf numFmtId="14" fontId="22" fillId="9" borderId="12" xfId="0" applyNumberFormat="1" applyFont="1" applyFill="1" applyBorder="1" applyAlignment="1" applyProtection="1">
      <alignment horizontal="center" vertical="center"/>
      <protection hidden="1"/>
    </xf>
    <xf numFmtId="167" fontId="54" fillId="9" borderId="12" xfId="0" applyNumberFormat="1" applyFont="1" applyFill="1" applyBorder="1" applyAlignment="1" applyProtection="1">
      <alignment horizontal="center" vertical="center"/>
      <protection hidden="1"/>
    </xf>
    <xf numFmtId="3" fontId="22" fillId="9" borderId="12" xfId="0" applyNumberFormat="1" applyFont="1" applyFill="1" applyBorder="1" applyAlignment="1" applyProtection="1">
      <alignment horizontal="center" vertical="center"/>
      <protection hidden="1"/>
    </xf>
    <xf numFmtId="0" fontId="22" fillId="3" borderId="12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 applyProtection="1">
      <alignment horizontal="center" vertical="center" wrapText="1"/>
      <protection locked="0"/>
    </xf>
    <xf numFmtId="0" fontId="45" fillId="7" borderId="29" xfId="0" applyFont="1" applyFill="1" applyBorder="1" applyAlignment="1" applyProtection="1">
      <alignment horizontal="center"/>
      <protection hidden="1"/>
    </xf>
    <xf numFmtId="0" fontId="45" fillId="9" borderId="4" xfId="0" applyFont="1" applyFill="1" applyBorder="1" applyAlignment="1" applyProtection="1">
      <alignment horizontal="center" vertical="center"/>
      <protection hidden="1"/>
    </xf>
    <xf numFmtId="0" fontId="22" fillId="3" borderId="4" xfId="0" applyFont="1" applyFill="1" applyBorder="1" applyAlignment="1" applyProtection="1">
      <alignment horizontal="center" vertical="center"/>
      <protection locked="0"/>
    </xf>
    <xf numFmtId="14" fontId="22" fillId="9" borderId="4" xfId="0" applyNumberFormat="1" applyFont="1" applyFill="1" applyBorder="1" applyAlignment="1" applyProtection="1">
      <alignment horizontal="center" vertical="center"/>
      <protection hidden="1"/>
    </xf>
    <xf numFmtId="167" fontId="54" fillId="9" borderId="1" xfId="0" applyNumberFormat="1" applyFont="1" applyFill="1" applyBorder="1" applyAlignment="1" applyProtection="1">
      <alignment horizontal="center" vertical="center"/>
      <protection hidden="1"/>
    </xf>
    <xf numFmtId="3" fontId="22" fillId="9" borderId="4" xfId="0" applyNumberFormat="1" applyFont="1" applyFill="1" applyBorder="1" applyAlignment="1" applyProtection="1">
      <alignment horizontal="center" vertical="center"/>
      <protection hidden="1"/>
    </xf>
    <xf numFmtId="0" fontId="22" fillId="3" borderId="1" xfId="0" applyFont="1" applyFill="1" applyBorder="1" applyAlignment="1">
      <alignment horizontal="center" vertical="center" wrapText="1"/>
    </xf>
    <xf numFmtId="0" fontId="45" fillId="3" borderId="30" xfId="0" applyFont="1" applyFill="1" applyBorder="1" applyAlignment="1" applyProtection="1">
      <alignment horizontal="center" vertical="center" wrapText="1"/>
      <protection locked="0"/>
    </xf>
    <xf numFmtId="0" fontId="45" fillId="7" borderId="9" xfId="0" applyFont="1" applyFill="1" applyBorder="1" applyAlignment="1" applyProtection="1">
      <alignment horizontal="center"/>
      <protection hidden="1"/>
    </xf>
    <xf numFmtId="0" fontId="45" fillId="9" borderId="10" xfId="0" applyFont="1" applyFill="1" applyBorder="1" applyAlignment="1" applyProtection="1">
      <alignment horizontal="center" vertical="center"/>
      <protection hidden="1"/>
    </xf>
    <xf numFmtId="0" fontId="22" fillId="9" borderId="10" xfId="0" applyFont="1" applyFill="1" applyBorder="1" applyAlignment="1" applyProtection="1">
      <alignment horizontal="center" vertical="center"/>
      <protection hidden="1"/>
    </xf>
    <xf numFmtId="14" fontId="22" fillId="9" borderId="10" xfId="0" applyNumberFormat="1" applyFont="1" applyFill="1" applyBorder="1" applyAlignment="1" applyProtection="1">
      <alignment horizontal="center" vertical="center"/>
      <protection hidden="1"/>
    </xf>
    <xf numFmtId="167" fontId="54" fillId="9" borderId="10" xfId="0" applyNumberFormat="1" applyFont="1" applyFill="1" applyBorder="1" applyAlignment="1" applyProtection="1">
      <alignment horizontal="center" vertical="center"/>
      <protection hidden="1"/>
    </xf>
    <xf numFmtId="3" fontId="22" fillId="9" borderId="10" xfId="0" applyNumberFormat="1" applyFont="1" applyFill="1" applyBorder="1" applyAlignment="1" applyProtection="1">
      <alignment horizontal="center" vertical="center"/>
      <protection hidden="1"/>
    </xf>
    <xf numFmtId="3" fontId="22" fillId="9" borderId="11" xfId="0" applyNumberFormat="1" applyFont="1" applyFill="1" applyBorder="1" applyAlignment="1" applyProtection="1">
      <alignment horizontal="center" vertical="center"/>
      <protection hidden="1"/>
    </xf>
    <xf numFmtId="3" fontId="22" fillId="9" borderId="5" xfId="0" applyNumberFormat="1" applyFont="1" applyFill="1" applyBorder="1" applyAlignment="1" applyProtection="1">
      <alignment horizontal="center" vertical="center"/>
      <protection hidden="1"/>
    </xf>
    <xf numFmtId="2" fontId="45" fillId="3" borderId="30" xfId="0" applyNumberFormat="1" applyFont="1" applyFill="1" applyBorder="1" applyAlignment="1" applyProtection="1">
      <alignment horizontal="center" vertical="center" wrapText="1"/>
      <protection locked="0"/>
    </xf>
    <xf numFmtId="0" fontId="43" fillId="8" borderId="51" xfId="0" applyFont="1" applyFill="1" applyBorder="1" applyAlignment="1" applyProtection="1">
      <alignment vertical="center"/>
      <protection hidden="1"/>
    </xf>
    <xf numFmtId="0" fontId="43" fillId="8" borderId="22" xfId="0" applyFont="1" applyFill="1" applyBorder="1" applyAlignment="1" applyProtection="1">
      <alignment vertical="center"/>
      <protection hidden="1"/>
    </xf>
    <xf numFmtId="1" fontId="48" fillId="10" borderId="17" xfId="0" applyNumberFormat="1" applyFont="1" applyFill="1" applyBorder="1" applyAlignment="1" applyProtection="1">
      <alignment horizontal="center" vertical="center" wrapText="1"/>
      <protection locked="0"/>
    </xf>
    <xf numFmtId="1" fontId="48" fillId="10" borderId="18" xfId="0" applyNumberFormat="1" applyFont="1" applyFill="1" applyBorder="1" applyAlignment="1" applyProtection="1">
      <alignment vertical="center" wrapText="1"/>
      <protection locked="0"/>
    </xf>
    <xf numFmtId="0" fontId="19" fillId="0" borderId="0" xfId="0" applyFont="1"/>
    <xf numFmtId="0" fontId="59" fillId="0" borderId="0" xfId="4" applyFont="1"/>
    <xf numFmtId="1" fontId="58" fillId="8" borderId="5" xfId="0" applyNumberFormat="1" applyFont="1" applyFill="1" applyBorder="1" applyAlignment="1" applyProtection="1">
      <alignment horizontal="center" vertical="center" wrapText="1"/>
      <protection hidden="1"/>
    </xf>
    <xf numFmtId="1" fontId="58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48" fillId="10" borderId="0" xfId="0" applyNumberFormat="1" applyFont="1" applyFill="1" applyAlignment="1" applyProtection="1">
      <alignment horizontal="center" vertical="center" wrapText="1"/>
      <protection locked="0"/>
    </xf>
    <xf numFmtId="49" fontId="46" fillId="10" borderId="38" xfId="0" applyNumberFormat="1" applyFont="1" applyFill="1" applyBorder="1" applyAlignment="1" applyProtection="1">
      <alignment vertical="center" wrapText="1"/>
      <protection locked="0"/>
    </xf>
    <xf numFmtId="0" fontId="19" fillId="3" borderId="45" xfId="0" applyFont="1" applyFill="1" applyBorder="1" applyProtection="1">
      <protection locked="0"/>
    </xf>
    <xf numFmtId="0" fontId="19" fillId="0" borderId="13" xfId="0" applyFont="1" applyBorder="1"/>
    <xf numFmtId="0" fontId="19" fillId="3" borderId="34" xfId="0" applyFont="1" applyFill="1" applyBorder="1" applyProtection="1">
      <protection locked="0"/>
    </xf>
    <xf numFmtId="14" fontId="19" fillId="0" borderId="36" xfId="0" applyNumberFormat="1" applyFont="1" applyBorder="1"/>
    <xf numFmtId="0" fontId="45" fillId="8" borderId="5" xfId="0" applyFont="1" applyFill="1" applyBorder="1" applyAlignment="1" applyProtection="1">
      <alignment vertical="center"/>
      <protection hidden="1"/>
    </xf>
    <xf numFmtId="0" fontId="46" fillId="10" borderId="39" xfId="0" applyFont="1" applyFill="1" applyBorder="1" applyAlignment="1" applyProtection="1">
      <alignment horizontal="center" vertical="center"/>
      <protection locked="0"/>
    </xf>
    <xf numFmtId="1" fontId="45" fillId="8" borderId="5" xfId="0" applyNumberFormat="1" applyFont="1" applyFill="1" applyBorder="1" applyAlignment="1" applyProtection="1">
      <alignment vertical="center" wrapText="1"/>
      <protection hidden="1"/>
    </xf>
    <xf numFmtId="1" fontId="60" fillId="10" borderId="5" xfId="0" applyNumberFormat="1" applyFont="1" applyFill="1" applyBorder="1" applyAlignment="1" applyProtection="1">
      <alignment horizontal="center" vertical="center" wrapText="1"/>
      <protection locked="0"/>
    </xf>
    <xf numFmtId="1" fontId="43" fillId="8" borderId="22" xfId="0" applyNumberFormat="1" applyFont="1" applyFill="1" applyBorder="1" applyAlignment="1" applyProtection="1">
      <alignment vertical="center" wrapText="1"/>
      <protection hidden="1"/>
    </xf>
    <xf numFmtId="49" fontId="43" fillId="8" borderId="40" xfId="0" applyNumberFormat="1" applyFont="1" applyFill="1" applyBorder="1" applyAlignment="1" applyProtection="1">
      <alignment vertical="center" wrapText="1"/>
      <protection hidden="1"/>
    </xf>
    <xf numFmtId="1" fontId="48" fillId="10" borderId="20" xfId="0" applyNumberFormat="1" applyFont="1" applyFill="1" applyBorder="1" applyAlignment="1" applyProtection="1">
      <alignment horizontal="center" vertical="center"/>
      <protection locked="0"/>
    </xf>
    <xf numFmtId="49" fontId="46" fillId="10" borderId="21" xfId="0" applyNumberFormat="1" applyFont="1" applyFill="1" applyBorder="1" applyAlignment="1" applyProtection="1">
      <alignment vertical="center" wrapText="1"/>
      <protection locked="0"/>
    </xf>
    <xf numFmtId="0" fontId="45" fillId="9" borderId="31" xfId="0" applyFont="1" applyFill="1" applyBorder="1" applyAlignment="1" applyProtection="1">
      <alignment horizontal="center" vertical="center"/>
      <protection hidden="1"/>
    </xf>
    <xf numFmtId="0" fontId="45" fillId="9" borderId="43" xfId="0" applyFont="1" applyFill="1" applyBorder="1" applyAlignment="1" applyProtection="1">
      <alignment horizontal="center" vertical="center"/>
      <protection hidden="1"/>
    </xf>
    <xf numFmtId="0" fontId="45" fillId="3" borderId="65" xfId="0" applyFont="1" applyFill="1" applyBorder="1" applyAlignment="1" applyProtection="1">
      <alignment horizontal="center" vertical="center"/>
      <protection locked="0"/>
    </xf>
    <xf numFmtId="14" fontId="45" fillId="3" borderId="23" xfId="0" applyNumberFormat="1" applyFont="1" applyFill="1" applyBorder="1" applyAlignment="1" applyProtection="1">
      <alignment horizontal="center" vertical="center"/>
      <protection locked="0"/>
    </xf>
    <xf numFmtId="167" fontId="54" fillId="3" borderId="24" xfId="0" applyNumberFormat="1" applyFont="1" applyFill="1" applyBorder="1" applyAlignment="1" applyProtection="1">
      <alignment horizontal="center" vertical="center"/>
      <protection locked="0"/>
    </xf>
    <xf numFmtId="1" fontId="45" fillId="9" borderId="24" xfId="0" applyNumberFormat="1" applyFont="1" applyFill="1" applyBorder="1" applyAlignment="1" applyProtection="1">
      <alignment horizontal="center" vertical="center"/>
      <protection locked="0"/>
    </xf>
    <xf numFmtId="1" fontId="45" fillId="3" borderId="24" xfId="0" applyNumberFormat="1" applyFont="1" applyFill="1" applyBorder="1" applyAlignment="1" applyProtection="1">
      <alignment horizontal="center" vertical="center"/>
      <protection locked="0"/>
    </xf>
    <xf numFmtId="0" fontId="18" fillId="3" borderId="70" xfId="0" applyFont="1" applyFill="1" applyBorder="1" applyProtection="1">
      <protection locked="0"/>
    </xf>
    <xf numFmtId="0" fontId="45" fillId="3" borderId="66" xfId="0" applyFont="1" applyFill="1" applyBorder="1" applyAlignment="1" applyProtection="1">
      <alignment horizontal="center" vertical="center"/>
      <protection locked="0"/>
    </xf>
    <xf numFmtId="14" fontId="45" fillId="3" borderId="31" xfId="0" applyNumberFormat="1" applyFont="1" applyFill="1" applyBorder="1" applyAlignment="1" applyProtection="1">
      <alignment horizontal="center" vertical="center"/>
      <protection locked="0"/>
    </xf>
    <xf numFmtId="167" fontId="54" fillId="3" borderId="1" xfId="0" applyNumberFormat="1" applyFont="1" applyFill="1" applyBorder="1" applyAlignment="1" applyProtection="1">
      <alignment horizontal="center" vertical="center"/>
      <protection locked="0"/>
    </xf>
    <xf numFmtId="1" fontId="45" fillId="9" borderId="1" xfId="0" applyNumberFormat="1" applyFont="1" applyFill="1" applyBorder="1" applyAlignment="1" applyProtection="1">
      <alignment horizontal="center" vertical="center"/>
      <protection locked="0"/>
    </xf>
    <xf numFmtId="1" fontId="45" fillId="3" borderId="1" xfId="0" applyNumberFormat="1" applyFont="1" applyFill="1" applyBorder="1" applyAlignment="1" applyProtection="1">
      <alignment horizontal="center" vertical="center"/>
      <protection locked="0"/>
    </xf>
    <xf numFmtId="0" fontId="18" fillId="3" borderId="71" xfId="0" applyFont="1" applyFill="1" applyBorder="1" applyProtection="1">
      <protection locked="0"/>
    </xf>
    <xf numFmtId="1" fontId="45" fillId="3" borderId="4" xfId="0" applyNumberFormat="1" applyFont="1" applyFill="1" applyBorder="1" applyAlignment="1" applyProtection="1">
      <alignment horizontal="center" vertical="center"/>
      <protection locked="0"/>
    </xf>
    <xf numFmtId="14" fontId="45" fillId="3" borderId="33" xfId="0" applyNumberFormat="1" applyFont="1" applyFill="1" applyBorder="1" applyAlignment="1" applyProtection="1">
      <alignment horizontal="center" vertical="center"/>
      <protection locked="0"/>
    </xf>
    <xf numFmtId="1" fontId="45" fillId="9" borderId="32" xfId="0" applyNumberFormat="1" applyFont="1" applyFill="1" applyBorder="1" applyAlignment="1" applyProtection="1">
      <alignment horizontal="center" vertical="center"/>
      <protection locked="0"/>
    </xf>
    <xf numFmtId="1" fontId="45" fillId="3" borderId="3" xfId="0" applyNumberFormat="1" applyFont="1" applyFill="1" applyBorder="1" applyAlignment="1" applyProtection="1">
      <alignment horizontal="center" vertical="center"/>
      <protection locked="0"/>
    </xf>
    <xf numFmtId="0" fontId="45" fillId="3" borderId="5" xfId="0" applyFont="1" applyFill="1" applyBorder="1" applyAlignment="1" applyProtection="1">
      <alignment horizontal="center" vertical="center"/>
      <protection locked="0"/>
    </xf>
    <xf numFmtId="0" fontId="45" fillId="9" borderId="5" xfId="0" applyFont="1" applyFill="1" applyBorder="1" applyAlignment="1" applyProtection="1">
      <alignment horizontal="center" vertical="center"/>
      <protection locked="0"/>
    </xf>
    <xf numFmtId="168" fontId="45" fillId="9" borderId="5" xfId="0" applyNumberFormat="1" applyFont="1" applyFill="1" applyBorder="1" applyAlignment="1" applyProtection="1">
      <alignment horizontal="center" vertical="center"/>
      <protection locked="0"/>
    </xf>
    <xf numFmtId="1" fontId="45" fillId="9" borderId="5" xfId="0" applyNumberFormat="1" applyFont="1" applyFill="1" applyBorder="1" applyAlignment="1" applyProtection="1">
      <alignment horizontal="center" vertical="center"/>
      <protection hidden="1"/>
    </xf>
    <xf numFmtId="168" fontId="45" fillId="9" borderId="5" xfId="0" applyNumberFormat="1" applyFont="1" applyFill="1" applyBorder="1" applyAlignment="1" applyProtection="1">
      <alignment horizontal="center" vertical="center"/>
      <protection hidden="1"/>
    </xf>
    <xf numFmtId="0" fontId="18" fillId="9" borderId="11" xfId="0" applyFont="1" applyFill="1" applyBorder="1" applyProtection="1">
      <protection locked="0"/>
    </xf>
    <xf numFmtId="0" fontId="45" fillId="3" borderId="67" xfId="0" applyFont="1" applyFill="1" applyBorder="1" applyAlignment="1" applyProtection="1">
      <alignment vertical="center"/>
      <protection hidden="1"/>
    </xf>
    <xf numFmtId="0" fontId="45" fillId="3" borderId="17" xfId="0" applyFont="1" applyFill="1" applyBorder="1" applyAlignment="1" applyProtection="1">
      <alignment vertical="center"/>
      <protection hidden="1"/>
    </xf>
    <xf numFmtId="0" fontId="45" fillId="3" borderId="17" xfId="0" applyFont="1" applyFill="1" applyBorder="1" applyAlignment="1" applyProtection="1">
      <alignment horizontal="center" vertical="center"/>
      <protection hidden="1"/>
    </xf>
    <xf numFmtId="0" fontId="45" fillId="3" borderId="18" xfId="0" applyFont="1" applyFill="1" applyBorder="1" applyAlignment="1" applyProtection="1">
      <alignment vertical="center"/>
      <protection hidden="1"/>
    </xf>
    <xf numFmtId="0" fontId="61" fillId="3" borderId="56" xfId="0" applyFont="1" applyFill="1" applyBorder="1" applyAlignment="1" applyProtection="1">
      <alignment horizontal="center" vertical="center" wrapText="1"/>
      <protection locked="0"/>
    </xf>
    <xf numFmtId="0" fontId="61" fillId="3" borderId="20" xfId="0" applyFont="1" applyFill="1" applyBorder="1" applyAlignment="1" applyProtection="1">
      <alignment horizontal="center" vertical="center" wrapText="1"/>
      <protection locked="0"/>
    </xf>
    <xf numFmtId="0" fontId="62" fillId="0" borderId="0" xfId="0" applyFont="1"/>
    <xf numFmtId="3" fontId="58" fillId="8" borderId="5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41" xfId="0" applyFont="1" applyFill="1" applyBorder="1" applyAlignment="1" applyProtection="1">
      <alignment horizontal="center" vertical="center"/>
      <protection hidden="1"/>
    </xf>
    <xf numFmtId="0" fontId="45" fillId="20" borderId="42" xfId="0" applyFont="1" applyFill="1" applyBorder="1" applyAlignment="1" applyProtection="1">
      <alignment horizontal="center" vertical="center"/>
      <protection hidden="1"/>
    </xf>
    <xf numFmtId="0" fontId="45" fillId="20" borderId="31" xfId="0" applyFont="1" applyFill="1" applyBorder="1" applyAlignment="1" applyProtection="1">
      <alignment horizontal="center" vertical="center"/>
      <protection hidden="1"/>
    </xf>
    <xf numFmtId="0" fontId="45" fillId="20" borderId="43" xfId="0" applyFont="1" applyFill="1" applyBorder="1" applyAlignment="1" applyProtection="1">
      <alignment horizontal="center" vertical="center"/>
      <protection hidden="1"/>
    </xf>
    <xf numFmtId="0" fontId="45" fillId="20" borderId="33" xfId="0" applyFont="1" applyFill="1" applyBorder="1" applyAlignment="1" applyProtection="1">
      <alignment horizontal="center" vertical="center"/>
      <protection hidden="1"/>
    </xf>
    <xf numFmtId="0" fontId="45" fillId="20" borderId="44" xfId="0" applyFont="1" applyFill="1" applyBorder="1" applyAlignment="1" applyProtection="1">
      <alignment horizontal="center" vertical="center"/>
      <protection hidden="1"/>
    </xf>
    <xf numFmtId="0" fontId="45" fillId="20" borderId="23" xfId="0" applyFont="1" applyFill="1" applyBorder="1" applyAlignment="1" applyProtection="1">
      <alignment horizontal="center" vertical="center"/>
      <protection hidden="1"/>
    </xf>
    <xf numFmtId="0" fontId="45" fillId="20" borderId="13" xfId="0" applyFont="1" applyFill="1" applyBorder="1" applyAlignment="1" applyProtection="1">
      <alignment horizontal="center" vertical="center"/>
      <protection hidden="1"/>
    </xf>
    <xf numFmtId="0" fontId="45" fillId="20" borderId="34" xfId="0" applyFont="1" applyFill="1" applyBorder="1" applyAlignment="1" applyProtection="1">
      <alignment horizontal="center" vertical="center"/>
      <protection hidden="1"/>
    </xf>
    <xf numFmtId="0" fontId="45" fillId="20" borderId="36" xfId="0" applyFont="1" applyFill="1" applyBorder="1" applyAlignment="1" applyProtection="1">
      <alignment horizontal="center" vertical="center"/>
      <protection hidden="1"/>
    </xf>
    <xf numFmtId="0" fontId="19" fillId="9" borderId="5" xfId="0" applyFont="1" applyFill="1" applyBorder="1" applyAlignment="1" applyProtection="1">
      <alignment horizontal="center" vertical="center"/>
      <protection hidden="1"/>
    </xf>
    <xf numFmtId="0" fontId="19" fillId="7" borderId="5" xfId="0" applyFont="1" applyFill="1" applyBorder="1" applyAlignment="1" applyProtection="1">
      <alignment horizontal="center"/>
      <protection hidden="1"/>
    </xf>
    <xf numFmtId="3" fontId="63" fillId="9" borderId="5" xfId="0" applyNumberFormat="1" applyFont="1" applyFill="1" applyBorder="1" applyAlignment="1" applyProtection="1">
      <alignment horizontal="center" vertical="center"/>
      <protection hidden="1"/>
    </xf>
    <xf numFmtId="0" fontId="18" fillId="0" borderId="1" xfId="0" applyFont="1" applyBorder="1" applyAlignment="1">
      <alignment horizontal="center"/>
    </xf>
    <xf numFmtId="3" fontId="62" fillId="9" borderId="5" xfId="0" applyNumberFormat="1" applyFont="1" applyFill="1" applyBorder="1" applyAlignment="1" applyProtection="1">
      <alignment horizontal="center" vertical="center"/>
      <protection hidden="1"/>
    </xf>
    <xf numFmtId="0" fontId="62" fillId="9" borderId="5" xfId="0" applyFont="1" applyFill="1" applyBorder="1" applyAlignment="1" applyProtection="1">
      <alignment horizontal="center" vertical="center"/>
      <protection hidden="1"/>
    </xf>
    <xf numFmtId="3" fontId="45" fillId="0" borderId="5" xfId="0" applyNumberFormat="1" applyFont="1" applyBorder="1" applyAlignment="1">
      <alignment horizontal="center"/>
    </xf>
    <xf numFmtId="169" fontId="3" fillId="6" borderId="1" xfId="12" applyNumberFormat="1" applyFont="1" applyFill="1" applyBorder="1" applyAlignment="1">
      <alignment horizontal="center" vertical="center"/>
    </xf>
    <xf numFmtId="169" fontId="22" fillId="13" borderId="40" xfId="10" applyNumberFormat="1" applyFont="1" applyFill="1" applyBorder="1" applyAlignment="1">
      <alignment horizontal="center" vertical="center" wrapText="1"/>
    </xf>
    <xf numFmtId="169" fontId="3" fillId="14" borderId="1" xfId="12" applyNumberFormat="1" applyFont="1" applyFill="1" applyBorder="1" applyAlignment="1">
      <alignment horizontal="center" vertical="center"/>
    </xf>
    <xf numFmtId="169" fontId="3" fillId="15" borderId="1" xfId="12" applyNumberFormat="1" applyFont="1" applyFill="1" applyBorder="1" applyAlignment="1">
      <alignment horizontal="center" vertical="center"/>
    </xf>
    <xf numFmtId="169" fontId="23" fillId="15" borderId="1" xfId="12" applyNumberFormat="1" applyFill="1" applyBorder="1" applyAlignment="1">
      <alignment horizontal="center" vertical="center"/>
    </xf>
    <xf numFmtId="169" fontId="23" fillId="16" borderId="1" xfId="12" applyNumberFormat="1" applyFill="1" applyBorder="1" applyAlignment="1">
      <alignment horizontal="center" vertical="center"/>
    </xf>
    <xf numFmtId="169" fontId="23" fillId="17" borderId="1" xfId="12" applyNumberFormat="1" applyFill="1" applyBorder="1" applyAlignment="1">
      <alignment horizontal="center" vertical="center"/>
    </xf>
    <xf numFmtId="169" fontId="23" fillId="18" borderId="1" xfId="12" applyNumberFormat="1" applyFill="1" applyBorder="1" applyAlignment="1">
      <alignment horizontal="center" vertical="center"/>
    </xf>
    <xf numFmtId="169" fontId="23" fillId="19" borderId="1" xfId="12" applyNumberFormat="1" applyFill="1" applyBorder="1" applyAlignment="1">
      <alignment horizontal="center" vertical="center"/>
    </xf>
    <xf numFmtId="169" fontId="2" fillId="0" borderId="1" xfId="10" applyNumberFormat="1" applyBorder="1" applyAlignment="1">
      <alignment horizontal="center" vertical="center"/>
    </xf>
    <xf numFmtId="169" fontId="23" fillId="0" borderId="0" xfId="12" applyNumberFormat="1">
      <alignment vertical="center"/>
    </xf>
    <xf numFmtId="0" fontId="40" fillId="11" borderId="85" xfId="0" applyFont="1" applyFill="1" applyBorder="1" applyAlignment="1">
      <alignment horizontal="left" vertical="center"/>
    </xf>
    <xf numFmtId="0" fontId="51" fillId="11" borderId="78" xfId="0" applyFont="1" applyFill="1" applyBorder="1" applyAlignment="1">
      <alignment horizontal="center"/>
    </xf>
    <xf numFmtId="0" fontId="40" fillId="11" borderId="86" xfId="0" applyFont="1" applyFill="1" applyBorder="1" applyAlignment="1">
      <alignment horizontal="left" vertical="center"/>
    </xf>
    <xf numFmtId="20" fontId="37" fillId="0" borderId="81" xfId="0" applyNumberFormat="1" applyFont="1" applyBorder="1" applyAlignment="1">
      <alignment horizontal="center"/>
    </xf>
    <xf numFmtId="0" fontId="37" fillId="12" borderId="80" xfId="0" applyFont="1" applyFill="1" applyBorder="1" applyAlignment="1">
      <alignment horizontal="left"/>
    </xf>
    <xf numFmtId="20" fontId="36" fillId="0" borderId="87" xfId="0" applyNumberFormat="1" applyFont="1" applyBorder="1" applyAlignment="1">
      <alignment horizontal="center"/>
    </xf>
    <xf numFmtId="0" fontId="39" fillId="11" borderId="80" xfId="0" applyFont="1" applyFill="1" applyBorder="1" applyAlignment="1">
      <alignment horizontal="left" vertical="center"/>
    </xf>
    <xf numFmtId="20" fontId="36" fillId="0" borderId="88" xfId="0" applyNumberFormat="1" applyFont="1" applyBorder="1" applyAlignment="1">
      <alignment horizontal="center"/>
    </xf>
    <xf numFmtId="20" fontId="36" fillId="0" borderId="89" xfId="0" applyNumberFormat="1" applyFont="1" applyBorder="1" applyAlignment="1">
      <alignment horizontal="center"/>
    </xf>
    <xf numFmtId="0" fontId="39" fillId="11" borderId="82" xfId="0" applyFont="1" applyFill="1" applyBorder="1" applyAlignment="1">
      <alignment horizontal="left" vertical="center"/>
    </xf>
    <xf numFmtId="1" fontId="36" fillId="0" borderId="83" xfId="0" applyNumberFormat="1" applyFont="1" applyBorder="1" applyAlignment="1">
      <alignment horizontal="center"/>
    </xf>
    <xf numFmtId="170" fontId="36" fillId="0" borderId="84" xfId="0" applyNumberFormat="1" applyFont="1" applyBorder="1" applyAlignment="1">
      <alignment horizontal="center"/>
    </xf>
    <xf numFmtId="0" fontId="65" fillId="11" borderId="82" xfId="0" applyFont="1" applyFill="1" applyBorder="1" applyAlignment="1">
      <alignment horizontal="left"/>
    </xf>
    <xf numFmtId="168" fontId="65" fillId="11" borderId="83" xfId="0" applyNumberFormat="1" applyFont="1" applyFill="1" applyBorder="1" applyAlignment="1">
      <alignment horizontal="center"/>
    </xf>
    <xf numFmtId="1" fontId="65" fillId="11" borderId="83" xfId="0" applyNumberFormat="1" applyFont="1" applyFill="1" applyBorder="1" applyAlignment="1">
      <alignment horizontal="center"/>
    </xf>
    <xf numFmtId="168" fontId="65" fillId="11" borderId="84" xfId="0" applyNumberFormat="1" applyFont="1" applyFill="1" applyBorder="1" applyAlignment="1">
      <alignment horizontal="center"/>
    </xf>
    <xf numFmtId="168" fontId="36" fillId="19" borderId="78" xfId="0" applyNumberFormat="1" applyFont="1" applyFill="1" applyBorder="1" applyAlignment="1">
      <alignment horizontal="center"/>
    </xf>
    <xf numFmtId="0" fontId="35" fillId="19" borderId="77" xfId="0" applyFont="1" applyFill="1" applyBorder="1" applyAlignment="1">
      <alignment horizontal="left"/>
    </xf>
    <xf numFmtId="0" fontId="35" fillId="19" borderId="80" xfId="0" applyFont="1" applyFill="1" applyBorder="1" applyAlignment="1">
      <alignment horizontal="left"/>
    </xf>
    <xf numFmtId="169" fontId="36" fillId="0" borderId="81" xfId="0" applyNumberFormat="1" applyFont="1" applyBorder="1" applyAlignment="1">
      <alignment horizontal="center"/>
    </xf>
    <xf numFmtId="0" fontId="66" fillId="0" borderId="0" xfId="0" applyFont="1" applyAlignment="1">
      <alignment vertical="center" wrapText="1"/>
    </xf>
    <xf numFmtId="1" fontId="36" fillId="19" borderId="78" xfId="0" applyNumberFormat="1" applyFont="1" applyFill="1" applyBorder="1" applyAlignment="1">
      <alignment horizontal="center"/>
    </xf>
    <xf numFmtId="20" fontId="36" fillId="0" borderId="0" xfId="0" applyNumberFormat="1" applyFont="1" applyAlignment="1">
      <alignment horizontal="center"/>
    </xf>
    <xf numFmtId="0" fontId="15" fillId="0" borderId="0" xfId="4"/>
    <xf numFmtId="1" fontId="45" fillId="9" borderId="5" xfId="0" applyNumberFormat="1" applyFont="1" applyFill="1" applyBorder="1" applyAlignment="1" applyProtection="1">
      <alignment horizontal="center" vertical="center"/>
      <protection locked="0"/>
    </xf>
    <xf numFmtId="0" fontId="18" fillId="0" borderId="45" xfId="0" applyFont="1" applyBorder="1"/>
    <xf numFmtId="0" fontId="18" fillId="0" borderId="33" xfId="0" applyFont="1" applyBorder="1"/>
    <xf numFmtId="1" fontId="18" fillId="0" borderId="32" xfId="0" applyNumberFormat="1" applyFont="1" applyBorder="1" applyAlignment="1">
      <alignment horizontal="center"/>
    </xf>
    <xf numFmtId="168" fontId="18" fillId="0" borderId="44" xfId="0" applyNumberFormat="1" applyFont="1" applyBorder="1" applyAlignment="1">
      <alignment horizontal="center"/>
    </xf>
    <xf numFmtId="0" fontId="18" fillId="0" borderId="31" xfId="0" applyFont="1" applyBorder="1"/>
    <xf numFmtId="1" fontId="18" fillId="0" borderId="1" xfId="0" applyNumberFormat="1" applyFont="1" applyBorder="1" applyAlignment="1">
      <alignment horizontal="center"/>
    </xf>
    <xf numFmtId="168" fontId="18" fillId="0" borderId="43" xfId="0" applyNumberFormat="1" applyFont="1" applyBorder="1" applyAlignment="1">
      <alignment horizontal="center"/>
    </xf>
    <xf numFmtId="0" fontId="18" fillId="0" borderId="34" xfId="0" applyFont="1" applyBorder="1"/>
    <xf numFmtId="1" fontId="18" fillId="0" borderId="35" xfId="0" applyNumberFormat="1" applyFont="1" applyBorder="1" applyAlignment="1">
      <alignment horizontal="center"/>
    </xf>
    <xf numFmtId="168" fontId="18" fillId="0" borderId="36" xfId="0" applyNumberFormat="1" applyFont="1" applyBorder="1" applyAlignment="1">
      <alignment horizontal="center"/>
    </xf>
    <xf numFmtId="1" fontId="18" fillId="0" borderId="12" xfId="0" applyNumberFormat="1" applyFont="1" applyBorder="1" applyAlignment="1">
      <alignment horizontal="center"/>
    </xf>
    <xf numFmtId="168" fontId="18" fillId="0" borderId="13" xfId="0" applyNumberFormat="1" applyFont="1" applyBorder="1" applyAlignment="1">
      <alignment horizontal="center"/>
    </xf>
    <xf numFmtId="0" fontId="18" fillId="0" borderId="60" xfId="0" applyFont="1" applyBorder="1"/>
    <xf numFmtId="1" fontId="18" fillId="0" borderId="14" xfId="0" applyNumberFormat="1" applyFont="1" applyBorder="1" applyAlignment="1">
      <alignment horizontal="center"/>
    </xf>
    <xf numFmtId="168" fontId="18" fillId="0" borderId="15" xfId="0" applyNumberFormat="1" applyFont="1" applyBorder="1" applyAlignment="1">
      <alignment horizontal="center"/>
    </xf>
    <xf numFmtId="49" fontId="18" fillId="0" borderId="0" xfId="0" applyNumberFormat="1" applyFont="1"/>
    <xf numFmtId="0" fontId="19" fillId="12" borderId="45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0" fontId="19" fillId="12" borderId="13" xfId="0" applyFont="1" applyFill="1" applyBorder="1" applyAlignment="1">
      <alignment horizontal="center"/>
    </xf>
    <xf numFmtId="0" fontId="19" fillId="12" borderId="23" xfId="0" applyFont="1" applyFill="1" applyBorder="1" applyAlignment="1">
      <alignment horizontal="center"/>
    </xf>
    <xf numFmtId="0" fontId="19" fillId="12" borderId="24" xfId="0" applyFont="1" applyFill="1" applyBorder="1" applyAlignment="1">
      <alignment horizontal="center"/>
    </xf>
    <xf numFmtId="0" fontId="19" fillId="12" borderId="27" xfId="0" applyFont="1" applyFill="1" applyBorder="1" applyAlignment="1">
      <alignment horizontal="center"/>
    </xf>
    <xf numFmtId="0" fontId="45" fillId="9" borderId="22" xfId="0" applyFont="1" applyFill="1" applyBorder="1" applyAlignment="1" applyProtection="1">
      <alignment horizontal="center" vertical="center"/>
      <protection locked="0"/>
    </xf>
    <xf numFmtId="0" fontId="35" fillId="0" borderId="79" xfId="0" applyFont="1" applyBorder="1" applyAlignment="1">
      <alignment horizontal="center"/>
    </xf>
    <xf numFmtId="2" fontId="35" fillId="0" borderId="81" xfId="0" applyNumberFormat="1" applyFont="1" applyBorder="1" applyAlignment="1">
      <alignment horizontal="center"/>
    </xf>
    <xf numFmtId="0" fontId="67" fillId="0" borderId="37" xfId="0" applyFont="1" applyBorder="1" applyProtection="1">
      <protection locked="0"/>
    </xf>
    <xf numFmtId="0" fontId="67" fillId="0" borderId="0" xfId="0" applyFont="1"/>
    <xf numFmtId="49" fontId="44" fillId="10" borderId="38" xfId="0" applyNumberFormat="1" applyFont="1" applyFill="1" applyBorder="1" applyAlignment="1" applyProtection="1">
      <alignment vertical="center" wrapText="1"/>
      <protection locked="0"/>
    </xf>
    <xf numFmtId="0" fontId="44" fillId="3" borderId="1" xfId="0" applyFont="1" applyFill="1" applyBorder="1" applyProtection="1">
      <protection locked="0"/>
    </xf>
    <xf numFmtId="0" fontId="44" fillId="0" borderId="1" xfId="0" applyFont="1" applyBorder="1"/>
    <xf numFmtId="0" fontId="44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67" fillId="0" borderId="19" xfId="0" applyFont="1" applyBorder="1" applyProtection="1">
      <protection locked="0"/>
    </xf>
    <xf numFmtId="0" fontId="67" fillId="0" borderId="20" xfId="0" applyFont="1" applyBorder="1"/>
    <xf numFmtId="0" fontId="44" fillId="23" borderId="19" xfId="0" applyFont="1" applyFill="1" applyBorder="1" applyAlignment="1" applyProtection="1">
      <alignment horizontal="center" vertical="center"/>
      <protection hidden="1"/>
    </xf>
    <xf numFmtId="0" fontId="44" fillId="23" borderId="59" xfId="0" applyFont="1" applyFill="1" applyBorder="1" applyAlignment="1" applyProtection="1">
      <alignment horizontal="center" vertical="center"/>
      <protection hidden="1"/>
    </xf>
    <xf numFmtId="0" fontId="44" fillId="23" borderId="54" xfId="0" applyFont="1" applyFill="1" applyBorder="1" applyAlignment="1" applyProtection="1">
      <alignment horizontal="center" vertical="center" wrapText="1"/>
      <protection hidden="1"/>
    </xf>
    <xf numFmtId="0" fontId="44" fillId="23" borderId="58" xfId="0" applyFont="1" applyFill="1" applyBorder="1" applyAlignment="1" applyProtection="1">
      <alignment horizontal="center" vertical="center" wrapText="1"/>
      <protection hidden="1"/>
    </xf>
    <xf numFmtId="0" fontId="44" fillId="23" borderId="59" xfId="0" applyFont="1" applyFill="1" applyBorder="1" applyAlignment="1" applyProtection="1">
      <alignment horizontal="center" vertical="center" wrapText="1"/>
      <protection hidden="1"/>
    </xf>
    <xf numFmtId="49" fontId="44" fillId="22" borderId="5" xfId="0" applyNumberFormat="1" applyFont="1" applyFill="1" applyBorder="1" applyAlignment="1" applyProtection="1">
      <alignment horizontal="center" vertical="center" wrapText="1"/>
      <protection hidden="1"/>
    </xf>
    <xf numFmtId="49" fontId="44" fillId="22" borderId="22" xfId="0" applyNumberFormat="1" applyFont="1" applyFill="1" applyBorder="1" applyAlignment="1" applyProtection="1">
      <alignment horizontal="center" vertical="center" wrapText="1"/>
      <protection hidden="1"/>
    </xf>
    <xf numFmtId="0" fontId="44" fillId="22" borderId="5" xfId="0" applyFont="1" applyFill="1" applyBorder="1" applyAlignment="1" applyProtection="1">
      <alignment horizontal="center" vertical="center"/>
      <protection hidden="1"/>
    </xf>
    <xf numFmtId="0" fontId="70" fillId="5" borderId="7" xfId="13" applyNumberFormat="1" applyFont="1" applyFill="1" applyBorder="1" applyAlignment="1">
      <alignment horizontal="left"/>
    </xf>
    <xf numFmtId="0" fontId="70" fillId="0" borderId="6" xfId="13" applyNumberFormat="1" applyFont="1" applyBorder="1" applyAlignment="1">
      <alignment horizontal="left"/>
    </xf>
    <xf numFmtId="14" fontId="18" fillId="0" borderId="0" xfId="0" applyNumberFormat="1" applyFont="1" applyAlignment="1">
      <alignment horizontal="center"/>
    </xf>
    <xf numFmtId="168" fontId="36" fillId="0" borderId="0" xfId="0" applyNumberFormat="1" applyFont="1"/>
    <xf numFmtId="9" fontId="36" fillId="0" borderId="0" xfId="14" applyFont="1" applyAlignment="1">
      <alignment horizontal="center"/>
    </xf>
    <xf numFmtId="0" fontId="71" fillId="0" borderId="0" xfId="0" applyFont="1" applyAlignment="1">
      <alignment horizontal="center"/>
    </xf>
    <xf numFmtId="168" fontId="36" fillId="0" borderId="83" xfId="0" applyNumberFormat="1" applyFont="1" applyBorder="1" applyAlignment="1">
      <alignment horizontal="center" vertical="center"/>
    </xf>
    <xf numFmtId="0" fontId="36" fillId="0" borderId="83" xfId="0" applyFont="1" applyBorder="1" applyAlignment="1">
      <alignment horizontal="center" vertical="center"/>
    </xf>
    <xf numFmtId="0" fontId="72" fillId="2" borderId="1" xfId="0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wrapText="1"/>
    </xf>
    <xf numFmtId="0" fontId="72" fillId="0" borderId="0" xfId="0" applyFont="1" applyAlignment="1">
      <alignment horizontal="center"/>
    </xf>
    <xf numFmtId="0" fontId="73" fillId="28" borderId="0" xfId="0" applyFont="1" applyFill="1" applyAlignment="1">
      <alignment horizontal="center" vertical="top"/>
    </xf>
    <xf numFmtId="0" fontId="72" fillId="6" borderId="0" xfId="0" applyFont="1" applyFill="1" applyAlignment="1">
      <alignment horizontal="center"/>
    </xf>
    <xf numFmtId="0" fontId="73" fillId="21" borderId="0" xfId="0" applyFont="1" applyFill="1" applyAlignment="1">
      <alignment horizontal="center"/>
    </xf>
    <xf numFmtId="0" fontId="18" fillId="0" borderId="46" xfId="0" applyFont="1" applyBorder="1" applyAlignment="1">
      <alignment horizontal="center"/>
    </xf>
    <xf numFmtId="0" fontId="18" fillId="0" borderId="68" xfId="0" applyFont="1" applyBorder="1" applyAlignment="1">
      <alignment horizontal="center"/>
    </xf>
    <xf numFmtId="0" fontId="19" fillId="9" borderId="5" xfId="0" applyFont="1" applyFill="1" applyBorder="1" applyAlignment="1" applyProtection="1">
      <alignment horizontal="center" vertical="center" wrapText="1"/>
      <protection hidden="1"/>
    </xf>
    <xf numFmtId="0" fontId="64" fillId="0" borderId="5" xfId="0" applyFont="1" applyBorder="1" applyAlignment="1">
      <alignment horizontal="left"/>
    </xf>
    <xf numFmtId="0" fontId="41" fillId="3" borderId="70" xfId="0" applyFont="1" applyFill="1" applyBorder="1" applyProtection="1">
      <protection locked="0"/>
    </xf>
    <xf numFmtId="0" fontId="41" fillId="3" borderId="71" xfId="0" applyFont="1" applyFill="1" applyBorder="1" applyProtection="1">
      <protection locked="0"/>
    </xf>
    <xf numFmtId="0" fontId="41" fillId="0" borderId="0" xfId="0" applyFont="1" applyAlignment="1">
      <alignment horizontal="center"/>
    </xf>
    <xf numFmtId="0" fontId="18" fillId="0" borderId="2" xfId="0" applyFont="1" applyBorder="1" applyAlignment="1">
      <alignment horizontal="center"/>
    </xf>
    <xf numFmtId="0" fontId="74" fillId="0" borderId="6" xfId="13" applyNumberFormat="1" applyFont="1" applyBorder="1" applyAlignment="1">
      <alignment horizontal="left"/>
    </xf>
    <xf numFmtId="0" fontId="74" fillId="5" borderId="7" xfId="13" applyNumberFormat="1" applyFont="1" applyFill="1" applyBorder="1" applyAlignment="1">
      <alignment horizontal="left"/>
    </xf>
    <xf numFmtId="168" fontId="74" fillId="0" borderId="6" xfId="13" applyNumberFormat="1" applyFont="1" applyBorder="1" applyAlignment="1">
      <alignment horizontal="left"/>
    </xf>
    <xf numFmtId="168" fontId="74" fillId="5" borderId="7" xfId="13" applyNumberFormat="1" applyFont="1" applyFill="1" applyBorder="1" applyAlignment="1">
      <alignment horizontal="left"/>
    </xf>
    <xf numFmtId="169" fontId="36" fillId="19" borderId="79" xfId="0" applyNumberFormat="1" applyFont="1" applyFill="1" applyBorder="1" applyAlignment="1">
      <alignment horizontal="center"/>
    </xf>
    <xf numFmtId="0" fontId="51" fillId="11" borderId="79" xfId="0" applyFont="1" applyFill="1" applyBorder="1" applyAlignment="1">
      <alignment horizontal="center" wrapText="1"/>
    </xf>
    <xf numFmtId="0" fontId="37" fillId="29" borderId="93" xfId="0" applyFont="1" applyFill="1" applyBorder="1" applyAlignment="1">
      <alignment vertical="center"/>
    </xf>
    <xf numFmtId="0" fontId="75" fillId="29" borderId="93" xfId="0" applyFont="1" applyFill="1" applyBorder="1" applyAlignment="1">
      <alignment vertical="center"/>
    </xf>
    <xf numFmtId="0" fontId="37" fillId="27" borderId="93" xfId="0" applyFont="1" applyFill="1" applyBorder="1" applyAlignment="1">
      <alignment vertical="center"/>
    </xf>
    <xf numFmtId="0" fontId="75" fillId="27" borderId="93" xfId="0" applyFont="1" applyFill="1" applyBorder="1" applyAlignment="1">
      <alignment vertical="center"/>
    </xf>
    <xf numFmtId="0" fontId="75" fillId="27" borderId="93" xfId="0" applyFont="1" applyFill="1" applyBorder="1" applyAlignment="1">
      <alignment vertical="center" wrapText="1"/>
    </xf>
    <xf numFmtId="1" fontId="76" fillId="8" borderId="5" xfId="0" applyNumberFormat="1" applyFont="1" applyFill="1" applyBorder="1" applyAlignment="1" applyProtection="1">
      <alignment horizontal="center" vertical="center" wrapText="1"/>
      <protection hidden="1"/>
    </xf>
    <xf numFmtId="1" fontId="45" fillId="10" borderId="5" xfId="0" applyNumberFormat="1" applyFont="1" applyFill="1" applyBorder="1" applyAlignment="1" applyProtection="1">
      <alignment horizontal="center" vertical="center" wrapText="1"/>
      <protection locked="0"/>
    </xf>
    <xf numFmtId="3" fontId="76" fillId="8" borderId="5" xfId="0" applyNumberFormat="1" applyFont="1" applyFill="1" applyBorder="1" applyAlignment="1" applyProtection="1">
      <alignment horizontal="center" vertical="center" wrapText="1"/>
      <protection hidden="1"/>
    </xf>
    <xf numFmtId="1" fontId="76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45" fillId="23" borderId="41" xfId="0" applyFont="1" applyFill="1" applyBorder="1" applyAlignment="1" applyProtection="1">
      <alignment horizontal="center" vertical="center"/>
      <protection hidden="1"/>
    </xf>
    <xf numFmtId="0" fontId="45" fillId="23" borderId="42" xfId="0" applyFont="1" applyFill="1" applyBorder="1" applyAlignment="1" applyProtection="1">
      <alignment horizontal="center" vertical="center"/>
      <protection hidden="1"/>
    </xf>
    <xf numFmtId="0" fontId="45" fillId="23" borderId="31" xfId="0" applyFont="1" applyFill="1" applyBorder="1" applyAlignment="1" applyProtection="1">
      <alignment horizontal="center" vertical="center"/>
      <protection hidden="1"/>
    </xf>
    <xf numFmtId="0" fontId="45" fillId="23" borderId="43" xfId="0" applyFont="1" applyFill="1" applyBorder="1" applyAlignment="1" applyProtection="1">
      <alignment horizontal="center" vertical="center"/>
      <protection hidden="1"/>
    </xf>
    <xf numFmtId="0" fontId="45" fillId="23" borderId="33" xfId="0" applyFont="1" applyFill="1" applyBorder="1" applyAlignment="1" applyProtection="1">
      <alignment horizontal="center" vertical="center"/>
      <protection hidden="1"/>
    </xf>
    <xf numFmtId="0" fontId="45" fillId="23" borderId="44" xfId="0" applyFont="1" applyFill="1" applyBorder="1" applyAlignment="1" applyProtection="1">
      <alignment horizontal="center" vertical="center"/>
      <protection hidden="1"/>
    </xf>
    <xf numFmtId="1" fontId="77" fillId="8" borderId="22" xfId="0" applyNumberFormat="1" applyFont="1" applyFill="1" applyBorder="1" applyAlignment="1" applyProtection="1">
      <alignment vertical="center" wrapText="1"/>
      <protection hidden="1"/>
    </xf>
    <xf numFmtId="1" fontId="77" fillId="8" borderId="5" xfId="0" applyNumberFormat="1" applyFont="1" applyFill="1" applyBorder="1" applyAlignment="1" applyProtection="1">
      <alignment horizontal="center" vertical="center" wrapText="1"/>
      <protection hidden="1"/>
    </xf>
    <xf numFmtId="49" fontId="77" fillId="8" borderId="40" xfId="0" applyNumberFormat="1" applyFont="1" applyFill="1" applyBorder="1" applyAlignment="1" applyProtection="1">
      <alignment vertical="center" wrapText="1"/>
      <protection hidden="1"/>
    </xf>
    <xf numFmtId="1" fontId="45" fillId="22" borderId="17" xfId="0" applyNumberFormat="1" applyFont="1" applyFill="1" applyBorder="1" applyAlignment="1" applyProtection="1">
      <alignment horizontal="center" vertical="center" wrapText="1"/>
      <protection locked="0"/>
    </xf>
    <xf numFmtId="1" fontId="45" fillId="22" borderId="18" xfId="0" applyNumberFormat="1" applyFont="1" applyFill="1" applyBorder="1" applyAlignment="1" applyProtection="1">
      <alignment vertical="center" wrapText="1"/>
      <protection locked="0"/>
    </xf>
    <xf numFmtId="1" fontId="45" fillId="22" borderId="0" xfId="0" applyNumberFormat="1" applyFont="1" applyFill="1" applyAlignment="1" applyProtection="1">
      <alignment horizontal="center" vertical="center" wrapText="1"/>
      <protection locked="0"/>
    </xf>
    <xf numFmtId="49" fontId="45" fillId="22" borderId="38" xfId="0" applyNumberFormat="1" applyFont="1" applyFill="1" applyBorder="1" applyAlignment="1" applyProtection="1">
      <alignment vertical="center" wrapText="1"/>
      <protection locked="0"/>
    </xf>
    <xf numFmtId="1" fontId="45" fillId="22" borderId="20" xfId="0" applyNumberFormat="1" applyFont="1" applyFill="1" applyBorder="1" applyAlignment="1" applyProtection="1">
      <alignment horizontal="center" vertical="center"/>
      <protection locked="0"/>
    </xf>
    <xf numFmtId="49" fontId="45" fillId="22" borderId="21" xfId="0" applyNumberFormat="1" applyFont="1" applyFill="1" applyBorder="1" applyAlignment="1" applyProtection="1">
      <alignment vertical="center" wrapText="1"/>
      <protection locked="0"/>
    </xf>
    <xf numFmtId="0" fontId="41" fillId="9" borderId="11" xfId="0" applyFont="1" applyFill="1" applyBorder="1" applyProtection="1">
      <protection locked="0"/>
    </xf>
    <xf numFmtId="0" fontId="41" fillId="3" borderId="0" xfId="0" applyFont="1" applyFill="1" applyProtection="1">
      <protection locked="0"/>
    </xf>
    <xf numFmtId="0" fontId="45" fillId="3" borderId="90" xfId="0" applyFont="1" applyFill="1" applyBorder="1" applyAlignment="1" applyProtection="1">
      <alignment horizontal="center" vertical="center"/>
      <protection locked="0"/>
    </xf>
    <xf numFmtId="0" fontId="41" fillId="3" borderId="73" xfId="0" applyFont="1" applyFill="1" applyBorder="1" applyProtection="1">
      <protection locked="0"/>
    </xf>
    <xf numFmtId="0" fontId="45" fillId="3" borderId="91" xfId="0" applyFont="1" applyFill="1" applyBorder="1" applyAlignment="1" applyProtection="1">
      <alignment horizontal="center" vertical="center"/>
      <protection locked="0"/>
    </xf>
    <xf numFmtId="164" fontId="45" fillId="9" borderId="31" xfId="13" applyFont="1" applyFill="1" applyBorder="1" applyAlignment="1" applyProtection="1">
      <alignment horizontal="center" vertical="center"/>
      <protection hidden="1"/>
    </xf>
    <xf numFmtId="164" fontId="41" fillId="3" borderId="71" xfId="13" applyFont="1" applyFill="1" applyBorder="1" applyProtection="1">
      <protection locked="0"/>
    </xf>
    <xf numFmtId="164" fontId="41" fillId="3" borderId="0" xfId="13" applyFont="1" applyFill="1" applyProtection="1">
      <protection locked="0"/>
    </xf>
    <xf numFmtId="164" fontId="41" fillId="0" borderId="0" xfId="13" applyFont="1"/>
    <xf numFmtId="164" fontId="45" fillId="3" borderId="91" xfId="13" applyFont="1" applyFill="1" applyBorder="1" applyAlignment="1" applyProtection="1">
      <alignment horizontal="center" vertical="center"/>
      <protection locked="0"/>
    </xf>
    <xf numFmtId="164" fontId="45" fillId="3" borderId="33" xfId="13" applyFont="1" applyFill="1" applyBorder="1" applyAlignment="1" applyProtection="1">
      <alignment horizontal="center" vertical="center"/>
      <protection locked="0"/>
    </xf>
    <xf numFmtId="164" fontId="45" fillId="9" borderId="32" xfId="13" applyFont="1" applyFill="1" applyBorder="1" applyAlignment="1" applyProtection="1">
      <alignment horizontal="center" vertical="center"/>
      <protection locked="0"/>
    </xf>
    <xf numFmtId="164" fontId="45" fillId="3" borderId="4" xfId="13" applyFont="1" applyFill="1" applyBorder="1" applyAlignment="1" applyProtection="1">
      <alignment horizontal="center" vertical="center"/>
      <protection locked="0"/>
    </xf>
    <xf numFmtId="0" fontId="45" fillId="3" borderId="92" xfId="0" applyFont="1" applyFill="1" applyBorder="1" applyAlignment="1" applyProtection="1">
      <alignment horizontal="center" vertical="center"/>
      <protection locked="0"/>
    </xf>
    <xf numFmtId="14" fontId="45" fillId="3" borderId="34" xfId="0" applyNumberFormat="1" applyFont="1" applyFill="1" applyBorder="1" applyAlignment="1" applyProtection="1">
      <alignment horizontal="center" vertical="center"/>
      <protection locked="0"/>
    </xf>
    <xf numFmtId="1" fontId="45" fillId="9" borderId="35" xfId="0" applyNumberFormat="1" applyFont="1" applyFill="1" applyBorder="1" applyAlignment="1" applyProtection="1">
      <alignment horizontal="center" vertical="center"/>
      <protection locked="0"/>
    </xf>
    <xf numFmtId="1" fontId="45" fillId="3" borderId="14" xfId="0" applyNumberFormat="1" applyFont="1" applyFill="1" applyBorder="1" applyAlignment="1" applyProtection="1">
      <alignment horizontal="center" vertical="center"/>
      <protection locked="0"/>
    </xf>
    <xf numFmtId="164" fontId="41" fillId="3" borderId="75" xfId="13" applyFont="1" applyFill="1" applyBorder="1" applyProtection="1">
      <protection locked="0"/>
    </xf>
    <xf numFmtId="164" fontId="41" fillId="0" borderId="0" xfId="13" applyFont="1" applyAlignment="1">
      <alignment horizontal="center"/>
    </xf>
    <xf numFmtId="3" fontId="76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45" fillId="22" borderId="17" xfId="0" applyNumberFormat="1" applyFont="1" applyFill="1" applyBorder="1" applyAlignment="1" applyProtection="1">
      <alignment vertical="center" wrapText="1"/>
      <protection locked="0"/>
    </xf>
    <xf numFmtId="1" fontId="45" fillId="22" borderId="0" xfId="0" applyNumberFormat="1" applyFont="1" applyFill="1" applyAlignment="1" applyProtection="1">
      <alignment vertical="center" wrapText="1"/>
      <protection locked="0"/>
    </xf>
    <xf numFmtId="1" fontId="45" fillId="22" borderId="20" xfId="0" applyNumberFormat="1" applyFont="1" applyFill="1" applyBorder="1" applyAlignment="1" applyProtection="1">
      <alignment vertical="center"/>
      <protection locked="0"/>
    </xf>
    <xf numFmtId="3" fontId="77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77" fillId="8" borderId="5" xfId="0" applyNumberFormat="1" applyFont="1" applyFill="1" applyBorder="1" applyAlignment="1" applyProtection="1">
      <alignment horizontal="left" vertical="center" wrapText="1"/>
      <protection hidden="1"/>
    </xf>
    <xf numFmtId="49" fontId="77" fillId="8" borderId="40" xfId="0" applyNumberFormat="1" applyFont="1" applyFill="1" applyBorder="1" applyAlignment="1" applyProtection="1">
      <alignment horizontal="left" vertical="center" wrapText="1"/>
      <protection hidden="1"/>
    </xf>
    <xf numFmtId="0" fontId="67" fillId="3" borderId="0" xfId="0" applyFont="1" applyFill="1" applyProtection="1">
      <protection locked="0"/>
    </xf>
    <xf numFmtId="0" fontId="67" fillId="0" borderId="0" xfId="0" applyFont="1" applyProtection="1">
      <protection hidden="1"/>
    </xf>
    <xf numFmtId="0" fontId="44" fillId="24" borderId="29" xfId="0" applyFont="1" applyFill="1" applyBorder="1" applyAlignment="1" applyProtection="1">
      <alignment horizontal="center"/>
      <protection hidden="1"/>
    </xf>
    <xf numFmtId="0" fontId="44" fillId="25" borderId="12" xfId="0" applyFont="1" applyFill="1" applyBorder="1" applyAlignment="1" applyProtection="1">
      <alignment horizontal="center" vertical="center"/>
      <protection hidden="1"/>
    </xf>
    <xf numFmtId="0" fontId="79" fillId="3" borderId="4" xfId="0" applyFont="1" applyFill="1" applyBorder="1" applyAlignment="1" applyProtection="1">
      <alignment horizontal="center" vertical="center"/>
      <protection locked="0"/>
    </xf>
    <xf numFmtId="14" fontId="79" fillId="9" borderId="12" xfId="0" applyNumberFormat="1" applyFont="1" applyFill="1" applyBorder="1" applyAlignment="1" applyProtection="1">
      <alignment horizontal="center" vertical="center"/>
      <protection hidden="1"/>
    </xf>
    <xf numFmtId="167" fontId="80" fillId="9" borderId="12" xfId="0" applyNumberFormat="1" applyFont="1" applyFill="1" applyBorder="1" applyAlignment="1" applyProtection="1">
      <alignment horizontal="center" vertical="center"/>
      <protection hidden="1"/>
    </xf>
    <xf numFmtId="3" fontId="79" fillId="9" borderId="12" xfId="0" applyNumberFormat="1" applyFont="1" applyFill="1" applyBorder="1" applyAlignment="1" applyProtection="1">
      <alignment horizontal="center" vertical="center"/>
      <protection hidden="1"/>
    </xf>
    <xf numFmtId="0" fontId="79" fillId="3" borderId="12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 applyProtection="1">
      <alignment horizontal="center" vertical="center" wrapText="1"/>
      <protection locked="0"/>
    </xf>
    <xf numFmtId="0" fontId="44" fillId="25" borderId="4" xfId="0" applyFont="1" applyFill="1" applyBorder="1" applyAlignment="1" applyProtection="1">
      <alignment horizontal="center" vertical="center"/>
      <protection hidden="1"/>
    </xf>
    <xf numFmtId="14" fontId="79" fillId="9" borderId="4" xfId="0" applyNumberFormat="1" applyFont="1" applyFill="1" applyBorder="1" applyAlignment="1" applyProtection="1">
      <alignment horizontal="center" vertical="center"/>
      <protection hidden="1"/>
    </xf>
    <xf numFmtId="167" fontId="80" fillId="9" borderId="1" xfId="0" applyNumberFormat="1" applyFont="1" applyFill="1" applyBorder="1" applyAlignment="1" applyProtection="1">
      <alignment horizontal="center" vertical="center"/>
      <protection hidden="1"/>
    </xf>
    <xf numFmtId="3" fontId="79" fillId="9" borderId="4" xfId="0" applyNumberFormat="1" applyFont="1" applyFill="1" applyBorder="1" applyAlignment="1" applyProtection="1">
      <alignment horizontal="center" vertical="center"/>
      <protection hidden="1"/>
    </xf>
    <xf numFmtId="0" fontId="79" fillId="3" borderId="1" xfId="0" applyFont="1" applyFill="1" applyBorder="1" applyAlignment="1">
      <alignment horizontal="center" vertical="center" wrapText="1"/>
    </xf>
    <xf numFmtId="0" fontId="44" fillId="3" borderId="30" xfId="0" applyFont="1" applyFill="1" applyBorder="1" applyAlignment="1" applyProtection="1">
      <alignment horizontal="center" vertical="center" wrapText="1"/>
      <protection locked="0"/>
    </xf>
    <xf numFmtId="0" fontId="44" fillId="25" borderId="14" xfId="0" applyFont="1" applyFill="1" applyBorder="1" applyAlignment="1" applyProtection="1">
      <alignment horizontal="center" vertical="center"/>
      <protection hidden="1"/>
    </xf>
    <xf numFmtId="0" fontId="79" fillId="3" borderId="14" xfId="0" applyFont="1" applyFill="1" applyBorder="1" applyAlignment="1" applyProtection="1">
      <alignment horizontal="center" vertical="center"/>
      <protection locked="0"/>
    </xf>
    <xf numFmtId="14" fontId="79" fillId="9" borderId="14" xfId="0" applyNumberFormat="1" applyFont="1" applyFill="1" applyBorder="1" applyAlignment="1" applyProtection="1">
      <alignment horizontal="center" vertical="center"/>
      <protection hidden="1"/>
    </xf>
    <xf numFmtId="167" fontId="80" fillId="9" borderId="35" xfId="0" applyNumberFormat="1" applyFont="1" applyFill="1" applyBorder="1" applyAlignment="1" applyProtection="1">
      <alignment horizontal="center" vertical="center"/>
      <protection hidden="1"/>
    </xf>
    <xf numFmtId="3" fontId="79" fillId="9" borderId="14" xfId="0" applyNumberFormat="1" applyFont="1" applyFill="1" applyBorder="1" applyAlignment="1" applyProtection="1">
      <alignment horizontal="center" vertical="center"/>
      <protection hidden="1"/>
    </xf>
    <xf numFmtId="0" fontId="79" fillId="3" borderId="35" xfId="0" applyFont="1" applyFill="1" applyBorder="1" applyAlignment="1">
      <alignment horizontal="center" vertical="center" wrapText="1"/>
    </xf>
    <xf numFmtId="0" fontId="44" fillId="3" borderId="15" xfId="0" applyFont="1" applyFill="1" applyBorder="1" applyAlignment="1" applyProtection="1">
      <alignment horizontal="center" vertical="center" wrapText="1"/>
      <protection locked="0"/>
    </xf>
    <xf numFmtId="0" fontId="44" fillId="7" borderId="9" xfId="0" applyFont="1" applyFill="1" applyBorder="1" applyAlignment="1" applyProtection="1">
      <alignment horizontal="center"/>
      <protection hidden="1"/>
    </xf>
    <xf numFmtId="0" fontId="44" fillId="9" borderId="10" xfId="0" applyFont="1" applyFill="1" applyBorder="1" applyAlignment="1" applyProtection="1">
      <alignment horizontal="center" vertical="center"/>
      <protection hidden="1"/>
    </xf>
    <xf numFmtId="0" fontId="79" fillId="9" borderId="10" xfId="0" applyFont="1" applyFill="1" applyBorder="1" applyAlignment="1" applyProtection="1">
      <alignment horizontal="center" vertical="center"/>
      <protection hidden="1"/>
    </xf>
    <xf numFmtId="14" fontId="79" fillId="9" borderId="10" xfId="0" applyNumberFormat="1" applyFont="1" applyFill="1" applyBorder="1" applyAlignment="1" applyProtection="1">
      <alignment horizontal="center" vertical="center"/>
      <protection hidden="1"/>
    </xf>
    <xf numFmtId="167" fontId="80" fillId="9" borderId="10" xfId="0" applyNumberFormat="1" applyFont="1" applyFill="1" applyBorder="1" applyAlignment="1" applyProtection="1">
      <alignment horizontal="center" vertical="center"/>
      <protection hidden="1"/>
    </xf>
    <xf numFmtId="3" fontId="79" fillId="9" borderId="10" xfId="0" applyNumberFormat="1" applyFont="1" applyFill="1" applyBorder="1" applyAlignment="1" applyProtection="1">
      <alignment horizontal="center" vertical="center"/>
      <protection hidden="1"/>
    </xf>
    <xf numFmtId="3" fontId="79" fillId="9" borderId="11" xfId="0" applyNumberFormat="1" applyFont="1" applyFill="1" applyBorder="1" applyAlignment="1" applyProtection="1">
      <alignment horizontal="center" vertical="center"/>
      <protection hidden="1"/>
    </xf>
    <xf numFmtId="3" fontId="79" fillId="9" borderId="5" xfId="0" applyNumberFormat="1" applyFont="1" applyFill="1" applyBorder="1" applyAlignment="1" applyProtection="1">
      <alignment horizontal="center" vertical="center"/>
      <protection hidden="1"/>
    </xf>
    <xf numFmtId="1" fontId="44" fillId="30" borderId="5" xfId="0" applyNumberFormat="1" applyFont="1" applyFill="1" applyBorder="1" applyAlignment="1" applyProtection="1">
      <alignment horizontal="center" vertical="center" wrapText="1"/>
      <protection hidden="1"/>
    </xf>
    <xf numFmtId="3" fontId="44" fillId="30" borderId="22" xfId="0" applyNumberFormat="1" applyFont="1" applyFill="1" applyBorder="1" applyAlignment="1" applyProtection="1">
      <alignment horizontal="center" vertical="center" wrapText="1"/>
      <protection hidden="1"/>
    </xf>
    <xf numFmtId="1" fontId="44" fillId="30" borderId="22" xfId="0" applyNumberFormat="1" applyFont="1" applyFill="1" applyBorder="1" applyAlignment="1" applyProtection="1">
      <alignment horizontal="center" vertical="center" wrapText="1"/>
      <protection hidden="1"/>
    </xf>
    <xf numFmtId="1" fontId="44" fillId="30" borderId="22" xfId="0" applyNumberFormat="1" applyFont="1" applyFill="1" applyBorder="1" applyAlignment="1" applyProtection="1">
      <alignment horizontal="center" vertical="center"/>
      <protection hidden="1"/>
    </xf>
    <xf numFmtId="0" fontId="44" fillId="7" borderId="45" xfId="0" applyFont="1" applyFill="1" applyBorder="1" applyAlignment="1" applyProtection="1">
      <alignment horizontal="center"/>
      <protection hidden="1"/>
    </xf>
    <xf numFmtId="0" fontId="44" fillId="9" borderId="12" xfId="0" applyFont="1" applyFill="1" applyBorder="1" applyAlignment="1" applyProtection="1">
      <alignment horizontal="center" vertical="center"/>
      <protection hidden="1"/>
    </xf>
    <xf numFmtId="0" fontId="44" fillId="7" borderId="29" xfId="0" applyFont="1" applyFill="1" applyBorder="1" applyAlignment="1" applyProtection="1">
      <alignment horizontal="center"/>
      <protection hidden="1"/>
    </xf>
    <xf numFmtId="0" fontId="44" fillId="9" borderId="4" xfId="0" applyFont="1" applyFill="1" applyBorder="1" applyAlignment="1" applyProtection="1">
      <alignment horizontal="center" vertical="center"/>
      <protection hidden="1"/>
    </xf>
    <xf numFmtId="49" fontId="45" fillId="22" borderId="5" xfId="0" applyNumberFormat="1" applyFont="1" applyFill="1" applyBorder="1" applyAlignment="1" applyProtection="1">
      <alignment horizontal="center" vertical="center" wrapText="1"/>
      <protection hidden="1"/>
    </xf>
    <xf numFmtId="1" fontId="45" fillId="30" borderId="5" xfId="0" applyNumberFormat="1" applyFont="1" applyFill="1" applyBorder="1" applyAlignment="1" applyProtection="1">
      <alignment horizontal="center" vertical="center" wrapText="1"/>
      <protection hidden="1"/>
    </xf>
    <xf numFmtId="3" fontId="45" fillId="30" borderId="22" xfId="0" applyNumberFormat="1" applyFont="1" applyFill="1" applyBorder="1" applyAlignment="1" applyProtection="1">
      <alignment horizontal="center" vertical="center" wrapText="1"/>
      <protection hidden="1"/>
    </xf>
    <xf numFmtId="49" fontId="45" fillId="22" borderId="22" xfId="0" applyNumberFormat="1" applyFont="1" applyFill="1" applyBorder="1" applyAlignment="1" applyProtection="1">
      <alignment horizontal="center" vertical="center" wrapText="1"/>
      <protection hidden="1"/>
    </xf>
    <xf numFmtId="1" fontId="45" fillId="30" borderId="22" xfId="0" applyNumberFormat="1" applyFont="1" applyFill="1" applyBorder="1" applyAlignment="1" applyProtection="1">
      <alignment horizontal="center" vertical="center" wrapText="1"/>
      <protection hidden="1"/>
    </xf>
    <xf numFmtId="0" fontId="45" fillId="22" borderId="5" xfId="0" applyFont="1" applyFill="1" applyBorder="1" applyAlignment="1" applyProtection="1">
      <alignment horizontal="center" vertical="center"/>
      <protection hidden="1"/>
    </xf>
    <xf numFmtId="1" fontId="45" fillId="30" borderId="22" xfId="0" applyNumberFormat="1" applyFont="1" applyFill="1" applyBorder="1" applyAlignment="1" applyProtection="1">
      <alignment horizontal="center" vertical="center"/>
      <protection hidden="1"/>
    </xf>
    <xf numFmtId="0" fontId="48" fillId="10" borderId="39" xfId="0" applyFont="1" applyFill="1" applyBorder="1" applyAlignment="1" applyProtection="1">
      <alignment horizontal="center" vertical="center"/>
      <protection locked="0"/>
    </xf>
    <xf numFmtId="14" fontId="41" fillId="6" borderId="59" xfId="0" applyNumberFormat="1" applyFont="1" applyFill="1" applyBorder="1" applyAlignment="1">
      <alignment horizontal="center" vertical="center"/>
    </xf>
    <xf numFmtId="14" fontId="74" fillId="0" borderId="6" xfId="13" applyNumberFormat="1" applyFont="1" applyBorder="1" applyAlignment="1">
      <alignment horizontal="left"/>
    </xf>
    <xf numFmtId="14" fontId="74" fillId="5" borderId="7" xfId="13" applyNumberFormat="1" applyFont="1" applyFill="1" applyBorder="1" applyAlignment="1">
      <alignment horizontal="left"/>
    </xf>
    <xf numFmtId="2" fontId="36" fillId="0" borderId="0" xfId="0" applyNumberFormat="1" applyFont="1" applyAlignment="1">
      <alignment horizontal="center"/>
    </xf>
    <xf numFmtId="0" fontId="50" fillId="10" borderId="39" xfId="0" applyFont="1" applyFill="1" applyBorder="1" applyAlignment="1" applyProtection="1">
      <alignment horizontal="center" vertical="center"/>
      <protection locked="0"/>
    </xf>
    <xf numFmtId="168" fontId="18" fillId="0" borderId="0" xfId="0" applyNumberFormat="1" applyFont="1"/>
    <xf numFmtId="0" fontId="70" fillId="0" borderId="7" xfId="13" applyNumberFormat="1" applyFont="1" applyFill="1" applyBorder="1" applyAlignment="1">
      <alignment horizontal="left"/>
    </xf>
    <xf numFmtId="167" fontId="18" fillId="0" borderId="0" xfId="0" applyNumberFormat="1" applyFont="1"/>
    <xf numFmtId="0" fontId="84" fillId="11" borderId="0" xfId="0" applyFont="1" applyFill="1" applyAlignment="1">
      <alignment horizontal="center" vertical="center" wrapText="1"/>
    </xf>
    <xf numFmtId="0" fontId="85" fillId="0" borderId="0" xfId="0" applyFont="1" applyAlignment="1">
      <alignment horizontal="center"/>
    </xf>
    <xf numFmtId="0" fontId="86" fillId="26" borderId="0" xfId="0" applyFont="1" applyFill="1" applyAlignment="1">
      <alignment horizontal="center" vertical="center"/>
    </xf>
    <xf numFmtId="0" fontId="85" fillId="17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6" fillId="0" borderId="77" xfId="0" applyFont="1" applyBorder="1" applyAlignment="1">
      <alignment horizontal="left" vertical="center"/>
    </xf>
    <xf numFmtId="168" fontId="36" fillId="0" borderId="78" xfId="0" applyNumberFormat="1" applyFont="1" applyBorder="1" applyAlignment="1">
      <alignment horizontal="center" vertical="center"/>
    </xf>
    <xf numFmtId="0" fontId="36" fillId="0" borderId="78" xfId="0" applyFont="1" applyBorder="1" applyAlignment="1">
      <alignment horizontal="center" vertical="center"/>
    </xf>
    <xf numFmtId="169" fontId="36" fillId="0" borderId="79" xfId="0" applyNumberFormat="1" applyFont="1" applyBorder="1" applyAlignment="1">
      <alignment horizontal="center" vertical="center"/>
    </xf>
    <xf numFmtId="0" fontId="36" fillId="21" borderId="97" xfId="0" applyFont="1" applyFill="1" applyBorder="1" applyAlignment="1">
      <alignment horizontal="left" vertical="center"/>
    </xf>
    <xf numFmtId="168" fontId="36" fillId="21" borderId="98" xfId="0" applyNumberFormat="1" applyFont="1" applyFill="1" applyBorder="1" applyAlignment="1">
      <alignment horizontal="center" vertical="center"/>
    </xf>
    <xf numFmtId="0" fontId="36" fillId="21" borderId="98" xfId="0" applyFont="1" applyFill="1" applyBorder="1" applyAlignment="1">
      <alignment horizontal="center" vertical="center"/>
    </xf>
    <xf numFmtId="169" fontId="36" fillId="21" borderId="99" xfId="0" applyNumberFormat="1" applyFont="1" applyFill="1" applyBorder="1" applyAlignment="1">
      <alignment horizontal="center" vertical="center"/>
    </xf>
    <xf numFmtId="0" fontId="36" fillId="0" borderId="95" xfId="0" applyFont="1" applyBorder="1" applyAlignment="1">
      <alignment horizontal="left" vertical="center"/>
    </xf>
    <xf numFmtId="168" fontId="36" fillId="0" borderId="96" xfId="0" applyNumberFormat="1" applyFont="1" applyBorder="1" applyAlignment="1">
      <alignment horizontal="center" vertical="center"/>
    </xf>
    <xf numFmtId="0" fontId="36" fillId="0" borderId="96" xfId="0" applyFont="1" applyBorder="1" applyAlignment="1">
      <alignment horizontal="center" vertical="center"/>
    </xf>
    <xf numFmtId="169" fontId="36" fillId="0" borderId="87" xfId="0" applyNumberFormat="1" applyFont="1" applyBorder="1" applyAlignment="1">
      <alignment horizontal="center" vertical="center"/>
    </xf>
    <xf numFmtId="0" fontId="38" fillId="11" borderId="97" xfId="0" applyFont="1" applyFill="1" applyBorder="1" applyAlignment="1">
      <alignment horizontal="center" vertical="center"/>
    </xf>
    <xf numFmtId="0" fontId="38" fillId="11" borderId="98" xfId="0" applyFont="1" applyFill="1" applyBorder="1" applyAlignment="1">
      <alignment horizontal="center" vertical="center"/>
    </xf>
    <xf numFmtId="0" fontId="38" fillId="11" borderId="99" xfId="0" applyFont="1" applyFill="1" applyBorder="1" applyAlignment="1">
      <alignment horizontal="center" vertical="center"/>
    </xf>
    <xf numFmtId="0" fontId="35" fillId="0" borderId="84" xfId="0" applyFont="1" applyBorder="1" applyAlignment="1">
      <alignment horizontal="center"/>
    </xf>
    <xf numFmtId="0" fontId="33" fillId="21" borderId="1" xfId="0" applyFont="1" applyFill="1" applyBorder="1" applyAlignment="1">
      <alignment horizontal="center" vertical="center"/>
    </xf>
    <xf numFmtId="0" fontId="68" fillId="0" borderId="0" xfId="0" applyFont="1" applyAlignment="1">
      <alignment wrapText="1"/>
    </xf>
    <xf numFmtId="0" fontId="44" fillId="23" borderId="20" xfId="0" applyFont="1" applyFill="1" applyBorder="1" applyAlignment="1" applyProtection="1">
      <alignment horizontal="center" vertical="center" wrapText="1"/>
      <protection hidden="1"/>
    </xf>
    <xf numFmtId="0" fontId="42" fillId="5" borderId="6" xfId="13" applyNumberFormat="1" applyFont="1" applyFill="1" applyBorder="1" applyAlignment="1">
      <alignment horizontal="center"/>
    </xf>
    <xf numFmtId="0" fontId="34" fillId="5" borderId="33" xfId="0" applyFont="1" applyFill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44" xfId="0" applyFont="1" applyBorder="1" applyAlignment="1">
      <alignment horizontal="center" vertical="center"/>
    </xf>
    <xf numFmtId="0" fontId="34" fillId="5" borderId="29" xfId="0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20" fontId="42" fillId="5" borderId="7" xfId="13" applyNumberFormat="1" applyFont="1" applyFill="1" applyBorder="1" applyAlignment="1">
      <alignment horizontal="center"/>
    </xf>
    <xf numFmtId="0" fontId="71" fillId="0" borderId="0" xfId="0" applyFont="1"/>
    <xf numFmtId="0" fontId="45" fillId="9" borderId="5" xfId="0" applyFont="1" applyFill="1" applyBorder="1" applyAlignment="1">
      <alignment horizontal="center" vertical="center"/>
    </xf>
    <xf numFmtId="1" fontId="45" fillId="9" borderId="5" xfId="0" applyNumberFormat="1" applyFont="1" applyFill="1" applyBorder="1" applyAlignment="1">
      <alignment horizontal="center" vertical="center"/>
    </xf>
    <xf numFmtId="167" fontId="45" fillId="8" borderId="46" xfId="0" applyNumberFormat="1" applyFont="1" applyFill="1" applyBorder="1" applyAlignment="1" applyProtection="1">
      <alignment horizontal="left" vertical="center" wrapText="1"/>
      <protection hidden="1"/>
    </xf>
    <xf numFmtId="1" fontId="77" fillId="8" borderId="22" xfId="0" applyNumberFormat="1" applyFont="1" applyFill="1" applyBorder="1" applyAlignment="1" applyProtection="1">
      <alignment horizontal="left" vertical="center" wrapText="1"/>
      <protection hidden="1"/>
    </xf>
    <xf numFmtId="1" fontId="45" fillId="22" borderId="17" xfId="0" applyNumberFormat="1" applyFont="1" applyFill="1" applyBorder="1" applyAlignment="1">
      <alignment vertical="center" wrapText="1"/>
    </xf>
    <xf numFmtId="1" fontId="45" fillId="22" borderId="17" xfId="0" applyNumberFormat="1" applyFont="1" applyFill="1" applyBorder="1" applyAlignment="1">
      <alignment horizontal="center" vertical="center" wrapText="1"/>
    </xf>
    <xf numFmtId="1" fontId="45" fillId="22" borderId="18" xfId="0" applyNumberFormat="1" applyFont="1" applyFill="1" applyBorder="1" applyAlignment="1">
      <alignment vertical="center" wrapText="1"/>
    </xf>
    <xf numFmtId="1" fontId="45" fillId="22" borderId="0" xfId="0" applyNumberFormat="1" applyFont="1" applyFill="1" applyAlignment="1">
      <alignment vertical="center" wrapText="1"/>
    </xf>
    <xf numFmtId="1" fontId="45" fillId="22" borderId="0" xfId="0" applyNumberFormat="1" applyFont="1" applyFill="1" applyAlignment="1">
      <alignment horizontal="center" vertical="center" wrapText="1"/>
    </xf>
    <xf numFmtId="49" fontId="45" fillId="22" borderId="38" xfId="0" applyNumberFormat="1" applyFont="1" applyFill="1" applyBorder="1" applyAlignment="1">
      <alignment vertical="center" wrapText="1"/>
    </xf>
    <xf numFmtId="0" fontId="48" fillId="10" borderId="39" xfId="0" applyFont="1" applyFill="1" applyBorder="1" applyAlignment="1">
      <alignment horizontal="center" vertical="center" wrapText="1"/>
    </xf>
    <xf numFmtId="1" fontId="43" fillId="10" borderId="5" xfId="0" applyNumberFormat="1" applyFont="1" applyFill="1" applyBorder="1" applyAlignment="1">
      <alignment horizontal="center" vertical="center" wrapText="1"/>
    </xf>
    <xf numFmtId="1" fontId="45" fillId="22" borderId="20" xfId="0" applyNumberFormat="1" applyFont="1" applyFill="1" applyBorder="1" applyAlignment="1">
      <alignment vertical="center"/>
    </xf>
    <xf numFmtId="1" fontId="45" fillId="22" borderId="20" xfId="0" applyNumberFormat="1" applyFont="1" applyFill="1" applyBorder="1" applyAlignment="1">
      <alignment horizontal="center" vertical="center"/>
    </xf>
    <xf numFmtId="49" fontId="45" fillId="22" borderId="21" xfId="0" applyNumberFormat="1" applyFont="1" applyFill="1" applyBorder="1" applyAlignment="1">
      <alignment vertical="center" wrapText="1"/>
    </xf>
    <xf numFmtId="0" fontId="45" fillId="3" borderId="65" xfId="0" applyFont="1" applyFill="1" applyBorder="1" applyAlignment="1">
      <alignment horizontal="center" vertical="center"/>
    </xf>
    <xf numFmtId="1" fontId="45" fillId="3" borderId="24" xfId="0" applyNumberFormat="1" applyFont="1" applyFill="1" applyBorder="1" applyAlignment="1">
      <alignment horizontal="center" vertical="center"/>
    </xf>
    <xf numFmtId="1" fontId="45" fillId="3" borderId="28" xfId="0" applyNumberFormat="1" applyFont="1" applyFill="1" applyBorder="1" applyAlignment="1">
      <alignment horizontal="center" vertical="center"/>
    </xf>
    <xf numFmtId="0" fontId="45" fillId="3" borderId="66" xfId="0" applyFont="1" applyFill="1" applyBorder="1" applyAlignment="1">
      <alignment horizontal="center" vertical="center"/>
    </xf>
    <xf numFmtId="14" fontId="45" fillId="3" borderId="31" xfId="0" applyNumberFormat="1" applyFont="1" applyFill="1" applyBorder="1" applyAlignment="1">
      <alignment horizontal="center" vertical="center"/>
    </xf>
    <xf numFmtId="167" fontId="54" fillId="3" borderId="1" xfId="0" applyNumberFormat="1" applyFont="1" applyFill="1" applyBorder="1" applyAlignment="1">
      <alignment horizontal="center" vertical="center"/>
    </xf>
    <xf numFmtId="1" fontId="45" fillId="9" borderId="1" xfId="0" applyNumberFormat="1" applyFont="1" applyFill="1" applyBorder="1" applyAlignment="1">
      <alignment horizontal="center" vertical="center"/>
    </xf>
    <xf numFmtId="1" fontId="45" fillId="3" borderId="1" xfId="0" applyNumberFormat="1" applyFont="1" applyFill="1" applyBorder="1" applyAlignment="1">
      <alignment horizontal="center" vertical="center"/>
    </xf>
    <xf numFmtId="1" fontId="45" fillId="3" borderId="7" xfId="0" applyNumberFormat="1" applyFont="1" applyFill="1" applyBorder="1" applyAlignment="1">
      <alignment horizontal="center" vertical="center"/>
    </xf>
    <xf numFmtId="1" fontId="45" fillId="3" borderId="4" xfId="0" applyNumberFormat="1" applyFont="1" applyFill="1" applyBorder="1" applyAlignment="1">
      <alignment horizontal="center" vertical="center"/>
    </xf>
    <xf numFmtId="1" fontId="45" fillId="3" borderId="68" xfId="0" applyNumberFormat="1" applyFont="1" applyFill="1" applyBorder="1" applyAlignment="1">
      <alignment horizontal="center" vertical="center"/>
    </xf>
    <xf numFmtId="1" fontId="45" fillId="3" borderId="6" xfId="0" applyNumberFormat="1" applyFont="1" applyFill="1" applyBorder="1" applyAlignment="1">
      <alignment horizontal="center" vertical="center"/>
    </xf>
    <xf numFmtId="14" fontId="45" fillId="3" borderId="33" xfId="0" applyNumberFormat="1" applyFont="1" applyFill="1" applyBorder="1" applyAlignment="1">
      <alignment horizontal="center" vertical="center"/>
    </xf>
    <xf numFmtId="1" fontId="45" fillId="9" borderId="32" xfId="0" applyNumberFormat="1" applyFont="1" applyFill="1" applyBorder="1" applyAlignment="1">
      <alignment horizontal="center" vertical="center"/>
    </xf>
    <xf numFmtId="0" fontId="45" fillId="9" borderId="22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/>
    </xf>
    <xf numFmtId="0" fontId="85" fillId="21" borderId="0" xfId="0" applyFont="1" applyFill="1" applyAlignment="1">
      <alignment horizontal="center"/>
    </xf>
    <xf numFmtId="1" fontId="36" fillId="0" borderId="0" xfId="0" applyNumberFormat="1" applyFont="1" applyAlignment="1">
      <alignment horizontal="center"/>
    </xf>
    <xf numFmtId="170" fontId="36" fillId="0" borderId="0" xfId="0" applyNumberFormat="1" applyFont="1" applyAlignment="1">
      <alignment horizontal="center"/>
    </xf>
    <xf numFmtId="1" fontId="48" fillId="10" borderId="5" xfId="0" applyNumberFormat="1" applyFont="1" applyFill="1" applyBorder="1" applyAlignment="1" applyProtection="1">
      <alignment horizontal="center" vertical="center" wrapText="1"/>
      <protection locked="0"/>
    </xf>
    <xf numFmtId="168" fontId="45" fillId="9" borderId="5" xfId="0" applyNumberFormat="1" applyFont="1" applyFill="1" applyBorder="1" applyAlignment="1">
      <alignment horizontal="center" vertical="center"/>
    </xf>
    <xf numFmtId="1" fontId="10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88" fillId="0" borderId="0" xfId="0" applyFont="1" applyAlignment="1">
      <alignment vertical="center" wrapText="1"/>
    </xf>
    <xf numFmtId="0" fontId="8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89" fillId="0" borderId="0" xfId="0" applyFont="1"/>
    <xf numFmtId="169" fontId="0" fillId="0" borderId="0" xfId="0" applyNumberFormat="1" applyAlignment="1">
      <alignment vertical="center" wrapText="1"/>
    </xf>
    <xf numFmtId="0" fontId="90" fillId="0" borderId="0" xfId="0" applyFont="1"/>
    <xf numFmtId="0" fontId="0" fillId="0" borderId="100" xfId="0" applyBorder="1"/>
    <xf numFmtId="0" fontId="0" fillId="0" borderId="66" xfId="0" applyBorder="1"/>
    <xf numFmtId="0" fontId="0" fillId="0" borderId="101" xfId="0" applyBorder="1"/>
    <xf numFmtId="0" fontId="36" fillId="0" borderId="32" xfId="0" applyFont="1" applyBorder="1"/>
    <xf numFmtId="0" fontId="91" fillId="0" borderId="0" xfId="0" applyFont="1"/>
    <xf numFmtId="168" fontId="36" fillId="19" borderId="97" xfId="0" applyNumberFormat="1" applyFont="1" applyFill="1" applyBorder="1" applyAlignment="1">
      <alignment horizontal="center"/>
    </xf>
    <xf numFmtId="168" fontId="36" fillId="19" borderId="98" xfId="0" applyNumberFormat="1" applyFont="1" applyFill="1" applyBorder="1" applyAlignment="1">
      <alignment horizontal="center"/>
    </xf>
    <xf numFmtId="1" fontId="36" fillId="19" borderId="98" xfId="0" applyNumberFormat="1" applyFont="1" applyFill="1" applyBorder="1" applyAlignment="1">
      <alignment horizontal="center"/>
    </xf>
    <xf numFmtId="169" fontId="36" fillId="19" borderId="99" xfId="0" applyNumberFormat="1" applyFont="1" applyFill="1" applyBorder="1" applyAlignment="1">
      <alignment horizontal="center"/>
    </xf>
    <xf numFmtId="168" fontId="36" fillId="19" borderId="102" xfId="0" applyNumberFormat="1" applyFont="1" applyFill="1" applyBorder="1" applyAlignment="1">
      <alignment horizontal="center"/>
    </xf>
    <xf numFmtId="169" fontId="36" fillId="19" borderId="5" xfId="0" applyNumberFormat="1" applyFont="1" applyFill="1" applyBorder="1" applyAlignment="1">
      <alignment horizontal="center"/>
    </xf>
    <xf numFmtId="0" fontId="36" fillId="0" borderId="1" xfId="0" applyFont="1" applyBorder="1"/>
    <xf numFmtId="0" fontId="40" fillId="11" borderId="86" xfId="0" applyFont="1" applyFill="1" applyBorder="1" applyAlignment="1">
      <alignment horizontal="center" vertical="center"/>
    </xf>
    <xf numFmtId="0" fontId="51" fillId="11" borderId="81" xfId="0" applyFont="1" applyFill="1" applyBorder="1" applyAlignment="1">
      <alignment horizontal="center"/>
    </xf>
    <xf numFmtId="1" fontId="45" fillId="3" borderId="2" xfId="0" applyNumberFormat="1" applyFont="1" applyFill="1" applyBorder="1" applyAlignment="1" applyProtection="1">
      <alignment horizontal="center" vertical="center"/>
      <protection locked="0"/>
    </xf>
    <xf numFmtId="1" fontId="45" fillId="3" borderId="70" xfId="0" applyNumberFormat="1" applyFont="1" applyFill="1" applyBorder="1" applyAlignment="1" applyProtection="1">
      <alignment horizontal="center" vertical="center"/>
      <protection locked="0"/>
    </xf>
    <xf numFmtId="1" fontId="36" fillId="19" borderId="102" xfId="0" applyNumberFormat="1" applyFont="1" applyFill="1" applyBorder="1" applyAlignment="1">
      <alignment horizontal="center"/>
    </xf>
    <xf numFmtId="0" fontId="92" fillId="11" borderId="0" xfId="0" applyFont="1" applyFill="1" applyAlignment="1">
      <alignment horizontal="center" vertical="center"/>
    </xf>
    <xf numFmtId="0" fontId="88" fillId="0" borderId="0" xfId="0" applyFont="1" applyAlignment="1">
      <alignment vertical="center"/>
    </xf>
    <xf numFmtId="0" fontId="88" fillId="0" borderId="0" xfId="0" applyFont="1"/>
    <xf numFmtId="0" fontId="45" fillId="0" borderId="0" xfId="0" applyFont="1"/>
    <xf numFmtId="0" fontId="45" fillId="9" borderId="1" xfId="0" applyFont="1" applyFill="1" applyBorder="1" applyAlignment="1" applyProtection="1">
      <alignment horizontal="center" vertical="center"/>
      <protection locked="0"/>
    </xf>
    <xf numFmtId="0" fontId="3" fillId="3" borderId="70" xfId="0" applyFont="1" applyFill="1" applyBorder="1" applyProtection="1">
      <protection locked="0"/>
    </xf>
    <xf numFmtId="0" fontId="3" fillId="3" borderId="71" xfId="0" applyFont="1" applyFill="1" applyBorder="1" applyProtection="1">
      <protection locked="0"/>
    </xf>
    <xf numFmtId="0" fontId="45" fillId="9" borderId="24" xfId="0" applyFont="1" applyFill="1" applyBorder="1" applyAlignment="1" applyProtection="1">
      <alignment horizontal="center" vertical="center"/>
      <protection locked="0"/>
    </xf>
    <xf numFmtId="0" fontId="45" fillId="9" borderId="32" xfId="0" applyFont="1" applyFill="1" applyBorder="1" applyAlignment="1" applyProtection="1">
      <alignment horizontal="center" vertical="center"/>
      <protection locked="0"/>
    </xf>
    <xf numFmtId="168" fontId="54" fillId="3" borderId="1" xfId="0" applyNumberFormat="1" applyFont="1" applyFill="1" applyBorder="1" applyAlignment="1" applyProtection="1">
      <alignment horizontal="center" vertical="center"/>
      <protection locked="0"/>
    </xf>
    <xf numFmtId="0" fontId="45" fillId="9" borderId="32" xfId="0" applyFont="1" applyFill="1" applyBorder="1" applyAlignment="1">
      <alignment horizontal="center" vertical="center"/>
    </xf>
    <xf numFmtId="0" fontId="45" fillId="9" borderId="1" xfId="0" applyFont="1" applyFill="1" applyBorder="1" applyAlignment="1">
      <alignment horizontal="center" vertical="center"/>
    </xf>
    <xf numFmtId="0" fontId="70" fillId="0" borderId="6" xfId="13" applyNumberFormat="1" applyFont="1" applyFill="1" applyBorder="1" applyAlignment="1">
      <alignment horizontal="left"/>
    </xf>
    <xf numFmtId="14" fontId="0" fillId="0" borderId="0" xfId="0" applyNumberFormat="1" applyAlignment="1">
      <alignment horizontal="right"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67" fontId="0" fillId="0" borderId="0" xfId="0" applyNumberFormat="1" applyAlignment="1">
      <alignment horizontal="right" vertical="top"/>
    </xf>
    <xf numFmtId="0" fontId="54" fillId="3" borderId="24" xfId="0" applyFont="1" applyFill="1" applyBorder="1" applyAlignment="1" applyProtection="1">
      <alignment horizontal="center" vertical="center"/>
      <protection locked="0"/>
    </xf>
    <xf numFmtId="0" fontId="54" fillId="3" borderId="1" xfId="0" applyFont="1" applyFill="1" applyBorder="1" applyAlignment="1" applyProtection="1">
      <alignment horizontal="center" vertical="center"/>
      <protection locked="0"/>
    </xf>
    <xf numFmtId="0" fontId="37" fillId="31" borderId="93" xfId="0" applyFont="1" applyFill="1" applyBorder="1" applyAlignment="1">
      <alignment vertical="center"/>
    </xf>
    <xf numFmtId="0" fontId="75" fillId="31" borderId="93" xfId="0" applyFont="1" applyFill="1" applyBorder="1" applyAlignment="1">
      <alignment vertical="center"/>
    </xf>
    <xf numFmtId="0" fontId="37" fillId="32" borderId="93" xfId="0" applyFont="1" applyFill="1" applyBorder="1" applyAlignment="1">
      <alignment vertical="center"/>
    </xf>
    <xf numFmtId="0" fontId="75" fillId="32" borderId="93" xfId="0" applyFont="1" applyFill="1" applyBorder="1" applyAlignment="1">
      <alignment vertical="center"/>
    </xf>
    <xf numFmtId="0" fontId="37" fillId="33" borderId="93" xfId="0" applyFont="1" applyFill="1" applyBorder="1" applyAlignment="1">
      <alignment vertical="center"/>
    </xf>
    <xf numFmtId="0" fontId="75" fillId="33" borderId="93" xfId="0" applyFont="1" applyFill="1" applyBorder="1" applyAlignment="1">
      <alignment vertical="center"/>
    </xf>
    <xf numFmtId="0" fontId="35" fillId="34" borderId="93" xfId="0" applyFont="1" applyFill="1" applyBorder="1" applyAlignment="1">
      <alignment vertical="center"/>
    </xf>
    <xf numFmtId="0" fontId="34" fillId="34" borderId="93" xfId="0" applyFont="1" applyFill="1" applyBorder="1" applyAlignment="1">
      <alignment vertical="center"/>
    </xf>
    <xf numFmtId="0" fontId="35" fillId="35" borderId="93" xfId="0" applyFont="1" applyFill="1" applyBorder="1" applyAlignment="1">
      <alignment vertical="center"/>
    </xf>
    <xf numFmtId="0" fontId="34" fillId="35" borderId="93" xfId="0" applyFont="1" applyFill="1" applyBorder="1" applyAlignment="1">
      <alignment vertical="center"/>
    </xf>
    <xf numFmtId="0" fontId="93" fillId="36" borderId="93" xfId="0" applyFont="1" applyFill="1" applyBorder="1" applyAlignment="1">
      <alignment vertical="center"/>
    </xf>
    <xf numFmtId="0" fontId="54" fillId="3" borderId="1" xfId="0" applyFont="1" applyFill="1" applyBorder="1" applyAlignment="1">
      <alignment horizontal="center" vertical="center"/>
    </xf>
    <xf numFmtId="0" fontId="45" fillId="3" borderId="31" xfId="0" applyFont="1" applyFill="1" applyBorder="1" applyAlignment="1" applyProtection="1">
      <alignment horizontal="center" vertical="center"/>
      <protection locked="0"/>
    </xf>
    <xf numFmtId="0" fontId="45" fillId="3" borderId="1" xfId="0" applyFont="1" applyFill="1" applyBorder="1" applyAlignment="1" applyProtection="1">
      <alignment horizontal="center" vertical="center"/>
      <protection locked="0"/>
    </xf>
    <xf numFmtId="0" fontId="37" fillId="37" borderId="93" xfId="0" applyFont="1" applyFill="1" applyBorder="1" applyAlignment="1">
      <alignment vertical="center"/>
    </xf>
    <xf numFmtId="0" fontId="75" fillId="37" borderId="93" xfId="0" applyFont="1" applyFill="1" applyBorder="1" applyAlignment="1">
      <alignment vertical="center"/>
    </xf>
    <xf numFmtId="0" fontId="37" fillId="38" borderId="93" xfId="0" applyFont="1" applyFill="1" applyBorder="1" applyAlignment="1">
      <alignment vertical="center"/>
    </xf>
    <xf numFmtId="0" fontId="75" fillId="38" borderId="93" xfId="0" applyFont="1" applyFill="1" applyBorder="1" applyAlignment="1">
      <alignment vertical="center"/>
    </xf>
    <xf numFmtId="0" fontId="37" fillId="39" borderId="93" xfId="0" applyFont="1" applyFill="1" applyBorder="1" applyAlignment="1">
      <alignment vertical="center"/>
    </xf>
    <xf numFmtId="0" fontId="75" fillId="39" borderId="93" xfId="0" applyFont="1" applyFill="1" applyBorder="1" applyAlignment="1">
      <alignment vertical="center"/>
    </xf>
    <xf numFmtId="0" fontId="37" fillId="40" borderId="93" xfId="0" applyFont="1" applyFill="1" applyBorder="1" applyAlignment="1">
      <alignment vertical="center"/>
    </xf>
    <xf numFmtId="0" fontId="75" fillId="40" borderId="93" xfId="0" applyFont="1" applyFill="1" applyBorder="1" applyAlignment="1">
      <alignment vertical="center"/>
    </xf>
    <xf numFmtId="0" fontId="37" fillId="41" borderId="93" xfId="0" applyFont="1" applyFill="1" applyBorder="1" applyAlignment="1">
      <alignment vertical="center"/>
    </xf>
    <xf numFmtId="0" fontId="75" fillId="41" borderId="93" xfId="0" applyFont="1" applyFill="1" applyBorder="1" applyAlignment="1">
      <alignment vertical="center"/>
    </xf>
    <xf numFmtId="0" fontId="37" fillId="42" borderId="93" xfId="0" applyFont="1" applyFill="1" applyBorder="1" applyAlignment="1">
      <alignment vertical="center"/>
    </xf>
    <xf numFmtId="0" fontId="75" fillId="42" borderId="93" xfId="0" applyFont="1" applyFill="1" applyBorder="1" applyAlignment="1">
      <alignment vertical="center"/>
    </xf>
    <xf numFmtId="1" fontId="47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0" xfId="0" applyFont="1" applyAlignment="1">
      <alignment horizontal="left"/>
    </xf>
    <xf numFmtId="14" fontId="0" fillId="21" borderId="0" xfId="0" applyNumberFormat="1" applyFill="1" applyAlignment="1">
      <alignment horizontal="right" vertical="top"/>
    </xf>
    <xf numFmtId="0" fontId="0" fillId="21" borderId="0" xfId="0" applyFill="1" applyAlignment="1">
      <alignment vertical="top"/>
    </xf>
    <xf numFmtId="3" fontId="0" fillId="21" borderId="0" xfId="0" applyNumberFormat="1" applyFill="1" applyAlignment="1">
      <alignment horizontal="right" vertical="top"/>
    </xf>
    <xf numFmtId="167" fontId="0" fillId="21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0" fillId="21" borderId="0" xfId="0" applyFill="1" applyAlignment="1">
      <alignment horizontal="right" vertical="top"/>
    </xf>
    <xf numFmtId="0" fontId="72" fillId="0" borderId="0" xfId="0" applyFont="1" applyAlignment="1">
      <alignment horizontal="center" vertical="center" wrapText="1"/>
    </xf>
    <xf numFmtId="0" fontId="19" fillId="9" borderId="5" xfId="0" applyFont="1" applyFill="1" applyBorder="1" applyAlignment="1" applyProtection="1">
      <alignment horizontal="center" vertical="center"/>
      <protection hidden="1"/>
    </xf>
    <xf numFmtId="0" fontId="18" fillId="0" borderId="2" xfId="0" applyFont="1" applyBorder="1" applyAlignment="1">
      <alignment horizontal="center"/>
    </xf>
    <xf numFmtId="0" fontId="18" fillId="0" borderId="65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50" fillId="8" borderId="46" xfId="0" applyFont="1" applyFill="1" applyBorder="1" applyAlignment="1" applyProtection="1">
      <alignment horizontal="center" vertical="center" wrapText="1"/>
      <protection hidden="1"/>
    </xf>
    <xf numFmtId="0" fontId="50" fillId="8" borderId="40" xfId="0" applyFont="1" applyFill="1" applyBorder="1" applyAlignment="1" applyProtection="1">
      <alignment horizontal="center" vertical="center" wrapText="1"/>
      <protection hidden="1"/>
    </xf>
    <xf numFmtId="0" fontId="50" fillId="8" borderId="22" xfId="0" applyFont="1" applyFill="1" applyBorder="1" applyAlignment="1" applyProtection="1">
      <alignment horizontal="center" vertical="center" wrapText="1"/>
      <protection hidden="1"/>
    </xf>
    <xf numFmtId="0" fontId="46" fillId="8" borderId="16" xfId="0" applyFont="1" applyFill="1" applyBorder="1" applyAlignment="1" applyProtection="1">
      <alignment horizontal="center" vertical="center"/>
      <protection hidden="1"/>
    </xf>
    <xf numFmtId="0" fontId="46" fillId="8" borderId="18" xfId="0" applyFont="1" applyFill="1" applyBorder="1" applyAlignment="1" applyProtection="1">
      <alignment horizontal="center" vertical="center"/>
      <protection hidden="1"/>
    </xf>
    <xf numFmtId="167" fontId="52" fillId="8" borderId="16" xfId="0" applyNumberFormat="1" applyFont="1" applyFill="1" applyBorder="1" applyAlignment="1" applyProtection="1">
      <alignment horizontal="center" vertical="center" wrapText="1"/>
      <protection hidden="1"/>
    </xf>
    <xf numFmtId="167" fontId="52" fillId="8" borderId="17" xfId="0" applyNumberFormat="1" applyFont="1" applyFill="1" applyBorder="1" applyAlignment="1" applyProtection="1">
      <alignment horizontal="center" vertical="center" wrapText="1"/>
      <protection hidden="1"/>
    </xf>
    <xf numFmtId="167" fontId="52" fillId="8" borderId="18" xfId="0" applyNumberFormat="1" applyFont="1" applyFill="1" applyBorder="1" applyAlignment="1" applyProtection="1">
      <alignment horizontal="center" vertical="center" wrapText="1"/>
      <protection hidden="1"/>
    </xf>
    <xf numFmtId="49" fontId="48" fillId="10" borderId="16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17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18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37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0" xfId="0" applyNumberFormat="1" applyFont="1" applyFill="1" applyAlignment="1" applyProtection="1">
      <alignment horizontal="center" vertical="center" wrapText="1"/>
      <protection locked="0"/>
    </xf>
    <xf numFmtId="49" fontId="48" fillId="10" borderId="38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19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20" xfId="0" applyNumberFormat="1" applyFont="1" applyFill="1" applyBorder="1" applyAlignment="1" applyProtection="1">
      <alignment horizontal="center" vertical="center" wrapText="1"/>
      <protection locked="0"/>
    </xf>
    <xf numFmtId="49" fontId="48" fillId="10" borderId="21" xfId="0" applyNumberFormat="1" applyFont="1" applyFill="1" applyBorder="1" applyAlignment="1" applyProtection="1">
      <alignment horizontal="center" vertical="center" wrapText="1"/>
      <protection locked="0"/>
    </xf>
    <xf numFmtId="0" fontId="46" fillId="8" borderId="16" xfId="0" applyFont="1" applyFill="1" applyBorder="1" applyAlignment="1" applyProtection="1">
      <alignment horizontal="right" vertical="center" wrapText="1"/>
      <protection hidden="1"/>
    </xf>
    <xf numFmtId="0" fontId="46" fillId="8" borderId="18" xfId="0" applyFont="1" applyFill="1" applyBorder="1" applyAlignment="1" applyProtection="1">
      <alignment horizontal="right" vertical="center" wrapText="1"/>
      <protection hidden="1"/>
    </xf>
    <xf numFmtId="0" fontId="46" fillId="8" borderId="19" xfId="0" applyFont="1" applyFill="1" applyBorder="1" applyAlignment="1" applyProtection="1">
      <alignment horizontal="right" vertical="center" wrapText="1"/>
      <protection hidden="1"/>
    </xf>
    <xf numFmtId="0" fontId="46" fillId="8" borderId="21" xfId="0" applyFont="1" applyFill="1" applyBorder="1" applyAlignment="1" applyProtection="1">
      <alignment horizontal="right" vertical="center" wrapText="1"/>
      <protection hidden="1"/>
    </xf>
    <xf numFmtId="14" fontId="47" fillId="10" borderId="16" xfId="0" applyNumberFormat="1" applyFont="1" applyFill="1" applyBorder="1" applyAlignment="1" applyProtection="1">
      <alignment horizontal="center" vertical="center" wrapText="1"/>
      <protection locked="0"/>
    </xf>
    <xf numFmtId="14" fontId="47" fillId="10" borderId="18" xfId="0" applyNumberFormat="1" applyFont="1" applyFill="1" applyBorder="1" applyAlignment="1" applyProtection="1">
      <alignment horizontal="center" vertical="center" wrapText="1"/>
      <protection locked="0"/>
    </xf>
    <xf numFmtId="14" fontId="47" fillId="10" borderId="19" xfId="0" applyNumberFormat="1" applyFont="1" applyFill="1" applyBorder="1" applyAlignment="1" applyProtection="1">
      <alignment horizontal="center" vertical="center" wrapText="1"/>
      <protection locked="0"/>
    </xf>
    <xf numFmtId="14" fontId="47" fillId="10" borderId="21" xfId="0" applyNumberFormat="1" applyFont="1" applyFill="1" applyBorder="1" applyAlignment="1" applyProtection="1">
      <alignment horizontal="center" vertical="center" wrapText="1"/>
      <protection locked="0"/>
    </xf>
    <xf numFmtId="0" fontId="55" fillId="4" borderId="46" xfId="0" applyFont="1" applyFill="1" applyBorder="1" applyAlignment="1" applyProtection="1">
      <alignment horizontal="center" wrapText="1"/>
      <protection hidden="1"/>
    </xf>
    <xf numFmtId="0" fontId="55" fillId="4" borderId="40" xfId="0" applyFont="1" applyFill="1" applyBorder="1" applyAlignment="1" applyProtection="1">
      <alignment horizontal="center" wrapText="1"/>
      <protection hidden="1"/>
    </xf>
    <xf numFmtId="0" fontId="55" fillId="4" borderId="22" xfId="0" applyFont="1" applyFill="1" applyBorder="1" applyAlignment="1" applyProtection="1">
      <alignment horizontal="center" wrapText="1"/>
      <protection hidden="1"/>
    </xf>
    <xf numFmtId="0" fontId="49" fillId="3" borderId="46" xfId="0" applyFont="1" applyFill="1" applyBorder="1" applyAlignment="1" applyProtection="1">
      <alignment horizontal="center" vertical="center"/>
      <protection hidden="1"/>
    </xf>
    <xf numFmtId="0" fontId="49" fillId="3" borderId="22" xfId="0" applyFont="1" applyFill="1" applyBorder="1" applyAlignment="1" applyProtection="1">
      <alignment horizontal="center" vertical="center"/>
      <protection hidden="1"/>
    </xf>
    <xf numFmtId="0" fontId="45" fillId="3" borderId="46" xfId="0" applyFont="1" applyFill="1" applyBorder="1" applyAlignment="1" applyProtection="1">
      <alignment horizontal="center"/>
      <protection hidden="1"/>
    </xf>
    <xf numFmtId="0" fontId="45" fillId="3" borderId="40" xfId="0" applyFont="1" applyFill="1" applyBorder="1" applyAlignment="1" applyProtection="1">
      <alignment horizontal="center"/>
      <protection hidden="1"/>
    </xf>
    <xf numFmtId="0" fontId="45" fillId="3" borderId="22" xfId="0" applyFont="1" applyFill="1" applyBorder="1" applyAlignment="1" applyProtection="1">
      <alignment horizontal="center"/>
      <protection hidden="1"/>
    </xf>
    <xf numFmtId="0" fontId="78" fillId="8" borderId="46" xfId="0" applyFont="1" applyFill="1" applyBorder="1" applyAlignment="1" applyProtection="1">
      <alignment horizontal="center" vertical="center" wrapText="1"/>
      <protection hidden="1"/>
    </xf>
    <xf numFmtId="0" fontId="78" fillId="8" borderId="40" xfId="0" applyFont="1" applyFill="1" applyBorder="1" applyAlignment="1" applyProtection="1">
      <alignment horizontal="center" vertical="center" wrapText="1"/>
      <protection hidden="1"/>
    </xf>
    <xf numFmtId="0" fontId="78" fillId="8" borderId="22" xfId="0" applyFont="1" applyFill="1" applyBorder="1" applyAlignment="1" applyProtection="1">
      <alignment horizontal="center" vertical="center" wrapText="1"/>
      <protection hidden="1"/>
    </xf>
    <xf numFmtId="0" fontId="47" fillId="22" borderId="16" xfId="0" applyFont="1" applyFill="1" applyBorder="1" applyAlignment="1" applyProtection="1">
      <alignment horizontal="center" vertical="center"/>
      <protection hidden="1"/>
    </xf>
    <xf numFmtId="0" fontId="47" fillId="22" borderId="18" xfId="0" applyFont="1" applyFill="1" applyBorder="1" applyAlignment="1" applyProtection="1">
      <alignment horizontal="center" vertical="center"/>
      <protection hidden="1"/>
    </xf>
    <xf numFmtId="167" fontId="82" fillId="22" borderId="16" xfId="0" applyNumberFormat="1" applyFont="1" applyFill="1" applyBorder="1" applyAlignment="1" applyProtection="1">
      <alignment horizontal="center" vertical="center" wrapText="1"/>
      <protection hidden="1"/>
    </xf>
    <xf numFmtId="167" fontId="82" fillId="22" borderId="17" xfId="0" applyNumberFormat="1" applyFont="1" applyFill="1" applyBorder="1" applyAlignment="1" applyProtection="1">
      <alignment horizontal="center" vertical="center" wrapText="1"/>
      <protection hidden="1"/>
    </xf>
    <xf numFmtId="167" fontId="82" fillId="22" borderId="18" xfId="0" applyNumberFormat="1" applyFont="1" applyFill="1" applyBorder="1" applyAlignment="1" applyProtection="1">
      <alignment horizontal="center" vertical="center" wrapText="1"/>
      <protection hidden="1"/>
    </xf>
    <xf numFmtId="49" fontId="48" fillId="22" borderId="16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17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18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37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0" xfId="0" applyNumberFormat="1" applyFont="1" applyFill="1" applyAlignment="1" applyProtection="1">
      <alignment horizontal="center" vertical="center" wrapText="1"/>
      <protection locked="0"/>
    </xf>
    <xf numFmtId="49" fontId="48" fillId="22" borderId="38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19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20" xfId="0" applyNumberFormat="1" applyFont="1" applyFill="1" applyBorder="1" applyAlignment="1" applyProtection="1">
      <alignment horizontal="center" vertical="center" wrapText="1"/>
      <protection locked="0"/>
    </xf>
    <xf numFmtId="49" fontId="48" fillId="22" borderId="21" xfId="0" applyNumberFormat="1" applyFont="1" applyFill="1" applyBorder="1" applyAlignment="1" applyProtection="1">
      <alignment horizontal="center" vertical="center" wrapText="1"/>
      <protection locked="0"/>
    </xf>
    <xf numFmtId="0" fontId="47" fillId="8" borderId="16" xfId="0" applyFont="1" applyFill="1" applyBorder="1" applyAlignment="1" applyProtection="1">
      <alignment horizontal="right" vertical="center" wrapText="1"/>
      <protection hidden="1"/>
    </xf>
    <xf numFmtId="0" fontId="47" fillId="8" borderId="18" xfId="0" applyFont="1" applyFill="1" applyBorder="1" applyAlignment="1" applyProtection="1">
      <alignment horizontal="right" vertical="center" wrapText="1"/>
      <protection hidden="1"/>
    </xf>
    <xf numFmtId="0" fontId="47" fillId="8" borderId="19" xfId="0" applyFont="1" applyFill="1" applyBorder="1" applyAlignment="1" applyProtection="1">
      <alignment horizontal="right" vertical="center" wrapText="1"/>
      <protection hidden="1"/>
    </xf>
    <xf numFmtId="0" fontId="47" fillId="8" borderId="21" xfId="0" applyFont="1" applyFill="1" applyBorder="1" applyAlignment="1" applyProtection="1">
      <alignment horizontal="right" vertical="center" wrapText="1"/>
      <protection hidden="1"/>
    </xf>
    <xf numFmtId="0" fontId="81" fillId="4" borderId="46" xfId="0" applyFont="1" applyFill="1" applyBorder="1" applyAlignment="1" applyProtection="1">
      <alignment horizontal="center" wrapText="1"/>
      <protection hidden="1"/>
    </xf>
    <xf numFmtId="0" fontId="81" fillId="4" borderId="40" xfId="0" applyFont="1" applyFill="1" applyBorder="1" applyAlignment="1" applyProtection="1">
      <alignment horizontal="center" wrapText="1"/>
      <protection hidden="1"/>
    </xf>
    <xf numFmtId="0" fontId="81" fillId="4" borderId="22" xfId="0" applyFont="1" applyFill="1" applyBorder="1" applyAlignment="1" applyProtection="1">
      <alignment horizontal="center" wrapText="1"/>
      <protection hidden="1"/>
    </xf>
    <xf numFmtId="0" fontId="44" fillId="3" borderId="46" xfId="0" applyFont="1" applyFill="1" applyBorder="1" applyAlignment="1" applyProtection="1">
      <alignment horizontal="center" vertical="center"/>
      <protection hidden="1"/>
    </xf>
    <xf numFmtId="0" fontId="44" fillId="3" borderId="22" xfId="0" applyFont="1" applyFill="1" applyBorder="1" applyAlignment="1" applyProtection="1">
      <alignment horizontal="center" vertical="center"/>
      <protection hidden="1"/>
    </xf>
    <xf numFmtId="0" fontId="44" fillId="3" borderId="46" xfId="0" applyFont="1" applyFill="1" applyBorder="1" applyAlignment="1" applyProtection="1">
      <alignment horizontal="center"/>
      <protection hidden="1"/>
    </xf>
    <xf numFmtId="0" fontId="44" fillId="3" borderId="40" xfId="0" applyFont="1" applyFill="1" applyBorder="1" applyAlignment="1" applyProtection="1">
      <alignment horizontal="center"/>
      <protection hidden="1"/>
    </xf>
    <xf numFmtId="0" fontId="44" fillId="3" borderId="22" xfId="0" applyFont="1" applyFill="1" applyBorder="1" applyAlignment="1" applyProtection="1">
      <alignment horizontal="center"/>
      <protection hidden="1"/>
    </xf>
    <xf numFmtId="0" fontId="45" fillId="3" borderId="28" xfId="0" applyFont="1" applyFill="1" applyBorder="1" applyAlignment="1" applyProtection="1">
      <alignment horizontal="center" vertical="center" wrapText="1"/>
      <protection locked="0"/>
    </xf>
    <xf numFmtId="0" fontId="45" fillId="3" borderId="69" xfId="0" applyFont="1" applyFill="1" applyBorder="1" applyAlignment="1" applyProtection="1">
      <alignment horizontal="center" vertical="center" wrapText="1"/>
      <protection locked="0"/>
    </xf>
    <xf numFmtId="0" fontId="45" fillId="3" borderId="59" xfId="0" applyFont="1" applyFill="1" applyBorder="1" applyAlignment="1" applyProtection="1">
      <alignment horizontal="center" vertical="center" wrapText="1"/>
      <protection locked="0"/>
    </xf>
    <xf numFmtId="0" fontId="45" fillId="3" borderId="47" xfId="0" applyFont="1" applyFill="1" applyBorder="1" applyAlignment="1" applyProtection="1">
      <alignment horizontal="center" vertical="center"/>
      <protection hidden="1"/>
    </xf>
    <xf numFmtId="0" fontId="45" fillId="3" borderId="48" xfId="0" applyFont="1" applyFill="1" applyBorder="1" applyAlignment="1" applyProtection="1">
      <alignment horizontal="center" vertical="center"/>
      <protection hidden="1"/>
    </xf>
    <xf numFmtId="0" fontId="45" fillId="3" borderId="49" xfId="0" applyFont="1" applyFill="1" applyBorder="1" applyAlignment="1" applyProtection="1">
      <alignment horizontal="center" vertical="center"/>
      <protection hidden="1"/>
    </xf>
    <xf numFmtId="0" fontId="45" fillId="3" borderId="50" xfId="0" applyFont="1" applyFill="1" applyBorder="1" applyAlignment="1" applyProtection="1">
      <alignment horizontal="center" vertical="center"/>
      <protection hidden="1"/>
    </xf>
    <xf numFmtId="0" fontId="45" fillId="9" borderId="46" xfId="0" applyFont="1" applyFill="1" applyBorder="1" applyAlignment="1" applyProtection="1">
      <alignment horizontal="left" vertical="center"/>
      <protection hidden="1"/>
    </xf>
    <xf numFmtId="0" fontId="45" fillId="9" borderId="22" xfId="0" applyFont="1" applyFill="1" applyBorder="1" applyAlignment="1" applyProtection="1">
      <alignment horizontal="left" vertical="center"/>
      <protection hidden="1"/>
    </xf>
    <xf numFmtId="0" fontId="45" fillId="3" borderId="46" xfId="0" applyFont="1" applyFill="1" applyBorder="1" applyAlignment="1" applyProtection="1">
      <alignment horizontal="left" vertical="center"/>
      <protection locked="0"/>
    </xf>
    <xf numFmtId="0" fontId="45" fillId="3" borderId="40" xfId="0" applyFont="1" applyFill="1" applyBorder="1" applyAlignment="1" applyProtection="1">
      <alignment horizontal="left" vertical="center"/>
      <protection locked="0"/>
    </xf>
    <xf numFmtId="0" fontId="45" fillId="3" borderId="22" xfId="0" applyFont="1" applyFill="1" applyBorder="1" applyAlignment="1" applyProtection="1">
      <alignment horizontal="left" vertical="center"/>
      <protection locked="0"/>
    </xf>
    <xf numFmtId="0" fontId="45" fillId="9" borderId="46" xfId="0" applyFont="1" applyFill="1" applyBorder="1" applyAlignment="1" applyProtection="1">
      <alignment horizontal="center" vertical="center"/>
      <protection hidden="1"/>
    </xf>
    <xf numFmtId="0" fontId="45" fillId="9" borderId="22" xfId="0" applyFont="1" applyFill="1" applyBorder="1" applyAlignment="1" applyProtection="1">
      <alignment horizontal="center" vertical="center"/>
      <protection hidden="1"/>
    </xf>
    <xf numFmtId="0" fontId="45" fillId="3" borderId="5" xfId="0" applyFont="1" applyFill="1" applyBorder="1" applyAlignment="1" applyProtection="1">
      <alignment horizontal="center" vertical="center" wrapText="1"/>
      <protection locked="0"/>
    </xf>
    <xf numFmtId="0" fontId="61" fillId="3" borderId="52" xfId="0" applyFont="1" applyFill="1" applyBorder="1" applyAlignment="1" applyProtection="1">
      <alignment horizontal="center" vertical="center"/>
      <protection hidden="1"/>
    </xf>
    <xf numFmtId="0" fontId="61" fillId="3" borderId="53" xfId="0" applyFont="1" applyFill="1" applyBorder="1" applyAlignment="1" applyProtection="1">
      <alignment horizontal="center" vertical="center"/>
      <protection hidden="1"/>
    </xf>
    <xf numFmtId="0" fontId="61" fillId="3" borderId="19" xfId="0" applyFont="1" applyFill="1" applyBorder="1" applyAlignment="1" applyProtection="1">
      <alignment horizontal="center" vertical="center"/>
      <protection hidden="1"/>
    </xf>
    <xf numFmtId="0" fontId="61" fillId="3" borderId="54" xfId="0" applyFont="1" applyFill="1" applyBorder="1" applyAlignment="1" applyProtection="1">
      <alignment horizontal="center" vertical="center"/>
      <protection hidden="1"/>
    </xf>
    <xf numFmtId="0" fontId="61" fillId="3" borderId="55" xfId="0" applyFont="1" applyFill="1" applyBorder="1" applyAlignment="1" applyProtection="1">
      <alignment horizontal="center" vertical="center" wrapText="1"/>
      <protection locked="0"/>
    </xf>
    <xf numFmtId="0" fontId="61" fillId="3" borderId="56" xfId="0" applyFont="1" applyFill="1" applyBorder="1" applyAlignment="1" applyProtection="1">
      <alignment horizontal="center" vertical="center" wrapText="1"/>
      <protection locked="0"/>
    </xf>
    <xf numFmtId="0" fontId="61" fillId="3" borderId="57" xfId="0" applyFont="1" applyFill="1" applyBorder="1" applyAlignment="1" applyProtection="1">
      <alignment horizontal="center" vertical="center" wrapText="1"/>
      <protection locked="0"/>
    </xf>
    <xf numFmtId="0" fontId="61" fillId="3" borderId="58" xfId="0" applyFont="1" applyFill="1" applyBorder="1" applyAlignment="1" applyProtection="1">
      <alignment horizontal="center" vertical="center" wrapText="1"/>
      <protection locked="0"/>
    </xf>
    <xf numFmtId="0" fontId="61" fillId="3" borderId="20" xfId="0" applyFont="1" applyFill="1" applyBorder="1" applyAlignment="1" applyProtection="1">
      <alignment horizontal="center" vertical="center" wrapText="1"/>
      <protection locked="0"/>
    </xf>
    <xf numFmtId="0" fontId="61" fillId="3" borderId="21" xfId="0" applyFont="1" applyFill="1" applyBorder="1" applyAlignment="1" applyProtection="1">
      <alignment horizontal="center" vertical="center" wrapText="1"/>
      <protection locked="0"/>
    </xf>
    <xf numFmtId="0" fontId="61" fillId="3" borderId="56" xfId="0" applyFont="1" applyFill="1" applyBorder="1" applyAlignment="1" applyProtection="1">
      <alignment horizontal="center" vertical="center"/>
      <protection hidden="1"/>
    </xf>
    <xf numFmtId="0" fontId="61" fillId="3" borderId="57" xfId="0" applyFont="1" applyFill="1" applyBorder="1" applyAlignment="1" applyProtection="1">
      <alignment horizontal="center" vertical="center"/>
      <protection hidden="1"/>
    </xf>
    <xf numFmtId="0" fontId="61" fillId="3" borderId="20" xfId="0" applyFont="1" applyFill="1" applyBorder="1" applyAlignment="1" applyProtection="1">
      <alignment horizontal="center" vertical="center"/>
      <protection hidden="1"/>
    </xf>
    <xf numFmtId="0" fontId="61" fillId="3" borderId="21" xfId="0" applyFont="1" applyFill="1" applyBorder="1" applyAlignment="1" applyProtection="1">
      <alignment horizontal="center" vertical="center"/>
      <protection hidden="1"/>
    </xf>
    <xf numFmtId="0" fontId="45" fillId="3" borderId="39" xfId="0" applyFont="1" applyFill="1" applyBorder="1" applyAlignment="1" applyProtection="1">
      <alignment horizontal="center" vertical="center"/>
      <protection hidden="1"/>
    </xf>
    <xf numFmtId="0" fontId="44" fillId="9" borderId="27" xfId="0" applyFont="1" applyFill="1" applyBorder="1" applyAlignment="1" applyProtection="1">
      <alignment horizontal="center" vertical="center" wrapText="1"/>
      <protection hidden="1"/>
    </xf>
    <xf numFmtId="0" fontId="44" fillId="9" borderId="15" xfId="0" applyFont="1" applyFill="1" applyBorder="1" applyAlignment="1" applyProtection="1">
      <alignment horizontal="center" vertical="center" wrapText="1"/>
      <protection hidden="1"/>
    </xf>
    <xf numFmtId="0" fontId="44" fillId="9" borderId="23" xfId="0" applyFont="1" applyFill="1" applyBorder="1" applyAlignment="1" applyProtection="1">
      <alignment horizontal="center" vertical="center"/>
      <protection hidden="1"/>
    </xf>
    <xf numFmtId="0" fontId="44" fillId="9" borderId="60" xfId="0" applyFont="1" applyFill="1" applyBorder="1" applyAlignment="1" applyProtection="1">
      <alignment horizontal="center" vertical="center"/>
      <protection hidden="1"/>
    </xf>
    <xf numFmtId="0" fontId="44" fillId="9" borderId="24" xfId="0" applyFont="1" applyFill="1" applyBorder="1" applyAlignment="1" applyProtection="1">
      <alignment horizontal="center" vertical="center" wrapText="1"/>
      <protection hidden="1"/>
    </xf>
    <xf numFmtId="0" fontId="44" fillId="9" borderId="14" xfId="0" applyFont="1" applyFill="1" applyBorder="1" applyAlignment="1" applyProtection="1">
      <alignment horizontal="center" vertical="center" wrapText="1"/>
      <protection hidden="1"/>
    </xf>
    <xf numFmtId="49" fontId="45" fillId="8" borderId="46" xfId="0" applyNumberFormat="1" applyFont="1" applyFill="1" applyBorder="1" applyAlignment="1" applyProtection="1">
      <alignment horizontal="left" vertical="center" wrapText="1"/>
      <protection hidden="1"/>
    </xf>
    <xf numFmtId="49" fontId="45" fillId="8" borderId="22" xfId="0" applyNumberFormat="1" applyFont="1" applyFill="1" applyBorder="1" applyAlignment="1" applyProtection="1">
      <alignment horizontal="left" vertical="center" wrapText="1"/>
      <protection hidden="1"/>
    </xf>
    <xf numFmtId="0" fontId="44" fillId="9" borderId="28" xfId="0" applyFont="1" applyFill="1" applyBorder="1" applyAlignment="1" applyProtection="1">
      <alignment horizontal="center" vertical="center"/>
      <protection hidden="1"/>
    </xf>
    <xf numFmtId="0" fontId="44" fillId="9" borderId="59" xfId="0" applyFont="1" applyFill="1" applyBorder="1" applyAlignment="1" applyProtection="1">
      <alignment horizontal="center" vertical="center"/>
      <protection hidden="1"/>
    </xf>
    <xf numFmtId="0" fontId="44" fillId="9" borderId="61" xfId="0" applyFont="1" applyFill="1" applyBorder="1" applyAlignment="1" applyProtection="1">
      <alignment horizontal="center" vertical="center"/>
      <protection hidden="1"/>
    </xf>
    <xf numFmtId="0" fontId="44" fillId="9" borderId="62" xfId="0" applyFont="1" applyFill="1" applyBorder="1" applyAlignment="1" applyProtection="1">
      <alignment horizontal="center" vertical="center"/>
      <protection hidden="1"/>
    </xf>
    <xf numFmtId="0" fontId="44" fillId="9" borderId="25" xfId="0" applyFont="1" applyFill="1" applyBorder="1" applyAlignment="1" applyProtection="1">
      <alignment horizontal="center" vertical="center" wrapText="1"/>
      <protection hidden="1"/>
    </xf>
    <xf numFmtId="0" fontId="44" fillId="9" borderId="63" xfId="0" applyFont="1" applyFill="1" applyBorder="1" applyAlignment="1" applyProtection="1">
      <alignment horizontal="center" vertical="center" wrapText="1"/>
      <protection hidden="1"/>
    </xf>
    <xf numFmtId="0" fontId="44" fillId="9" borderId="26" xfId="0" applyFont="1" applyFill="1" applyBorder="1" applyAlignment="1" applyProtection="1">
      <alignment horizontal="center" vertical="center"/>
      <protection hidden="1"/>
    </xf>
    <xf numFmtId="0" fontId="44" fillId="9" borderId="64" xfId="0" applyFont="1" applyFill="1" applyBorder="1" applyAlignment="1" applyProtection="1">
      <alignment horizontal="center" vertical="center"/>
      <protection hidden="1"/>
    </xf>
    <xf numFmtId="0" fontId="47" fillId="8" borderId="46" xfId="0" applyFont="1" applyFill="1" applyBorder="1" applyAlignment="1" applyProtection="1">
      <alignment horizontal="center" vertical="center" wrapText="1"/>
      <protection hidden="1"/>
    </xf>
    <xf numFmtId="0" fontId="47" fillId="8" borderId="22" xfId="0" applyFont="1" applyFill="1" applyBorder="1" applyAlignment="1" applyProtection="1">
      <alignment horizontal="center" vertical="center" wrapText="1"/>
      <protection hidden="1"/>
    </xf>
    <xf numFmtId="14" fontId="49" fillId="10" borderId="46" xfId="0" applyNumberFormat="1" applyFont="1" applyFill="1" applyBorder="1" applyAlignment="1" applyProtection="1">
      <alignment horizontal="center" vertical="center" wrapText="1"/>
      <protection locked="0"/>
    </xf>
    <xf numFmtId="14" fontId="49" fillId="10" borderId="22" xfId="0" applyNumberFormat="1" applyFont="1" applyFill="1" applyBorder="1" applyAlignment="1" applyProtection="1">
      <alignment horizontal="center" vertical="center" wrapText="1"/>
      <protection locked="0"/>
    </xf>
    <xf numFmtId="1" fontId="45" fillId="8" borderId="46" xfId="0" applyNumberFormat="1" applyFont="1" applyFill="1" applyBorder="1" applyAlignment="1" applyProtection="1">
      <alignment horizontal="left" vertical="center"/>
      <protection hidden="1"/>
    </xf>
    <xf numFmtId="1" fontId="45" fillId="8" borderId="40" xfId="0" applyNumberFormat="1" applyFont="1" applyFill="1" applyBorder="1" applyAlignment="1" applyProtection="1">
      <alignment horizontal="left" vertical="center"/>
      <protection hidden="1"/>
    </xf>
    <xf numFmtId="0" fontId="78" fillId="8" borderId="16" xfId="0" applyFont="1" applyFill="1" applyBorder="1" applyAlignment="1" applyProtection="1">
      <alignment horizontal="center" vertical="center" wrapText="1"/>
      <protection hidden="1"/>
    </xf>
    <xf numFmtId="0" fontId="78" fillId="8" borderId="17" xfId="0" applyFont="1" applyFill="1" applyBorder="1" applyAlignment="1" applyProtection="1">
      <alignment horizontal="center" vertical="center" wrapText="1"/>
      <protection hidden="1"/>
    </xf>
    <xf numFmtId="0" fontId="78" fillId="8" borderId="19" xfId="0" applyFont="1" applyFill="1" applyBorder="1" applyAlignment="1" applyProtection="1">
      <alignment horizontal="center" vertical="center" wrapText="1"/>
      <protection hidden="1"/>
    </xf>
    <xf numFmtId="0" fontId="78" fillId="8" borderId="20" xfId="0" applyFont="1" applyFill="1" applyBorder="1" applyAlignment="1" applyProtection="1">
      <alignment horizontal="center" vertical="center" wrapText="1"/>
      <protection hidden="1"/>
    </xf>
    <xf numFmtId="167" fontId="54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54" fillId="8" borderId="22" xfId="0" applyNumberFormat="1" applyFont="1" applyFill="1" applyBorder="1" applyAlignment="1" applyProtection="1">
      <alignment horizontal="center" vertical="center" wrapText="1"/>
      <protection hidden="1"/>
    </xf>
    <xf numFmtId="167" fontId="45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45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45" fillId="8" borderId="22" xfId="0" applyNumberFormat="1" applyFont="1" applyFill="1" applyBorder="1" applyAlignment="1" applyProtection="1">
      <alignment horizontal="left" vertical="center"/>
      <protection hidden="1"/>
    </xf>
    <xf numFmtId="0" fontId="45" fillId="8" borderId="51" xfId="0" applyFont="1" applyFill="1" applyBorder="1" applyAlignment="1" applyProtection="1">
      <alignment horizontal="left" vertical="center"/>
      <protection hidden="1"/>
    </xf>
    <xf numFmtId="0" fontId="45" fillId="8" borderId="22" xfId="0" applyFont="1" applyFill="1" applyBorder="1" applyAlignment="1" applyProtection="1">
      <alignment horizontal="left" vertical="center"/>
      <protection hidden="1"/>
    </xf>
    <xf numFmtId="0" fontId="18" fillId="0" borderId="28" xfId="0" applyFont="1" applyBorder="1" applyAlignment="1">
      <alignment horizontal="center"/>
    </xf>
    <xf numFmtId="0" fontId="18" fillId="0" borderId="5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6" fillId="6" borderId="46" xfId="0" applyFont="1" applyFill="1" applyBorder="1" applyAlignment="1">
      <alignment horizontal="center" vertical="center"/>
    </xf>
    <xf numFmtId="0" fontId="16" fillId="6" borderId="40" xfId="0" applyFont="1" applyFill="1" applyBorder="1" applyAlignment="1">
      <alignment horizontal="center" vertical="center"/>
    </xf>
    <xf numFmtId="0" fontId="16" fillId="6" borderId="22" xfId="0" applyFont="1" applyFill="1" applyBorder="1" applyAlignment="1">
      <alignment horizontal="center" vertical="center"/>
    </xf>
    <xf numFmtId="49" fontId="69" fillId="0" borderId="16" xfId="0" applyNumberFormat="1" applyFont="1" applyBorder="1" applyAlignment="1">
      <alignment horizontal="center" vertical="center"/>
    </xf>
    <xf numFmtId="49" fontId="69" fillId="0" borderId="17" xfId="0" applyNumberFormat="1" applyFont="1" applyBorder="1" applyAlignment="1">
      <alignment horizontal="center" vertical="center"/>
    </xf>
    <xf numFmtId="49" fontId="69" fillId="0" borderId="18" xfId="0" applyNumberFormat="1" applyFont="1" applyBorder="1" applyAlignment="1">
      <alignment horizontal="center" vertical="center"/>
    </xf>
    <xf numFmtId="49" fontId="69" fillId="0" borderId="19" xfId="0" applyNumberFormat="1" applyFont="1" applyBorder="1" applyAlignment="1">
      <alignment horizontal="center" vertical="center"/>
    </xf>
    <xf numFmtId="49" fontId="69" fillId="0" borderId="20" xfId="0" applyNumberFormat="1" applyFont="1" applyBorder="1" applyAlignment="1">
      <alignment horizontal="center" vertical="center"/>
    </xf>
    <xf numFmtId="49" fontId="69" fillId="0" borderId="21" xfId="0" applyNumberFormat="1" applyFont="1" applyBorder="1" applyAlignment="1">
      <alignment horizontal="center" vertical="center"/>
    </xf>
    <xf numFmtId="168" fontId="45" fillId="0" borderId="28" xfId="0" applyNumberFormat="1" applyFont="1" applyBorder="1" applyAlignment="1">
      <alignment horizontal="center" vertical="center"/>
    </xf>
    <xf numFmtId="0" fontId="45" fillId="0" borderId="59" xfId="0" applyFont="1" applyBorder="1" applyAlignment="1">
      <alignment horizontal="center" vertical="center"/>
    </xf>
    <xf numFmtId="0" fontId="27" fillId="6" borderId="0" xfId="0" applyFont="1" applyFill="1" applyAlignment="1">
      <alignment horizontal="center" vertical="center" wrapText="1"/>
    </xf>
    <xf numFmtId="0" fontId="10" fillId="3" borderId="47" xfId="0" applyFont="1" applyFill="1" applyBorder="1" applyAlignment="1" applyProtection="1">
      <alignment horizontal="center" vertical="center"/>
      <protection hidden="1"/>
    </xf>
    <xf numFmtId="0" fontId="10" fillId="3" borderId="48" xfId="0" applyFont="1" applyFill="1" applyBorder="1" applyAlignment="1" applyProtection="1">
      <alignment horizontal="center" vertical="center"/>
      <protection hidden="1"/>
    </xf>
    <xf numFmtId="0" fontId="10" fillId="3" borderId="49" xfId="0" applyFont="1" applyFill="1" applyBorder="1" applyAlignment="1" applyProtection="1">
      <alignment horizontal="center" vertical="center"/>
      <protection hidden="1"/>
    </xf>
    <xf numFmtId="0" fontId="10" fillId="3" borderId="50" xfId="0" applyFont="1" applyFill="1" applyBorder="1" applyAlignment="1" applyProtection="1">
      <alignment horizontal="center" vertical="center"/>
      <protection hidden="1"/>
    </xf>
    <xf numFmtId="0" fontId="13" fillId="3" borderId="52" xfId="0" applyFont="1" applyFill="1" applyBorder="1" applyAlignment="1" applyProtection="1">
      <alignment horizontal="center" vertical="center"/>
      <protection hidden="1"/>
    </xf>
    <xf numFmtId="0" fontId="13" fillId="3" borderId="53" xfId="0" applyFont="1" applyFill="1" applyBorder="1" applyAlignment="1" applyProtection="1">
      <alignment horizontal="center" vertical="center"/>
      <protection hidden="1"/>
    </xf>
    <xf numFmtId="0" fontId="13" fillId="3" borderId="19" xfId="0" applyFont="1" applyFill="1" applyBorder="1" applyAlignment="1" applyProtection="1">
      <alignment horizontal="center" vertical="center"/>
      <protection hidden="1"/>
    </xf>
    <xf numFmtId="0" fontId="13" fillId="3" borderId="54" xfId="0" applyFont="1" applyFill="1" applyBorder="1" applyAlignment="1" applyProtection="1">
      <alignment horizontal="center" vertical="center"/>
      <protection hidden="1"/>
    </xf>
    <xf numFmtId="0" fontId="13" fillId="3" borderId="55" xfId="0" applyFont="1" applyFill="1" applyBorder="1" applyAlignment="1" applyProtection="1">
      <alignment horizontal="center" vertical="center" wrapText="1"/>
      <protection locked="0"/>
    </xf>
    <xf numFmtId="0" fontId="13" fillId="3" borderId="56" xfId="0" applyFont="1" applyFill="1" applyBorder="1" applyAlignment="1" applyProtection="1">
      <alignment horizontal="center" vertical="center" wrapText="1"/>
      <protection locked="0"/>
    </xf>
    <xf numFmtId="0" fontId="13" fillId="3" borderId="57" xfId="0" applyFont="1" applyFill="1" applyBorder="1" applyAlignment="1" applyProtection="1">
      <alignment horizontal="center" vertical="center" wrapText="1"/>
      <protection locked="0"/>
    </xf>
    <xf numFmtId="0" fontId="13" fillId="3" borderId="58" xfId="0" applyFont="1" applyFill="1" applyBorder="1" applyAlignment="1" applyProtection="1">
      <alignment horizontal="center" vertical="center" wrapText="1"/>
      <protection locked="0"/>
    </xf>
    <xf numFmtId="0" fontId="13" fillId="3" borderId="20" xfId="0" applyFont="1" applyFill="1" applyBorder="1" applyAlignment="1" applyProtection="1">
      <alignment horizontal="center" vertical="center" wrapText="1"/>
      <protection locked="0"/>
    </xf>
    <xf numFmtId="0" fontId="13" fillId="3" borderId="21" xfId="0" applyFont="1" applyFill="1" applyBorder="1" applyAlignment="1" applyProtection="1">
      <alignment horizontal="center" vertical="center" wrapText="1"/>
      <protection locked="0"/>
    </xf>
    <xf numFmtId="0" fontId="13" fillId="3" borderId="56" xfId="0" applyFont="1" applyFill="1" applyBorder="1" applyAlignment="1" applyProtection="1">
      <alignment horizontal="center" vertical="center"/>
      <protection hidden="1"/>
    </xf>
    <xf numFmtId="0" fontId="13" fillId="3" borderId="57" xfId="0" applyFont="1" applyFill="1" applyBorder="1" applyAlignment="1" applyProtection="1">
      <alignment horizontal="center" vertical="center"/>
      <protection hidden="1"/>
    </xf>
    <xf numFmtId="0" fontId="13" fillId="3" borderId="20" xfId="0" applyFont="1" applyFill="1" applyBorder="1" applyAlignment="1" applyProtection="1">
      <alignment horizontal="center" vertical="center"/>
      <protection hidden="1"/>
    </xf>
    <xf numFmtId="0" fontId="13" fillId="3" borderId="21" xfId="0" applyFont="1" applyFill="1" applyBorder="1" applyAlignment="1" applyProtection="1">
      <alignment horizontal="center" vertical="center"/>
      <protection hidden="1"/>
    </xf>
    <xf numFmtId="0" fontId="10" fillId="9" borderId="46" xfId="0" applyFont="1" applyFill="1" applyBorder="1" applyAlignment="1" applyProtection="1">
      <alignment horizontal="center" vertical="center"/>
      <protection hidden="1"/>
    </xf>
    <xf numFmtId="0" fontId="10" fillId="9" borderId="22" xfId="0" applyFont="1" applyFill="1" applyBorder="1" applyAlignment="1" applyProtection="1">
      <alignment horizontal="center" vertical="center"/>
      <protection hidden="1"/>
    </xf>
    <xf numFmtId="0" fontId="10" fillId="3" borderId="46" xfId="0" applyFont="1" applyFill="1" applyBorder="1" applyAlignment="1" applyProtection="1">
      <alignment horizontal="left" vertical="center"/>
      <protection locked="0"/>
    </xf>
    <xf numFmtId="0" fontId="10" fillId="3" borderId="40" xfId="0" applyFont="1" applyFill="1" applyBorder="1" applyAlignment="1" applyProtection="1">
      <alignment horizontal="left" vertical="center"/>
      <protection locked="0"/>
    </xf>
    <xf numFmtId="0" fontId="10" fillId="3" borderId="22" xfId="0" applyFont="1" applyFill="1" applyBorder="1" applyAlignment="1" applyProtection="1">
      <alignment horizontal="left" vertical="center"/>
      <protection locked="0"/>
    </xf>
    <xf numFmtId="0" fontId="10" fillId="9" borderId="46" xfId="0" applyFont="1" applyFill="1" applyBorder="1" applyAlignment="1" applyProtection="1">
      <alignment horizontal="center" vertical="center"/>
      <protection locked="0"/>
    </xf>
    <xf numFmtId="0" fontId="10" fillId="9" borderId="22" xfId="0" applyFont="1" applyFill="1" applyBorder="1" applyAlignment="1" applyProtection="1">
      <alignment horizontal="center" vertical="center"/>
      <protection locked="0"/>
    </xf>
    <xf numFmtId="1" fontId="10" fillId="3" borderId="72" xfId="0" applyNumberFormat="1" applyFont="1" applyFill="1" applyBorder="1" applyAlignment="1" applyProtection="1">
      <alignment horizontal="center" vertical="center"/>
      <protection locked="0"/>
    </xf>
    <xf numFmtId="1" fontId="10" fillId="3" borderId="73" xfId="0" applyNumberFormat="1" applyFont="1" applyFill="1" applyBorder="1" applyAlignment="1" applyProtection="1">
      <alignment horizontal="center" vertical="center"/>
      <protection locked="0"/>
    </xf>
    <xf numFmtId="0" fontId="10" fillId="3" borderId="28" xfId="0" applyFont="1" applyFill="1" applyBorder="1" applyAlignment="1" applyProtection="1">
      <alignment horizontal="center" vertical="center" wrapText="1"/>
      <protection locked="0"/>
    </xf>
    <xf numFmtId="0" fontId="10" fillId="3" borderId="69" xfId="0" applyFont="1" applyFill="1" applyBorder="1" applyAlignment="1" applyProtection="1">
      <alignment horizontal="center" vertical="center" wrapText="1"/>
      <protection locked="0"/>
    </xf>
    <xf numFmtId="0" fontId="10" fillId="3" borderId="59" xfId="0" applyFont="1" applyFill="1" applyBorder="1" applyAlignment="1" applyProtection="1">
      <alignment horizontal="center" vertical="center" wrapText="1"/>
      <protection locked="0"/>
    </xf>
    <xf numFmtId="1" fontId="10" fillId="3" borderId="2" xfId="0" applyNumberFormat="1" applyFont="1" applyFill="1" applyBorder="1" applyAlignment="1" applyProtection="1">
      <alignment horizontal="center" vertical="center"/>
      <protection locked="0"/>
    </xf>
    <xf numFmtId="1" fontId="10" fillId="3" borderId="70" xfId="0" applyNumberFormat="1" applyFont="1" applyFill="1" applyBorder="1" applyAlignment="1" applyProtection="1">
      <alignment horizontal="center" vertical="center"/>
      <protection locked="0"/>
    </xf>
    <xf numFmtId="1" fontId="10" fillId="3" borderId="74" xfId="0" applyNumberFormat="1" applyFont="1" applyFill="1" applyBorder="1" applyAlignment="1" applyProtection="1">
      <alignment horizontal="center" vertical="center"/>
      <protection locked="0"/>
    </xf>
    <xf numFmtId="1" fontId="10" fillId="3" borderId="75" xfId="0" applyNumberFormat="1" applyFont="1" applyFill="1" applyBorder="1" applyAlignment="1" applyProtection="1">
      <alignment horizontal="center" vertical="center"/>
      <protection locked="0"/>
    </xf>
    <xf numFmtId="0" fontId="11" fillId="9" borderId="27" xfId="0" applyFont="1" applyFill="1" applyBorder="1" applyAlignment="1" applyProtection="1">
      <alignment horizontal="center" vertical="center" wrapText="1"/>
      <protection hidden="1"/>
    </xf>
    <xf numFmtId="0" fontId="11" fillId="9" borderId="15" xfId="0" applyFont="1" applyFill="1" applyBorder="1" applyAlignment="1" applyProtection="1">
      <alignment horizontal="center" vertical="center" wrapText="1"/>
      <protection hidden="1"/>
    </xf>
    <xf numFmtId="0" fontId="11" fillId="9" borderId="16" xfId="0" applyFont="1" applyFill="1" applyBorder="1" applyAlignment="1" applyProtection="1">
      <alignment horizontal="center" vertical="center"/>
      <protection hidden="1"/>
    </xf>
    <xf numFmtId="0" fontId="11" fillId="9" borderId="18" xfId="0" applyFont="1" applyFill="1" applyBorder="1" applyAlignment="1" applyProtection="1">
      <alignment horizontal="center" vertical="center"/>
      <protection hidden="1"/>
    </xf>
    <xf numFmtId="0" fontId="11" fillId="9" borderId="19" xfId="0" applyFont="1" applyFill="1" applyBorder="1" applyAlignment="1" applyProtection="1">
      <alignment horizontal="center" vertical="center"/>
      <protection hidden="1"/>
    </xf>
    <xf numFmtId="0" fontId="11" fillId="9" borderId="21" xfId="0" applyFont="1" applyFill="1" applyBorder="1" applyAlignment="1" applyProtection="1">
      <alignment horizontal="center" vertical="center"/>
      <protection hidden="1"/>
    </xf>
    <xf numFmtId="0" fontId="11" fillId="9" borderId="23" xfId="0" applyFont="1" applyFill="1" applyBorder="1" applyAlignment="1" applyProtection="1">
      <alignment horizontal="center" vertical="center"/>
      <protection hidden="1"/>
    </xf>
    <xf numFmtId="0" fontId="11" fillId="9" borderId="60" xfId="0" applyFont="1" applyFill="1" applyBorder="1" applyAlignment="1" applyProtection="1">
      <alignment horizontal="center" vertical="center"/>
      <protection hidden="1"/>
    </xf>
    <xf numFmtId="0" fontId="11" fillId="9" borderId="24" xfId="0" applyFont="1" applyFill="1" applyBorder="1" applyAlignment="1" applyProtection="1">
      <alignment horizontal="center" vertical="center" wrapText="1"/>
      <protection hidden="1"/>
    </xf>
    <xf numFmtId="0" fontId="11" fillId="9" borderId="14" xfId="0" applyFont="1" applyFill="1" applyBorder="1" applyAlignment="1" applyProtection="1">
      <alignment horizontal="center" vertical="center" wrapText="1"/>
      <protection hidden="1"/>
    </xf>
    <xf numFmtId="0" fontId="9" fillId="8" borderId="46" xfId="0" applyFont="1" applyFill="1" applyBorder="1" applyAlignment="1" applyProtection="1">
      <alignment horizontal="center" vertical="center" wrapText="1"/>
      <protection hidden="1"/>
    </xf>
    <xf numFmtId="0" fontId="9" fillId="8" borderId="22" xfId="0" applyFont="1" applyFill="1" applyBorder="1" applyAlignment="1" applyProtection="1">
      <alignment horizontal="center" vertical="center" wrapText="1"/>
      <protection hidden="1"/>
    </xf>
    <xf numFmtId="14" fontId="9" fillId="10" borderId="46" xfId="0" applyNumberFormat="1" applyFont="1" applyFill="1" applyBorder="1" applyAlignment="1" applyProtection="1">
      <alignment horizontal="center" vertical="center" wrapText="1"/>
      <protection locked="0"/>
    </xf>
    <xf numFmtId="14" fontId="9" fillId="10" borderId="22" xfId="0" applyNumberFormat="1" applyFont="1" applyFill="1" applyBorder="1" applyAlignment="1" applyProtection="1">
      <alignment horizontal="center" vertical="center" wrapText="1"/>
      <protection locked="0"/>
    </xf>
    <xf numFmtId="49" fontId="6" fillId="8" borderId="46" xfId="0" applyNumberFormat="1" applyFont="1" applyFill="1" applyBorder="1" applyAlignment="1" applyProtection="1">
      <alignment horizontal="center" vertical="center" wrapText="1"/>
      <protection hidden="1"/>
    </xf>
    <xf numFmtId="49" fontId="6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31" fillId="8" borderId="46" xfId="0" applyNumberFormat="1" applyFont="1" applyFill="1" applyBorder="1" applyAlignment="1" applyProtection="1">
      <alignment horizontal="center" vertical="center"/>
      <protection hidden="1"/>
    </xf>
    <xf numFmtId="1" fontId="31" fillId="8" borderId="40" xfId="0" applyNumberFormat="1" applyFont="1" applyFill="1" applyBorder="1" applyAlignment="1" applyProtection="1">
      <alignment horizontal="center" vertical="center"/>
      <protection hidden="1"/>
    </xf>
    <xf numFmtId="1" fontId="6" fillId="8" borderId="46" xfId="0" applyNumberFormat="1" applyFont="1" applyFill="1" applyBorder="1" applyAlignment="1" applyProtection="1">
      <alignment horizontal="right" vertical="center" wrapText="1"/>
      <protection hidden="1"/>
    </xf>
    <xf numFmtId="1" fontId="6" fillId="8" borderId="40" xfId="0" applyNumberFormat="1" applyFont="1" applyFill="1" applyBorder="1" applyAlignment="1" applyProtection="1">
      <alignment horizontal="right" vertical="center" wrapText="1"/>
      <protection hidden="1"/>
    </xf>
    <xf numFmtId="1" fontId="6" fillId="8" borderId="22" xfId="0" applyNumberFormat="1" applyFont="1" applyFill="1" applyBorder="1" applyAlignment="1" applyProtection="1">
      <alignment horizontal="right" vertical="center" wrapText="1"/>
      <protection hidden="1"/>
    </xf>
    <xf numFmtId="0" fontId="11" fillId="9" borderId="28" xfId="0" applyFont="1" applyFill="1" applyBorder="1" applyAlignment="1" applyProtection="1">
      <alignment horizontal="center" vertical="center"/>
      <protection hidden="1"/>
    </xf>
    <xf numFmtId="0" fontId="11" fillId="9" borderId="59" xfId="0" applyFont="1" applyFill="1" applyBorder="1" applyAlignment="1" applyProtection="1">
      <alignment horizontal="center" vertical="center"/>
      <protection hidden="1"/>
    </xf>
    <xf numFmtId="0" fontId="11" fillId="9" borderId="61" xfId="0" applyFont="1" applyFill="1" applyBorder="1" applyAlignment="1" applyProtection="1">
      <alignment horizontal="center" vertical="center"/>
      <protection hidden="1"/>
    </xf>
    <xf numFmtId="0" fontId="11" fillId="9" borderId="62" xfId="0" applyFont="1" applyFill="1" applyBorder="1" applyAlignment="1" applyProtection="1">
      <alignment horizontal="center" vertical="center"/>
      <protection hidden="1"/>
    </xf>
    <xf numFmtId="0" fontId="11" fillId="9" borderId="25" xfId="0" applyFont="1" applyFill="1" applyBorder="1" applyAlignment="1" applyProtection="1">
      <alignment horizontal="center" vertical="center" wrapText="1"/>
      <protection hidden="1"/>
    </xf>
    <xf numFmtId="0" fontId="11" fillId="9" borderId="63" xfId="0" applyFont="1" applyFill="1" applyBorder="1" applyAlignment="1" applyProtection="1">
      <alignment horizontal="center" vertical="center" wrapText="1"/>
      <protection hidden="1"/>
    </xf>
    <xf numFmtId="0" fontId="11" fillId="9" borderId="26" xfId="0" applyFont="1" applyFill="1" applyBorder="1" applyAlignment="1" applyProtection="1">
      <alignment horizontal="center" vertical="center"/>
      <protection hidden="1"/>
    </xf>
    <xf numFmtId="0" fontId="11" fillId="9" borderId="64" xfId="0" applyFont="1" applyFill="1" applyBorder="1" applyAlignment="1" applyProtection="1">
      <alignment horizontal="center" vertical="center"/>
      <protection hidden="1"/>
    </xf>
    <xf numFmtId="0" fontId="12" fillId="8" borderId="16" xfId="0" applyFont="1" applyFill="1" applyBorder="1" applyAlignment="1" applyProtection="1">
      <alignment horizontal="center" vertical="center" wrapText="1"/>
      <protection hidden="1"/>
    </xf>
    <xf numFmtId="0" fontId="12" fillId="8" borderId="17" xfId="0" applyFont="1" applyFill="1" applyBorder="1" applyAlignment="1" applyProtection="1">
      <alignment horizontal="center" vertical="center" wrapText="1"/>
      <protection hidden="1"/>
    </xf>
    <xf numFmtId="0" fontId="12" fillId="8" borderId="19" xfId="0" applyFont="1" applyFill="1" applyBorder="1" applyAlignment="1" applyProtection="1">
      <alignment horizontal="center" vertical="center" wrapText="1"/>
      <protection hidden="1"/>
    </xf>
    <xf numFmtId="0" fontId="12" fillId="8" borderId="20" xfId="0" applyFont="1" applyFill="1" applyBorder="1" applyAlignment="1" applyProtection="1">
      <alignment horizontal="center" vertical="center" wrapText="1"/>
      <protection hidden="1"/>
    </xf>
    <xf numFmtId="0" fontId="6" fillId="8" borderId="51" xfId="0" applyFont="1" applyFill="1" applyBorder="1" applyAlignment="1" applyProtection="1">
      <alignment horizontal="center" vertical="center"/>
      <protection hidden="1"/>
    </xf>
    <xf numFmtId="0" fontId="6" fillId="8" borderId="22" xfId="0" applyFont="1" applyFill="1" applyBorder="1" applyAlignment="1" applyProtection="1">
      <alignment horizontal="center" vertical="center"/>
      <protection hidden="1"/>
    </xf>
    <xf numFmtId="167" fontId="29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29" fillId="8" borderId="22" xfId="0" applyNumberFormat="1" applyFont="1" applyFill="1" applyBorder="1" applyAlignment="1" applyProtection="1">
      <alignment horizontal="center" vertical="center" wrapText="1"/>
      <protection hidden="1"/>
    </xf>
    <xf numFmtId="167" fontId="6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6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31" fillId="8" borderId="22" xfId="0" applyNumberFormat="1" applyFont="1" applyFill="1" applyBorder="1" applyAlignment="1" applyProtection="1">
      <alignment horizontal="center" vertical="center"/>
      <protection hidden="1"/>
    </xf>
    <xf numFmtId="1" fontId="45" fillId="9" borderId="46" xfId="0" applyNumberFormat="1" applyFont="1" applyFill="1" applyBorder="1" applyAlignment="1" applyProtection="1">
      <alignment horizontal="center" vertical="center"/>
      <protection hidden="1"/>
    </xf>
    <xf numFmtId="1" fontId="45" fillId="9" borderId="22" xfId="0" applyNumberFormat="1" applyFont="1" applyFill="1" applyBorder="1" applyAlignment="1" applyProtection="1">
      <alignment horizontal="center" vertical="center"/>
      <protection hidden="1"/>
    </xf>
    <xf numFmtId="1" fontId="45" fillId="3" borderId="2" xfId="0" applyNumberFormat="1" applyFont="1" applyFill="1" applyBorder="1" applyAlignment="1" applyProtection="1">
      <alignment horizontal="center" vertical="center"/>
      <protection locked="0"/>
    </xf>
    <xf numFmtId="1" fontId="45" fillId="3" borderId="70" xfId="0" applyNumberFormat="1" applyFont="1" applyFill="1" applyBorder="1" applyAlignment="1" applyProtection="1">
      <alignment horizontal="center" vertical="center"/>
      <protection locked="0"/>
    </xf>
    <xf numFmtId="164" fontId="45" fillId="3" borderId="2" xfId="13" applyFont="1" applyFill="1" applyBorder="1" applyAlignment="1" applyProtection="1">
      <alignment horizontal="center" vertical="center"/>
      <protection locked="0"/>
    </xf>
    <xf numFmtId="164" fontId="45" fillId="3" borderId="70" xfId="13" applyFont="1" applyFill="1" applyBorder="1" applyAlignment="1" applyProtection="1">
      <alignment horizontal="center" vertical="center"/>
      <protection locked="0"/>
    </xf>
    <xf numFmtId="1" fontId="45" fillId="3" borderId="74" xfId="0" applyNumberFormat="1" applyFont="1" applyFill="1" applyBorder="1" applyAlignment="1" applyProtection="1">
      <alignment horizontal="center" vertical="center"/>
      <protection locked="0"/>
    </xf>
    <xf numFmtId="1" fontId="45" fillId="3" borderId="75" xfId="0" applyNumberFormat="1" applyFont="1" applyFill="1" applyBorder="1" applyAlignment="1" applyProtection="1">
      <alignment horizontal="center" vertical="center"/>
      <protection locked="0"/>
    </xf>
    <xf numFmtId="164" fontId="45" fillId="9" borderId="46" xfId="13" applyFont="1" applyFill="1" applyBorder="1" applyAlignment="1" applyProtection="1">
      <alignment horizontal="left" vertical="center"/>
      <protection hidden="1"/>
    </xf>
    <xf numFmtId="164" fontId="45" fillId="9" borderId="22" xfId="13" applyFont="1" applyFill="1" applyBorder="1" applyAlignment="1" applyProtection="1">
      <alignment horizontal="left" vertical="center"/>
      <protection hidden="1"/>
    </xf>
    <xf numFmtId="164" fontId="45" fillId="3" borderId="46" xfId="13" applyFont="1" applyFill="1" applyBorder="1" applyAlignment="1" applyProtection="1">
      <alignment horizontal="left" vertical="center"/>
      <protection locked="0"/>
    </xf>
    <xf numFmtId="164" fontId="45" fillId="3" borderId="40" xfId="13" applyFont="1" applyFill="1" applyBorder="1" applyAlignment="1" applyProtection="1">
      <alignment horizontal="left" vertical="center"/>
      <protection locked="0"/>
    </xf>
    <xf numFmtId="164" fontId="45" fillId="3" borderId="22" xfId="13" applyFont="1" applyFill="1" applyBorder="1" applyAlignment="1" applyProtection="1">
      <alignment horizontal="left" vertical="center"/>
      <protection locked="0"/>
    </xf>
    <xf numFmtId="1" fontId="45" fillId="3" borderId="72" xfId="0" applyNumberFormat="1" applyFont="1" applyFill="1" applyBorder="1" applyAlignment="1" applyProtection="1">
      <alignment horizontal="center" vertical="center"/>
      <protection locked="0"/>
    </xf>
    <xf numFmtId="1" fontId="45" fillId="3" borderId="73" xfId="0" applyNumberFormat="1" applyFont="1" applyFill="1" applyBorder="1" applyAlignment="1" applyProtection="1">
      <alignment horizontal="center" vertical="center"/>
      <protection locked="0"/>
    </xf>
    <xf numFmtId="0" fontId="44" fillId="9" borderId="16" xfId="0" applyFont="1" applyFill="1" applyBorder="1" applyAlignment="1" applyProtection="1">
      <alignment horizontal="center" vertical="center"/>
      <protection hidden="1"/>
    </xf>
    <xf numFmtId="0" fontId="44" fillId="9" borderId="18" xfId="0" applyFont="1" applyFill="1" applyBorder="1" applyAlignment="1" applyProtection="1">
      <alignment horizontal="center" vertical="center"/>
      <protection hidden="1"/>
    </xf>
    <xf numFmtId="0" fontId="44" fillId="9" borderId="19" xfId="0" applyFont="1" applyFill="1" applyBorder="1" applyAlignment="1" applyProtection="1">
      <alignment horizontal="center" vertical="center"/>
      <protection hidden="1"/>
    </xf>
    <xf numFmtId="0" fontId="44" fillId="9" borderId="21" xfId="0" applyFont="1" applyFill="1" applyBorder="1" applyAlignment="1" applyProtection="1">
      <alignment horizontal="center" vertical="center"/>
      <protection hidden="1"/>
    </xf>
    <xf numFmtId="167" fontId="45" fillId="8" borderId="46" xfId="0" applyNumberFormat="1" applyFont="1" applyFill="1" applyBorder="1" applyAlignment="1" applyProtection="1">
      <alignment horizontal="left" vertical="center" wrapText="1"/>
      <protection hidden="1"/>
    </xf>
    <xf numFmtId="167" fontId="45" fillId="8" borderId="22" xfId="0" applyNumberFormat="1" applyFont="1" applyFill="1" applyBorder="1" applyAlignment="1" applyProtection="1">
      <alignment horizontal="left" vertical="center" wrapText="1"/>
      <protection hidden="1"/>
    </xf>
    <xf numFmtId="1" fontId="77" fillId="8" borderId="46" xfId="0" applyNumberFormat="1" applyFont="1" applyFill="1" applyBorder="1" applyAlignment="1" applyProtection="1">
      <alignment horizontal="left" vertical="center" wrapText="1"/>
      <protection hidden="1"/>
    </xf>
    <xf numFmtId="1" fontId="77" fillId="8" borderId="40" xfId="0" applyNumberFormat="1" applyFont="1" applyFill="1" applyBorder="1" applyAlignment="1" applyProtection="1">
      <alignment horizontal="left" vertical="center" wrapText="1"/>
      <protection hidden="1"/>
    </xf>
    <xf numFmtId="1" fontId="77" fillId="8" borderId="22" xfId="0" applyNumberFormat="1" applyFont="1" applyFill="1" applyBorder="1" applyAlignment="1" applyProtection="1">
      <alignment horizontal="left" vertical="center" wrapText="1"/>
      <protection hidden="1"/>
    </xf>
    <xf numFmtId="14" fontId="48" fillId="10" borderId="46" xfId="0" applyNumberFormat="1" applyFont="1" applyFill="1" applyBorder="1" applyAlignment="1" applyProtection="1">
      <alignment horizontal="center" vertical="center" wrapText="1"/>
      <protection locked="0"/>
    </xf>
    <xf numFmtId="14" fontId="48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44" fillId="9" borderId="28" xfId="0" applyFont="1" applyFill="1" applyBorder="1" applyAlignment="1" applyProtection="1">
      <alignment horizontal="center" vertical="center" wrapText="1"/>
      <protection hidden="1"/>
    </xf>
    <xf numFmtId="0" fontId="44" fillId="9" borderId="59" xfId="0" applyFont="1" applyFill="1" applyBorder="1" applyAlignment="1" applyProtection="1">
      <alignment horizontal="center" vertical="center" wrapText="1"/>
      <protection hidden="1"/>
    </xf>
    <xf numFmtId="1" fontId="45" fillId="8" borderId="46" xfId="0" applyNumberFormat="1" applyFont="1" applyFill="1" applyBorder="1" applyAlignment="1" applyProtection="1">
      <alignment horizontal="center" vertical="center" wrapText="1"/>
      <protection hidden="1"/>
    </xf>
    <xf numFmtId="1" fontId="45" fillId="8" borderId="40" xfId="0" applyNumberFormat="1" applyFont="1" applyFill="1" applyBorder="1" applyAlignment="1" applyProtection="1">
      <alignment horizontal="center" vertical="center" wrapText="1"/>
      <protection hidden="1"/>
    </xf>
    <xf numFmtId="1" fontId="45" fillId="8" borderId="22" xfId="0" applyNumberFormat="1" applyFont="1" applyFill="1" applyBorder="1" applyAlignment="1" applyProtection="1">
      <alignment horizontal="center" vertical="center" wrapText="1"/>
      <protection hidden="1"/>
    </xf>
    <xf numFmtId="1" fontId="45" fillId="8" borderId="46" xfId="0" applyNumberFormat="1" applyFont="1" applyFill="1" applyBorder="1" applyAlignment="1" applyProtection="1">
      <alignment horizontal="center" vertical="center"/>
      <protection hidden="1"/>
    </xf>
    <xf numFmtId="1" fontId="45" fillId="8" borderId="40" xfId="0" applyNumberFormat="1" applyFont="1" applyFill="1" applyBorder="1" applyAlignment="1" applyProtection="1">
      <alignment horizontal="center" vertical="center"/>
      <protection hidden="1"/>
    </xf>
    <xf numFmtId="1" fontId="45" fillId="8" borderId="22" xfId="0" applyNumberFormat="1" applyFont="1" applyFill="1" applyBorder="1" applyAlignment="1" applyProtection="1">
      <alignment horizontal="center" vertical="center"/>
      <protection hidden="1"/>
    </xf>
    <xf numFmtId="14" fontId="47" fillId="10" borderId="46" xfId="0" applyNumberFormat="1" applyFont="1" applyFill="1" applyBorder="1" applyAlignment="1" applyProtection="1">
      <alignment horizontal="center" vertical="center" wrapText="1"/>
      <protection locked="0"/>
    </xf>
    <xf numFmtId="14" fontId="47" fillId="10" borderId="22" xfId="0" applyNumberFormat="1" applyFont="1" applyFill="1" applyBorder="1" applyAlignment="1" applyProtection="1">
      <alignment horizontal="center" vertical="center" wrapText="1"/>
      <protection locked="0"/>
    </xf>
    <xf numFmtId="49" fontId="43" fillId="8" borderId="46" xfId="0" applyNumberFormat="1" applyFont="1" applyFill="1" applyBorder="1" applyAlignment="1" applyProtection="1">
      <alignment horizontal="center" vertical="center" wrapText="1"/>
      <protection hidden="1"/>
    </xf>
    <xf numFmtId="49" fontId="43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19" fillId="9" borderId="28" xfId="0" applyFont="1" applyFill="1" applyBorder="1" applyAlignment="1" applyProtection="1">
      <alignment horizontal="center" vertical="center"/>
      <protection hidden="1"/>
    </xf>
    <xf numFmtId="0" fontId="19" fillId="9" borderId="59" xfId="0" applyFont="1" applyFill="1" applyBorder="1" applyAlignment="1" applyProtection="1">
      <alignment horizontal="center" vertical="center"/>
      <protection hidden="1"/>
    </xf>
    <xf numFmtId="0" fontId="19" fillId="9" borderId="61" xfId="0" applyFont="1" applyFill="1" applyBorder="1" applyAlignment="1" applyProtection="1">
      <alignment horizontal="center" vertical="center"/>
      <protection hidden="1"/>
    </xf>
    <xf numFmtId="0" fontId="19" fillId="9" borderId="62" xfId="0" applyFont="1" applyFill="1" applyBorder="1" applyAlignment="1" applyProtection="1">
      <alignment horizontal="center" vertical="center"/>
      <protection hidden="1"/>
    </xf>
    <xf numFmtId="0" fontId="19" fillId="9" borderId="25" xfId="0" applyFont="1" applyFill="1" applyBorder="1" applyAlignment="1" applyProtection="1">
      <alignment horizontal="center" vertical="center" wrapText="1"/>
      <protection hidden="1"/>
    </xf>
    <xf numFmtId="0" fontId="19" fillId="9" borderId="63" xfId="0" applyFont="1" applyFill="1" applyBorder="1" applyAlignment="1" applyProtection="1">
      <alignment horizontal="center" vertical="center" wrapText="1"/>
      <protection hidden="1"/>
    </xf>
    <xf numFmtId="0" fontId="19" fillId="9" borderId="27" xfId="0" applyFont="1" applyFill="1" applyBorder="1" applyAlignment="1" applyProtection="1">
      <alignment horizontal="center" vertical="center" wrapText="1"/>
      <protection hidden="1"/>
    </xf>
    <xf numFmtId="0" fontId="19" fillId="9" borderId="15" xfId="0" applyFont="1" applyFill="1" applyBorder="1" applyAlignment="1" applyProtection="1">
      <alignment horizontal="center" vertical="center" wrapText="1"/>
      <protection hidden="1"/>
    </xf>
    <xf numFmtId="0" fontId="19" fillId="9" borderId="23" xfId="0" applyFont="1" applyFill="1" applyBorder="1" applyAlignment="1" applyProtection="1">
      <alignment horizontal="center" vertical="center"/>
      <protection hidden="1"/>
    </xf>
    <xf numFmtId="0" fontId="19" fillId="9" borderId="60" xfId="0" applyFont="1" applyFill="1" applyBorder="1" applyAlignment="1" applyProtection="1">
      <alignment horizontal="center" vertical="center"/>
      <protection hidden="1"/>
    </xf>
    <xf numFmtId="0" fontId="19" fillId="9" borderId="24" xfId="0" applyFont="1" applyFill="1" applyBorder="1" applyAlignment="1" applyProtection="1">
      <alignment horizontal="center" vertical="center" wrapText="1"/>
      <protection hidden="1"/>
    </xf>
    <xf numFmtId="0" fontId="19" fillId="9" borderId="14" xfId="0" applyFont="1" applyFill="1" applyBorder="1" applyAlignment="1" applyProtection="1">
      <alignment horizontal="center" vertical="center" wrapText="1"/>
      <protection hidden="1"/>
    </xf>
    <xf numFmtId="0" fontId="19" fillId="9" borderId="26" xfId="0" applyFont="1" applyFill="1" applyBorder="1" applyAlignment="1" applyProtection="1">
      <alignment horizontal="center" vertical="center"/>
      <protection hidden="1"/>
    </xf>
    <xf numFmtId="0" fontId="19" fillId="9" borderId="64" xfId="0" applyFont="1" applyFill="1" applyBorder="1" applyAlignment="1" applyProtection="1">
      <alignment horizontal="center" vertical="center"/>
      <protection hidden="1"/>
    </xf>
    <xf numFmtId="1" fontId="43" fillId="8" borderId="46" xfId="0" applyNumberFormat="1" applyFont="1" applyFill="1" applyBorder="1" applyAlignment="1" applyProtection="1">
      <alignment horizontal="center" vertical="center"/>
      <protection hidden="1"/>
    </xf>
    <xf numFmtId="1" fontId="43" fillId="8" borderId="40" xfId="0" applyNumberFormat="1" applyFont="1" applyFill="1" applyBorder="1" applyAlignment="1" applyProtection="1">
      <alignment horizontal="center" vertical="center"/>
      <protection hidden="1"/>
    </xf>
    <xf numFmtId="1" fontId="43" fillId="8" borderId="22" xfId="0" applyNumberFormat="1" applyFont="1" applyFill="1" applyBorder="1" applyAlignment="1" applyProtection="1">
      <alignment horizontal="center" vertical="center"/>
      <protection hidden="1"/>
    </xf>
    <xf numFmtId="167" fontId="43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43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56" fillId="8" borderId="16" xfId="0" applyFont="1" applyFill="1" applyBorder="1" applyAlignment="1" applyProtection="1">
      <alignment horizontal="center" vertical="center" wrapText="1"/>
      <protection hidden="1"/>
    </xf>
    <xf numFmtId="0" fontId="56" fillId="8" borderId="17" xfId="0" applyFont="1" applyFill="1" applyBorder="1" applyAlignment="1" applyProtection="1">
      <alignment horizontal="center" vertical="center" wrapText="1"/>
      <protection hidden="1"/>
    </xf>
    <xf numFmtId="0" fontId="56" fillId="8" borderId="19" xfId="0" applyFont="1" applyFill="1" applyBorder="1" applyAlignment="1" applyProtection="1">
      <alignment horizontal="center" vertical="center" wrapText="1"/>
      <protection hidden="1"/>
    </xf>
    <xf numFmtId="0" fontId="56" fillId="8" borderId="20" xfId="0" applyFont="1" applyFill="1" applyBorder="1" applyAlignment="1" applyProtection="1">
      <alignment horizontal="center" vertical="center" wrapText="1"/>
      <protection hidden="1"/>
    </xf>
    <xf numFmtId="167" fontId="57" fillId="8" borderId="46" xfId="0" applyNumberFormat="1" applyFont="1" applyFill="1" applyBorder="1" applyAlignment="1" applyProtection="1">
      <alignment horizontal="center" vertical="center" wrapText="1"/>
      <protection hidden="1"/>
    </xf>
    <xf numFmtId="167" fontId="57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45" fillId="3" borderId="28" xfId="0" applyFont="1" applyFill="1" applyBorder="1" applyAlignment="1">
      <alignment horizontal="center" vertical="center" wrapText="1"/>
    </xf>
    <xf numFmtId="0" fontId="45" fillId="3" borderId="69" xfId="0" applyFont="1" applyFill="1" applyBorder="1" applyAlignment="1">
      <alignment horizontal="center" vertical="center" wrapText="1"/>
    </xf>
    <xf numFmtId="3" fontId="76" fillId="8" borderId="46" xfId="0" applyNumberFormat="1" applyFont="1" applyFill="1" applyBorder="1" applyAlignment="1" applyProtection="1">
      <alignment horizontal="center" vertical="center" wrapText="1"/>
      <protection hidden="1"/>
    </xf>
    <xf numFmtId="3" fontId="76" fillId="8" borderId="22" xfId="0" applyNumberFormat="1" applyFont="1" applyFill="1" applyBorder="1" applyAlignment="1" applyProtection="1">
      <alignment horizontal="center" vertical="center" wrapText="1"/>
      <protection hidden="1"/>
    </xf>
    <xf numFmtId="0" fontId="45" fillId="8" borderId="46" xfId="0" applyFont="1" applyFill="1" applyBorder="1" applyAlignment="1" applyProtection="1">
      <alignment horizontal="center" vertical="center" wrapText="1"/>
      <protection hidden="1"/>
    </xf>
    <xf numFmtId="0" fontId="45" fillId="8" borderId="22" xfId="0" applyFont="1" applyFill="1" applyBorder="1" applyAlignment="1" applyProtection="1">
      <alignment horizontal="center" vertical="center" wrapText="1"/>
      <protection hidden="1"/>
    </xf>
    <xf numFmtId="14" fontId="48" fillId="10" borderId="46" xfId="0" applyNumberFormat="1" applyFont="1" applyFill="1" applyBorder="1" applyAlignment="1">
      <alignment horizontal="center" vertical="center" wrapText="1"/>
    </xf>
    <xf numFmtId="14" fontId="48" fillId="10" borderId="22" xfId="0" applyNumberFormat="1" applyFont="1" applyFill="1" applyBorder="1" applyAlignment="1">
      <alignment horizontal="center" vertical="center" wrapText="1"/>
    </xf>
    <xf numFmtId="0" fontId="41" fillId="3" borderId="52" xfId="0" applyFont="1" applyFill="1" applyBorder="1" applyAlignment="1">
      <alignment horizontal="center" vertical="center" wrapText="1"/>
    </xf>
    <xf numFmtId="0" fontId="41" fillId="3" borderId="56" xfId="0" applyFont="1" applyFill="1" applyBorder="1" applyAlignment="1">
      <alignment horizontal="center" vertical="center" wrapText="1"/>
    </xf>
    <xf numFmtId="0" fontId="41" fillId="3" borderId="57" xfId="0" applyFont="1" applyFill="1" applyBorder="1" applyAlignment="1">
      <alignment horizontal="center" vertical="center" wrapText="1"/>
    </xf>
    <xf numFmtId="0" fontId="41" fillId="3" borderId="19" xfId="0" applyFont="1" applyFill="1" applyBorder="1" applyAlignment="1">
      <alignment horizontal="center" vertical="center" wrapText="1"/>
    </xf>
    <xf numFmtId="0" fontId="41" fillId="3" borderId="20" xfId="0" applyFont="1" applyFill="1" applyBorder="1" applyAlignment="1">
      <alignment horizontal="center" vertical="center" wrapText="1"/>
    </xf>
    <xf numFmtId="0" fontId="41" fillId="3" borderId="21" xfId="0" applyFont="1" applyFill="1" applyBorder="1" applyAlignment="1">
      <alignment horizontal="center" vertical="center" wrapText="1"/>
    </xf>
    <xf numFmtId="0" fontId="61" fillId="3" borderId="55" xfId="0" applyFont="1" applyFill="1" applyBorder="1" applyAlignment="1">
      <alignment horizontal="center" vertical="center" wrapText="1"/>
    </xf>
    <xf numFmtId="0" fontId="61" fillId="3" borderId="56" xfId="0" applyFont="1" applyFill="1" applyBorder="1" applyAlignment="1">
      <alignment horizontal="center" vertical="center" wrapText="1"/>
    </xf>
    <xf numFmtId="0" fontId="61" fillId="3" borderId="57" xfId="0" applyFont="1" applyFill="1" applyBorder="1" applyAlignment="1">
      <alignment horizontal="center" vertical="center" wrapText="1"/>
    </xf>
    <xf numFmtId="0" fontId="61" fillId="3" borderId="58" xfId="0" applyFont="1" applyFill="1" applyBorder="1" applyAlignment="1">
      <alignment horizontal="center" vertical="center" wrapText="1"/>
    </xf>
    <xf numFmtId="0" fontId="61" fillId="3" borderId="20" xfId="0" applyFont="1" applyFill="1" applyBorder="1" applyAlignment="1">
      <alignment horizontal="center" vertical="center" wrapText="1"/>
    </xf>
    <xf numFmtId="0" fontId="61" fillId="3" borderId="21" xfId="0" applyFont="1" applyFill="1" applyBorder="1" applyAlignment="1">
      <alignment horizontal="center" vertical="center" wrapText="1"/>
    </xf>
    <xf numFmtId="167" fontId="47" fillId="22" borderId="16" xfId="0" applyNumberFormat="1" applyFont="1" applyFill="1" applyBorder="1" applyAlignment="1" applyProtection="1">
      <alignment horizontal="center" vertical="center" wrapText="1"/>
      <protection hidden="1"/>
    </xf>
    <xf numFmtId="167" fontId="47" fillId="22" borderId="17" xfId="0" applyNumberFormat="1" applyFont="1" applyFill="1" applyBorder="1" applyAlignment="1" applyProtection="1">
      <alignment horizontal="center" vertical="center" wrapText="1"/>
      <protection hidden="1"/>
    </xf>
    <xf numFmtId="167" fontId="47" fillId="22" borderId="18" xfId="0" applyNumberFormat="1" applyFont="1" applyFill="1" applyBorder="1" applyAlignment="1" applyProtection="1">
      <alignment horizontal="center" vertical="center" wrapText="1"/>
      <protection hidden="1"/>
    </xf>
    <xf numFmtId="0" fontId="47" fillId="22" borderId="16" xfId="0" applyFont="1" applyFill="1" applyBorder="1" applyAlignment="1" applyProtection="1">
      <alignment horizontal="right" vertical="center" wrapText="1"/>
      <protection hidden="1"/>
    </xf>
    <xf numFmtId="0" fontId="47" fillId="22" borderId="18" xfId="0" applyFont="1" applyFill="1" applyBorder="1" applyAlignment="1" applyProtection="1">
      <alignment horizontal="right" vertical="center" wrapText="1"/>
      <protection hidden="1"/>
    </xf>
    <xf numFmtId="0" fontId="47" fillId="22" borderId="19" xfId="0" applyFont="1" applyFill="1" applyBorder="1" applyAlignment="1" applyProtection="1">
      <alignment horizontal="right" vertical="center" wrapText="1"/>
      <protection hidden="1"/>
    </xf>
    <xf numFmtId="0" fontId="47" fillId="22" borderId="21" xfId="0" applyFont="1" applyFill="1" applyBorder="1" applyAlignment="1" applyProtection="1">
      <alignment horizontal="right" vertical="center" wrapText="1"/>
      <protection hidden="1"/>
    </xf>
    <xf numFmtId="14" fontId="47" fillId="10" borderId="17" xfId="0" applyNumberFormat="1" applyFont="1" applyFill="1" applyBorder="1" applyAlignment="1" applyProtection="1">
      <alignment horizontal="center" vertical="center" wrapText="1"/>
      <protection locked="0"/>
    </xf>
    <xf numFmtId="14" fontId="47" fillId="10" borderId="20" xfId="0" applyNumberFormat="1" applyFont="1" applyFill="1" applyBorder="1" applyAlignment="1" applyProtection="1">
      <alignment horizontal="center" vertical="center" wrapText="1"/>
      <protection locked="0"/>
    </xf>
    <xf numFmtId="0" fontId="78" fillId="22" borderId="46" xfId="0" applyFont="1" applyFill="1" applyBorder="1" applyAlignment="1" applyProtection="1">
      <alignment horizontal="center" vertical="center" wrapText="1"/>
      <protection hidden="1"/>
    </xf>
    <xf numFmtId="0" fontId="78" fillId="22" borderId="40" xfId="0" applyFont="1" applyFill="1" applyBorder="1" applyAlignment="1" applyProtection="1">
      <alignment horizontal="center" vertical="center" wrapText="1"/>
      <protection hidden="1"/>
    </xf>
    <xf numFmtId="0" fontId="78" fillId="22" borderId="22" xfId="0" applyFont="1" applyFill="1" applyBorder="1" applyAlignment="1" applyProtection="1">
      <alignment horizontal="center" vertical="center" wrapText="1"/>
      <protection hidden="1"/>
    </xf>
    <xf numFmtId="0" fontId="38" fillId="11" borderId="0" xfId="0" applyFont="1" applyFill="1" applyAlignment="1">
      <alignment horizontal="center" vertical="center"/>
    </xf>
    <xf numFmtId="0" fontId="38" fillId="11" borderId="94" xfId="0" applyFont="1" applyFill="1" applyBorder="1" applyAlignment="1">
      <alignment horizontal="center" vertical="center"/>
    </xf>
    <xf numFmtId="0" fontId="92" fillId="11" borderId="0" xfId="0" applyFont="1" applyFill="1" applyAlignment="1">
      <alignment horizontal="center" vertical="center"/>
    </xf>
    <xf numFmtId="0" fontId="40" fillId="11" borderId="19" xfId="0" applyFont="1" applyFill="1" applyBorder="1" applyAlignment="1">
      <alignment horizontal="center" vertical="center"/>
    </xf>
    <xf numFmtId="0" fontId="40" fillId="11" borderId="20" xfId="0" applyFont="1" applyFill="1" applyBorder="1" applyAlignment="1">
      <alignment horizontal="center" vertical="center"/>
    </xf>
    <xf numFmtId="0" fontId="83" fillId="11" borderId="46" xfId="0" applyFont="1" applyFill="1" applyBorder="1" applyAlignment="1">
      <alignment horizontal="center"/>
    </xf>
    <xf numFmtId="0" fontId="83" fillId="11" borderId="40" xfId="0" applyFont="1" applyFill="1" applyBorder="1" applyAlignment="1">
      <alignment horizontal="center"/>
    </xf>
    <xf numFmtId="0" fontId="83" fillId="11" borderId="22" xfId="0" applyFont="1" applyFill="1" applyBorder="1" applyAlignment="1">
      <alignment horizontal="center"/>
    </xf>
    <xf numFmtId="0" fontId="68" fillId="0" borderId="0" xfId="0" applyFont="1" applyAlignment="1">
      <alignment horizontal="center" wrapText="1"/>
    </xf>
  </cellXfs>
  <cellStyles count="16">
    <cellStyle name="Cancel" xfId="1" xr:uid="{00000000-0005-0000-0000-000000000000}"/>
    <cellStyle name="Comma 2" xfId="2" xr:uid="{00000000-0005-0000-0000-000001000000}"/>
    <cellStyle name="Currency 2" xfId="3" xr:uid="{00000000-0005-0000-0000-000002000000}"/>
    <cellStyle name="Hiperlink" xfId="4" builtinId="8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12" xr:uid="{539CF4E8-591B-47E9-8E1C-042A99C82509}"/>
    <cellStyle name="Normal 5" xfId="15" xr:uid="{A9DB8C23-F517-41F7-BC74-336EC473B410}"/>
    <cellStyle name="Normal 9" xfId="10" xr:uid="{3F29D9D9-2CB3-4EAF-A77C-F992DEFA8D50}"/>
    <cellStyle name="Percent 2" xfId="9" xr:uid="{00000000-0005-0000-0000-000009000000}"/>
    <cellStyle name="Porcentagem" xfId="14" builtinId="5"/>
    <cellStyle name="Vírgula" xfId="13" builtinId="3"/>
    <cellStyle name="Vírgula 2" xfId="11" xr:uid="{4A30AFA9-67C1-4B8B-90A6-2772E857D9D8}"/>
  </cellStyles>
  <dxfs count="7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C3C3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122704</xdr:colOff>
      <xdr:row>2</xdr:row>
      <xdr:rowOff>369793</xdr:rowOff>
    </xdr:from>
    <xdr:to>
      <xdr:col>15</xdr:col>
      <xdr:colOff>1238810</xdr:colOff>
      <xdr:row>3</xdr:row>
      <xdr:rowOff>245409</xdr:rowOff>
    </xdr:to>
    <xdr:sp macro="[0]!Gerar_minuta_CM_TRANS" textlink="">
      <xdr:nvSpPr>
        <xdr:cNvPr id="2" name="GERAR: Cantos Arredondados 1">
          <a:extLst>
            <a:ext uri="{FF2B5EF4-FFF2-40B4-BE49-F238E27FC236}">
              <a16:creationId xmlns:a16="http://schemas.microsoft.com/office/drawing/2014/main" id="{6D117ED5-0D19-4A56-BCCB-CB56AFB94AD1}"/>
            </a:ext>
          </a:extLst>
        </xdr:cNvPr>
        <xdr:cNvSpPr/>
      </xdr:nvSpPr>
      <xdr:spPr bwMode="auto">
        <a:xfrm>
          <a:off x="12012145" y="1075764"/>
          <a:ext cx="1116106" cy="290233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GERAR</a:t>
          </a:r>
        </a:p>
      </xdr:txBody>
    </xdr:sp>
    <xdr:clientData fPrintsWithSheet="0"/>
  </xdr:twoCellAnchor>
  <xdr:twoCellAnchor editAs="absolute">
    <xdr:from>
      <xdr:col>14</xdr:col>
      <xdr:colOff>857813</xdr:colOff>
      <xdr:row>4</xdr:row>
      <xdr:rowOff>2055</xdr:rowOff>
    </xdr:from>
    <xdr:to>
      <xdr:col>15</xdr:col>
      <xdr:colOff>769660</xdr:colOff>
      <xdr:row>5</xdr:row>
      <xdr:rowOff>122144</xdr:rowOff>
    </xdr:to>
    <xdr:sp macro="[0]!Voltar" textlink="">
      <xdr:nvSpPr>
        <xdr:cNvPr id="3" name="Voltar: para a Esquerda 2">
          <a:extLst>
            <a:ext uri="{FF2B5EF4-FFF2-40B4-BE49-F238E27FC236}">
              <a16:creationId xmlns:a16="http://schemas.microsoft.com/office/drawing/2014/main" id="{DA847342-DDC5-4F2E-9EE7-D2AC59AB37F3}"/>
            </a:ext>
          </a:extLst>
        </xdr:cNvPr>
        <xdr:cNvSpPr/>
      </xdr:nvSpPr>
      <xdr:spPr bwMode="auto">
        <a:xfrm>
          <a:off x="12052489" y="1500468"/>
          <a:ext cx="781050" cy="336176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  <xdr:twoCellAnchor editAs="absolute">
    <xdr:from>
      <xdr:col>14</xdr:col>
      <xdr:colOff>835397</xdr:colOff>
      <xdr:row>8</xdr:row>
      <xdr:rowOff>21290</xdr:rowOff>
    </xdr:from>
    <xdr:to>
      <xdr:col>15</xdr:col>
      <xdr:colOff>1104339</xdr:colOff>
      <xdr:row>9</xdr:row>
      <xdr:rowOff>77321</xdr:rowOff>
    </xdr:to>
    <xdr:sp macro="[0]!Reexibir_CM_TRANSPORTES" textlink="">
      <xdr:nvSpPr>
        <xdr:cNvPr id="4" name="Reexibir: Cantos Arredondados 3">
          <a:extLst>
            <a:ext uri="{FF2B5EF4-FFF2-40B4-BE49-F238E27FC236}">
              <a16:creationId xmlns:a16="http://schemas.microsoft.com/office/drawing/2014/main" id="{F2C418AE-A631-4069-A0A2-1031041D72EB}"/>
            </a:ext>
          </a:extLst>
        </xdr:cNvPr>
        <xdr:cNvSpPr/>
      </xdr:nvSpPr>
      <xdr:spPr bwMode="auto">
        <a:xfrm>
          <a:off x="12030073" y="1937496"/>
          <a:ext cx="1131795" cy="257737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REEXIBIR</a:t>
          </a:r>
        </a:p>
      </xdr:txBody>
    </xdr:sp>
    <xdr:clientData fPrintsWithSheet="0"/>
  </xdr:twoCellAnchor>
  <xdr:twoCellAnchor editAs="absolute">
    <xdr:from>
      <xdr:col>14</xdr:col>
      <xdr:colOff>846976</xdr:colOff>
      <xdr:row>10</xdr:row>
      <xdr:rowOff>16808</xdr:rowOff>
    </xdr:from>
    <xdr:to>
      <xdr:col>15</xdr:col>
      <xdr:colOff>1122268</xdr:colOff>
      <xdr:row>10</xdr:row>
      <xdr:rowOff>274545</xdr:rowOff>
    </xdr:to>
    <xdr:sp macro="[0]!EXPORTA_COMFRIO_CM_TRANS" textlink="">
      <xdr:nvSpPr>
        <xdr:cNvPr id="5" name="Exportar: Cantos Arredondados 4">
          <a:extLst>
            <a:ext uri="{FF2B5EF4-FFF2-40B4-BE49-F238E27FC236}">
              <a16:creationId xmlns:a16="http://schemas.microsoft.com/office/drawing/2014/main" id="{CCE96CC9-5771-4BFA-A225-16EE1F1126DB}"/>
            </a:ext>
          </a:extLst>
        </xdr:cNvPr>
        <xdr:cNvSpPr/>
      </xdr:nvSpPr>
      <xdr:spPr bwMode="auto">
        <a:xfrm>
          <a:off x="12048002" y="2347632"/>
          <a:ext cx="1131795" cy="257737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EXPORTAR</a:t>
          </a:r>
        </a:p>
      </xdr:txBody>
    </xdr:sp>
    <xdr:clientData fPrintsWithSheet="0"/>
  </xdr:twoCellAnchor>
  <xdr:twoCellAnchor editAs="oneCell">
    <xdr:from>
      <xdr:col>12</xdr:col>
      <xdr:colOff>301438</xdr:colOff>
      <xdr:row>0</xdr:row>
      <xdr:rowOff>188820</xdr:rowOff>
    </xdr:from>
    <xdr:to>
      <xdr:col>14</xdr:col>
      <xdr:colOff>421342</xdr:colOff>
      <xdr:row>2</xdr:row>
      <xdr:rowOff>135591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77DC583-4634-460D-BAA5-67179FAF2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2820" y="188820"/>
          <a:ext cx="1655109" cy="652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1</xdr:row>
      <xdr:rowOff>23532</xdr:rowOff>
    </xdr:from>
    <xdr:to>
      <xdr:col>15</xdr:col>
      <xdr:colOff>1344706</xdr:colOff>
      <xdr:row>1</xdr:row>
      <xdr:rowOff>313765</xdr:rowOff>
    </xdr:to>
    <xdr:sp macro="[0]!Gerar_minuta_TRANSMIT" textlink="">
      <xdr:nvSpPr>
        <xdr:cNvPr id="2" name="GERAR: Cantos Arredondados 1">
          <a:extLst>
            <a:ext uri="{FF2B5EF4-FFF2-40B4-BE49-F238E27FC236}">
              <a16:creationId xmlns:a16="http://schemas.microsoft.com/office/drawing/2014/main" id="{D20A2C7A-53C1-4746-9300-88C007A23EF3}"/>
            </a:ext>
          </a:extLst>
        </xdr:cNvPr>
        <xdr:cNvSpPr/>
      </xdr:nvSpPr>
      <xdr:spPr bwMode="auto">
        <a:xfrm>
          <a:off x="10997453" y="617444"/>
          <a:ext cx="1116106" cy="290233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GERAR</a:t>
          </a:r>
        </a:p>
      </xdr:txBody>
    </xdr:sp>
    <xdr:clientData fPrintsWithSheet="0"/>
  </xdr:twoCellAnchor>
  <xdr:twoCellAnchor editAs="absolute">
    <xdr:from>
      <xdr:col>15</xdr:col>
      <xdr:colOff>313765</xdr:colOff>
      <xdr:row>0</xdr:row>
      <xdr:rowOff>156883</xdr:rowOff>
    </xdr:from>
    <xdr:to>
      <xdr:col>15</xdr:col>
      <xdr:colOff>1378322</xdr:colOff>
      <xdr:row>0</xdr:row>
      <xdr:rowOff>493059</xdr:rowOff>
    </xdr:to>
    <xdr:sp macro="[0]!Voltar" textlink="">
      <xdr:nvSpPr>
        <xdr:cNvPr id="3" name="Voltar: para a Esquerda 2">
          <a:extLst>
            <a:ext uri="{FF2B5EF4-FFF2-40B4-BE49-F238E27FC236}">
              <a16:creationId xmlns:a16="http://schemas.microsoft.com/office/drawing/2014/main" id="{7EDDABEF-84E4-48AF-A2E2-7B7BAEB4F2DC}"/>
            </a:ext>
          </a:extLst>
        </xdr:cNvPr>
        <xdr:cNvSpPr/>
      </xdr:nvSpPr>
      <xdr:spPr bwMode="auto">
        <a:xfrm>
          <a:off x="11306736" y="156883"/>
          <a:ext cx="1064557" cy="336176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  <xdr:twoCellAnchor editAs="absolute">
    <xdr:from>
      <xdr:col>15</xdr:col>
      <xdr:colOff>235321</xdr:colOff>
      <xdr:row>2</xdr:row>
      <xdr:rowOff>1679</xdr:rowOff>
    </xdr:from>
    <xdr:to>
      <xdr:col>15</xdr:col>
      <xdr:colOff>1367116</xdr:colOff>
      <xdr:row>2</xdr:row>
      <xdr:rowOff>268941</xdr:rowOff>
    </xdr:to>
    <xdr:sp macro="[0]!Reexibir_TRANSMIT" textlink="">
      <xdr:nvSpPr>
        <xdr:cNvPr id="4" name="Reexibir: Cantos Arredondados 3">
          <a:extLst>
            <a:ext uri="{FF2B5EF4-FFF2-40B4-BE49-F238E27FC236}">
              <a16:creationId xmlns:a16="http://schemas.microsoft.com/office/drawing/2014/main" id="{F4F53C13-F1A5-42A6-94A0-453DDE5545A5}"/>
            </a:ext>
          </a:extLst>
        </xdr:cNvPr>
        <xdr:cNvSpPr/>
      </xdr:nvSpPr>
      <xdr:spPr bwMode="auto">
        <a:xfrm>
          <a:off x="11228292" y="1010208"/>
          <a:ext cx="1131795" cy="267262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REEXIBIR</a:t>
          </a:r>
        </a:p>
      </xdr:txBody>
    </xdr:sp>
    <xdr:clientData fPrintsWithSheet="0"/>
  </xdr:twoCellAnchor>
  <xdr:twoCellAnchor editAs="absolute">
    <xdr:from>
      <xdr:col>15</xdr:col>
      <xdr:colOff>230839</xdr:colOff>
      <xdr:row>2</xdr:row>
      <xdr:rowOff>331694</xdr:rowOff>
    </xdr:from>
    <xdr:to>
      <xdr:col>15</xdr:col>
      <xdr:colOff>1362634</xdr:colOff>
      <xdr:row>3</xdr:row>
      <xdr:rowOff>174813</xdr:rowOff>
    </xdr:to>
    <xdr:sp macro="[0]!EXPORTA_COMFRIO_TRANSMIT" textlink="">
      <xdr:nvSpPr>
        <xdr:cNvPr id="5" name="Exportar: Cantos Arredondados 4">
          <a:extLst>
            <a:ext uri="{FF2B5EF4-FFF2-40B4-BE49-F238E27FC236}">
              <a16:creationId xmlns:a16="http://schemas.microsoft.com/office/drawing/2014/main" id="{CC4A990C-AF23-4191-8348-4D642D294547}"/>
            </a:ext>
          </a:extLst>
        </xdr:cNvPr>
        <xdr:cNvSpPr/>
      </xdr:nvSpPr>
      <xdr:spPr bwMode="auto">
        <a:xfrm>
          <a:off x="11223810" y="1340223"/>
          <a:ext cx="1131795" cy="257737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EXPORTAR</a:t>
          </a:r>
        </a:p>
      </xdr:txBody>
    </xdr:sp>
    <xdr:clientData fPrintsWithSheet="0"/>
  </xdr:twoCellAnchor>
  <xdr:twoCellAnchor editAs="oneCell">
    <xdr:from>
      <xdr:col>12</xdr:col>
      <xdr:colOff>168088</xdr:colOff>
      <xdr:row>0</xdr:row>
      <xdr:rowOff>358590</xdr:rowOff>
    </xdr:from>
    <xdr:to>
      <xdr:col>15</xdr:col>
      <xdr:colOff>24651</xdr:colOff>
      <xdr:row>1</xdr:row>
      <xdr:rowOff>381000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78DFED6-3CDD-4D2D-ADF1-8B9AF510D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2647" y="358590"/>
          <a:ext cx="1783975" cy="616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408192</xdr:colOff>
      <xdr:row>0</xdr:row>
      <xdr:rowOff>66302</xdr:rowOff>
    </xdr:from>
    <xdr:to>
      <xdr:col>17</xdr:col>
      <xdr:colOff>1120101</xdr:colOff>
      <xdr:row>0</xdr:row>
      <xdr:rowOff>371102</xdr:rowOff>
    </xdr:to>
    <xdr:sp macro="[0]!Voltar" textlink="">
      <xdr:nvSpPr>
        <xdr:cNvPr id="3" name="Seta: para a Esquerda 2">
          <a:extLst>
            <a:ext uri="{FF2B5EF4-FFF2-40B4-BE49-F238E27FC236}">
              <a16:creationId xmlns:a16="http://schemas.microsoft.com/office/drawing/2014/main" id="{ED3A21EC-06E4-45F3-9795-DBE995B282D3}"/>
            </a:ext>
          </a:extLst>
        </xdr:cNvPr>
        <xdr:cNvSpPr/>
      </xdr:nvSpPr>
      <xdr:spPr bwMode="auto">
        <a:xfrm>
          <a:off x="10596283" y="69477"/>
          <a:ext cx="634813" cy="304800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523875</xdr:colOff>
      <xdr:row>1</xdr:row>
      <xdr:rowOff>38099</xdr:rowOff>
    </xdr:from>
    <xdr:to>
      <xdr:col>12</xdr:col>
      <xdr:colOff>581025</xdr:colOff>
      <xdr:row>3</xdr:row>
      <xdr:rowOff>69849</xdr:rowOff>
    </xdr:to>
    <xdr:sp macro="[0]!Voltar" textlink="">
      <xdr:nvSpPr>
        <xdr:cNvPr id="2" name="Seta: para a Esquerda 1">
          <a:extLst>
            <a:ext uri="{FF2B5EF4-FFF2-40B4-BE49-F238E27FC236}">
              <a16:creationId xmlns:a16="http://schemas.microsoft.com/office/drawing/2014/main" id="{975E075E-061F-4F62-941C-D75DE07BF9A1}"/>
            </a:ext>
          </a:extLst>
        </xdr:cNvPr>
        <xdr:cNvSpPr/>
      </xdr:nvSpPr>
      <xdr:spPr bwMode="auto">
        <a:xfrm>
          <a:off x="8982075" y="200024"/>
          <a:ext cx="609600" cy="352425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268942</xdr:colOff>
      <xdr:row>0</xdr:row>
      <xdr:rowOff>98052</xdr:rowOff>
    </xdr:from>
    <xdr:to>
      <xdr:col>15</xdr:col>
      <xdr:colOff>1151031</xdr:colOff>
      <xdr:row>1</xdr:row>
      <xdr:rowOff>56029</xdr:rowOff>
    </xdr:to>
    <xdr:sp macro="[0]!Voltar" textlink="">
      <xdr:nvSpPr>
        <xdr:cNvPr id="3" name="Seta: para a Esquerda 2">
          <a:extLst>
            <a:ext uri="{FF2B5EF4-FFF2-40B4-BE49-F238E27FC236}">
              <a16:creationId xmlns:a16="http://schemas.microsoft.com/office/drawing/2014/main" id="{C346BD92-6AE9-4AF6-9CC0-1CA8CF599005}"/>
            </a:ext>
          </a:extLst>
        </xdr:cNvPr>
        <xdr:cNvSpPr/>
      </xdr:nvSpPr>
      <xdr:spPr bwMode="auto">
        <a:xfrm>
          <a:off x="11631707" y="98052"/>
          <a:ext cx="885264" cy="361389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oneCell">
    <xdr:from>
      <xdr:col>13</xdr:col>
      <xdr:colOff>168088</xdr:colOff>
      <xdr:row>1</xdr:row>
      <xdr:rowOff>100855</xdr:rowOff>
    </xdr:from>
    <xdr:to>
      <xdr:col>14</xdr:col>
      <xdr:colOff>790440</xdr:colOff>
      <xdr:row>2</xdr:row>
      <xdr:rowOff>198532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126EDAC-35F6-49C7-AB54-72C9E45AAB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504267"/>
          <a:ext cx="1459618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1638300</xdr:colOff>
          <xdr:row>0</xdr:row>
          <xdr:rowOff>114300</xdr:rowOff>
        </xdr:from>
        <xdr:to>
          <xdr:col>15</xdr:col>
          <xdr:colOff>2771775</xdr:colOff>
          <xdr:row>1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1638300</xdr:colOff>
          <xdr:row>1</xdr:row>
          <xdr:rowOff>257175</xdr:rowOff>
        </xdr:from>
        <xdr:to>
          <xdr:col>15</xdr:col>
          <xdr:colOff>2771775</xdr:colOff>
          <xdr:row>2</xdr:row>
          <xdr:rowOff>323850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1638300</xdr:colOff>
          <xdr:row>3</xdr:row>
          <xdr:rowOff>28575</xdr:rowOff>
        </xdr:from>
        <xdr:to>
          <xdr:col>15</xdr:col>
          <xdr:colOff>2771775</xdr:colOff>
          <xdr:row>4</xdr:row>
          <xdr:rowOff>104775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1638300</xdr:colOff>
          <xdr:row>5</xdr:row>
          <xdr:rowOff>0</xdr:rowOff>
        </xdr:from>
        <xdr:to>
          <xdr:col>15</xdr:col>
          <xdr:colOff>2771775</xdr:colOff>
          <xdr:row>7</xdr:row>
          <xdr:rowOff>57150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153081</xdr:colOff>
      <xdr:row>0</xdr:row>
      <xdr:rowOff>50572</xdr:rowOff>
    </xdr:from>
    <xdr:to>
      <xdr:col>2</xdr:col>
      <xdr:colOff>789214</xdr:colOff>
      <xdr:row>1</xdr:row>
      <xdr:rowOff>10060</xdr:rowOff>
    </xdr:to>
    <xdr:sp macro="[0]!Voltar" textlink="">
      <xdr:nvSpPr>
        <xdr:cNvPr id="2" name="Seta: para a Esquerda 1">
          <a:extLst>
            <a:ext uri="{FF2B5EF4-FFF2-40B4-BE49-F238E27FC236}">
              <a16:creationId xmlns:a16="http://schemas.microsoft.com/office/drawing/2014/main" id="{2F3B77D2-EED4-4A0E-9B0A-7FBC62E3B184}"/>
            </a:ext>
          </a:extLst>
        </xdr:cNvPr>
        <xdr:cNvSpPr/>
      </xdr:nvSpPr>
      <xdr:spPr bwMode="auto">
        <a:xfrm>
          <a:off x="139474" y="44222"/>
          <a:ext cx="636133" cy="323170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716143</xdr:colOff>
      <xdr:row>0</xdr:row>
      <xdr:rowOff>125506</xdr:rowOff>
    </xdr:from>
    <xdr:to>
      <xdr:col>15</xdr:col>
      <xdr:colOff>621366</xdr:colOff>
      <xdr:row>3</xdr:row>
      <xdr:rowOff>112059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83D85207-E503-41FA-B3D2-3C46DCE9A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9293" y="125506"/>
          <a:ext cx="1524473" cy="1062878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2</xdr:col>
      <xdr:colOff>254560</xdr:colOff>
      <xdr:row>23</xdr:row>
      <xdr:rowOff>161178</xdr:rowOff>
    </xdr:from>
    <xdr:to>
      <xdr:col>2</xdr:col>
      <xdr:colOff>1550560</xdr:colOff>
      <xdr:row>25</xdr:row>
      <xdr:rowOff>83390</xdr:rowOff>
    </xdr:to>
    <xdr:sp macro="[0]!Voltar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106DAE7-CD7A-4B50-92D4-8DDBF19E95CA}"/>
            </a:ext>
          </a:extLst>
        </xdr:cNvPr>
        <xdr:cNvSpPr/>
      </xdr:nvSpPr>
      <xdr:spPr bwMode="auto">
        <a:xfrm>
          <a:off x="257735" y="4863353"/>
          <a:ext cx="1296000" cy="280800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absolute">
    <xdr:from>
      <xdr:col>2</xdr:col>
      <xdr:colOff>333001</xdr:colOff>
      <xdr:row>20</xdr:row>
      <xdr:rowOff>153146</xdr:rowOff>
    </xdr:from>
    <xdr:to>
      <xdr:col>2</xdr:col>
      <xdr:colOff>1629001</xdr:colOff>
      <xdr:row>22</xdr:row>
      <xdr:rowOff>75359</xdr:rowOff>
    </xdr:to>
    <xdr:sp macro="[0]!Reexibir_SED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B8B57BF-05C7-4624-9B4A-E1790C7D10A8}"/>
            </a:ext>
          </a:extLst>
        </xdr:cNvPr>
        <xdr:cNvSpPr/>
      </xdr:nvSpPr>
      <xdr:spPr bwMode="auto">
        <a:xfrm>
          <a:off x="336176" y="4336676"/>
          <a:ext cx="1296000" cy="2808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REEXIBIR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1076325</xdr:colOff>
      <xdr:row>0</xdr:row>
      <xdr:rowOff>164788</xdr:rowOff>
    </xdr:from>
    <xdr:to>
      <xdr:col>16</xdr:col>
      <xdr:colOff>2150533</xdr:colOff>
      <xdr:row>1</xdr:row>
      <xdr:rowOff>201083</xdr:rowOff>
    </xdr:to>
    <xdr:sp macro="[0]!Voltar" textlink="">
      <xdr:nvSpPr>
        <xdr:cNvPr id="4" name="Seta: para a Esquerda 3">
          <a:extLst>
            <a:ext uri="{FF2B5EF4-FFF2-40B4-BE49-F238E27FC236}">
              <a16:creationId xmlns:a16="http://schemas.microsoft.com/office/drawing/2014/main" id="{0257D0A1-D33B-40C9-821B-7DA6101C4F25}"/>
            </a:ext>
          </a:extLst>
        </xdr:cNvPr>
        <xdr:cNvSpPr/>
      </xdr:nvSpPr>
      <xdr:spPr bwMode="auto">
        <a:xfrm>
          <a:off x="12530667" y="158438"/>
          <a:ext cx="1016000" cy="444812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oneCell">
    <xdr:from>
      <xdr:col>13</xdr:col>
      <xdr:colOff>374865</xdr:colOff>
      <xdr:row>0</xdr:row>
      <xdr:rowOff>302559</xdr:rowOff>
    </xdr:from>
    <xdr:to>
      <xdr:col>15</xdr:col>
      <xdr:colOff>560367</xdr:colOff>
      <xdr:row>2</xdr:row>
      <xdr:rowOff>123264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DB3DFB7-94CA-48AE-A7F5-F296EDDA4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6600" y="302559"/>
          <a:ext cx="1769888" cy="627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1562100</xdr:colOff>
          <xdr:row>0</xdr:row>
          <xdr:rowOff>161925</xdr:rowOff>
        </xdr:from>
        <xdr:to>
          <xdr:col>16</xdr:col>
          <xdr:colOff>2724150</xdr:colOff>
          <xdr:row>1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1562100</xdr:colOff>
          <xdr:row>1</xdr:row>
          <xdr:rowOff>295275</xdr:rowOff>
        </xdr:from>
        <xdr:to>
          <xdr:col>16</xdr:col>
          <xdr:colOff>2724150</xdr:colOff>
          <xdr:row>2</xdr:row>
          <xdr:rowOff>314325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1571625</xdr:colOff>
          <xdr:row>3</xdr:row>
          <xdr:rowOff>28575</xdr:rowOff>
        </xdr:from>
        <xdr:to>
          <xdr:col>16</xdr:col>
          <xdr:colOff>2733675</xdr:colOff>
          <xdr:row>4</xdr:row>
          <xdr:rowOff>47625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1571625</xdr:colOff>
          <xdr:row>4</xdr:row>
          <xdr:rowOff>171450</xdr:rowOff>
        </xdr:from>
        <xdr:to>
          <xdr:col>16</xdr:col>
          <xdr:colOff>2733675</xdr:colOff>
          <xdr:row>6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237689</xdr:colOff>
      <xdr:row>0</xdr:row>
      <xdr:rowOff>102907</xdr:rowOff>
    </xdr:from>
    <xdr:to>
      <xdr:col>15</xdr:col>
      <xdr:colOff>1322916</xdr:colOff>
      <xdr:row>1</xdr:row>
      <xdr:rowOff>179915</xdr:rowOff>
    </xdr:to>
    <xdr:sp macro="[0]!Voltar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2CCA401-7686-41B4-B416-1FB08F229CC8}"/>
            </a:ext>
          </a:extLst>
        </xdr:cNvPr>
        <xdr:cNvSpPr/>
      </xdr:nvSpPr>
      <xdr:spPr bwMode="auto">
        <a:xfrm>
          <a:off x="11844431" y="109257"/>
          <a:ext cx="1088402" cy="472825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oneCell">
    <xdr:from>
      <xdr:col>13</xdr:col>
      <xdr:colOff>291351</xdr:colOff>
      <xdr:row>1</xdr:row>
      <xdr:rowOff>145678</xdr:rowOff>
    </xdr:from>
    <xdr:to>
      <xdr:col>15</xdr:col>
      <xdr:colOff>64485</xdr:colOff>
      <xdr:row>2</xdr:row>
      <xdr:rowOff>246530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B4406B47-7929-4DAF-8F95-C1D16632B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16" y="549090"/>
          <a:ext cx="1459618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1809750</xdr:colOff>
          <xdr:row>0</xdr:row>
          <xdr:rowOff>161925</xdr:rowOff>
        </xdr:from>
        <xdr:to>
          <xdr:col>15</xdr:col>
          <xdr:colOff>3038475</xdr:colOff>
          <xdr:row>1</xdr:row>
          <xdr:rowOff>257175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1819275</xdr:colOff>
          <xdr:row>1</xdr:row>
          <xdr:rowOff>342900</xdr:rowOff>
        </xdr:from>
        <xdr:to>
          <xdr:col>15</xdr:col>
          <xdr:colOff>3048000</xdr:colOff>
          <xdr:row>3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1828800</xdr:colOff>
          <xdr:row>3</xdr:row>
          <xdr:rowOff>123825</xdr:rowOff>
        </xdr:from>
        <xdr:to>
          <xdr:col>15</xdr:col>
          <xdr:colOff>3057525</xdr:colOff>
          <xdr:row>4</xdr:row>
          <xdr:rowOff>85725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1819275</xdr:colOff>
          <xdr:row>5</xdr:row>
          <xdr:rowOff>133350</xdr:rowOff>
        </xdr:from>
        <xdr:to>
          <xdr:col>15</xdr:col>
          <xdr:colOff>3048000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519953</xdr:colOff>
      <xdr:row>2</xdr:row>
      <xdr:rowOff>12326</xdr:rowOff>
    </xdr:from>
    <xdr:to>
      <xdr:col>15</xdr:col>
      <xdr:colOff>1815953</xdr:colOff>
      <xdr:row>2</xdr:row>
      <xdr:rowOff>293126</xdr:rowOff>
    </xdr:to>
    <xdr:sp macro="[0]!Gerar_minuta_sudoest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F34D39F-6878-48DB-975F-A3E91D2AB08A}"/>
            </a:ext>
          </a:extLst>
        </xdr:cNvPr>
        <xdr:cNvSpPr/>
      </xdr:nvSpPr>
      <xdr:spPr bwMode="auto">
        <a:xfrm>
          <a:off x="11636188" y="718297"/>
          <a:ext cx="1296000" cy="280800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GERAR</a:t>
          </a:r>
        </a:p>
      </xdr:txBody>
    </xdr:sp>
    <xdr:clientData fPrintsWithSheet="0"/>
  </xdr:twoCellAnchor>
  <xdr:twoCellAnchor editAs="absolute">
    <xdr:from>
      <xdr:col>15</xdr:col>
      <xdr:colOff>511550</xdr:colOff>
      <xdr:row>0</xdr:row>
      <xdr:rowOff>198905</xdr:rowOff>
    </xdr:from>
    <xdr:to>
      <xdr:col>15</xdr:col>
      <xdr:colOff>1807550</xdr:colOff>
      <xdr:row>1</xdr:row>
      <xdr:rowOff>132323</xdr:rowOff>
    </xdr:to>
    <xdr:sp macro="[0]!Voltar" textlink="">
      <xdr:nvSpPr>
        <xdr:cNvPr id="4" name="Seta: para a Esquerda 3">
          <a:extLst>
            <a:ext uri="{FF2B5EF4-FFF2-40B4-BE49-F238E27FC236}">
              <a16:creationId xmlns:a16="http://schemas.microsoft.com/office/drawing/2014/main" id="{5B31CAD6-1716-49FB-A47B-F39BCCF507EC}"/>
            </a:ext>
          </a:extLst>
        </xdr:cNvPr>
        <xdr:cNvSpPr/>
      </xdr:nvSpPr>
      <xdr:spPr bwMode="auto">
        <a:xfrm>
          <a:off x="11627785" y="198905"/>
          <a:ext cx="1296000" cy="280800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absolute">
    <xdr:from>
      <xdr:col>15</xdr:col>
      <xdr:colOff>537883</xdr:colOff>
      <xdr:row>3</xdr:row>
      <xdr:rowOff>190501</xdr:rowOff>
    </xdr:from>
    <xdr:to>
      <xdr:col>15</xdr:col>
      <xdr:colOff>1833883</xdr:colOff>
      <xdr:row>4</xdr:row>
      <xdr:rowOff>123919</xdr:rowOff>
    </xdr:to>
    <xdr:sp macro="[0]!Reexibir_SUDOEST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2DE850-002F-4D5E-A3B8-56851ED4F437}"/>
            </a:ext>
          </a:extLst>
        </xdr:cNvPr>
        <xdr:cNvSpPr/>
      </xdr:nvSpPr>
      <xdr:spPr bwMode="auto">
        <a:xfrm>
          <a:off x="11654118" y="1255060"/>
          <a:ext cx="1296000" cy="2808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REEXIBIR</a:t>
          </a:r>
        </a:p>
      </xdr:txBody>
    </xdr:sp>
    <xdr:clientData fPrintsWithSheet="0"/>
  </xdr:twoCellAnchor>
  <xdr:twoCellAnchor editAs="absolute">
    <xdr:from>
      <xdr:col>15</xdr:col>
      <xdr:colOff>583266</xdr:colOff>
      <xdr:row>5</xdr:row>
      <xdr:rowOff>215715</xdr:rowOff>
    </xdr:from>
    <xdr:to>
      <xdr:col>15</xdr:col>
      <xdr:colOff>1879266</xdr:colOff>
      <xdr:row>26</xdr:row>
      <xdr:rowOff>93103</xdr:rowOff>
    </xdr:to>
    <xdr:sp macro="[0]!Limpar_min_SU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200A684-089C-4AEB-9954-E3A5AA7D0136}"/>
            </a:ext>
          </a:extLst>
        </xdr:cNvPr>
        <xdr:cNvSpPr/>
      </xdr:nvSpPr>
      <xdr:spPr bwMode="auto">
        <a:xfrm>
          <a:off x="11699501" y="1806950"/>
          <a:ext cx="1296000" cy="2808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LIMPAR</a:t>
          </a:r>
        </a:p>
      </xdr:txBody>
    </xdr:sp>
    <xdr:clientData fPrintsWithSheet="0"/>
  </xdr:twoCellAnchor>
  <xdr:twoCellAnchor editAs="oneCell">
    <xdr:from>
      <xdr:col>13</xdr:col>
      <xdr:colOff>33617</xdr:colOff>
      <xdr:row>0</xdr:row>
      <xdr:rowOff>246531</xdr:rowOff>
    </xdr:from>
    <xdr:to>
      <xdr:col>14</xdr:col>
      <xdr:colOff>652794</xdr:colOff>
      <xdr:row>2</xdr:row>
      <xdr:rowOff>44824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40D590F-58FA-4FEF-B791-5700128DB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2029" y="246531"/>
          <a:ext cx="1459618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411256</xdr:colOff>
      <xdr:row>0</xdr:row>
      <xdr:rowOff>161737</xdr:rowOff>
    </xdr:from>
    <xdr:to>
      <xdr:col>16</xdr:col>
      <xdr:colOff>1307913</xdr:colOff>
      <xdr:row>1</xdr:row>
      <xdr:rowOff>246528</xdr:rowOff>
    </xdr:to>
    <xdr:sp macro="[0]!Voltar" textlink="">
      <xdr:nvSpPr>
        <xdr:cNvPr id="4" name="Seta: para a Esquerda 3">
          <a:extLst>
            <a:ext uri="{FF2B5EF4-FFF2-40B4-BE49-F238E27FC236}">
              <a16:creationId xmlns:a16="http://schemas.microsoft.com/office/drawing/2014/main" id="{FF0FE9DF-3633-4CE3-BD23-93DB6F84496E}"/>
            </a:ext>
          </a:extLst>
        </xdr:cNvPr>
        <xdr:cNvSpPr/>
      </xdr:nvSpPr>
      <xdr:spPr bwMode="auto">
        <a:xfrm>
          <a:off x="12191813" y="168087"/>
          <a:ext cx="896657" cy="481853"/>
        </a:xfrm>
        <a:prstGeom prst="leftArrow">
          <a:avLst>
            <a:gd name="adj1" fmla="val 50000"/>
            <a:gd name="adj2" fmla="val 60969"/>
          </a:avLst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/>
            <a:t>VOLTAR</a:t>
          </a:r>
        </a:p>
      </xdr:txBody>
    </xdr:sp>
    <xdr:clientData fPrintsWithSheet="0"/>
  </xdr:twoCellAnchor>
  <xdr:twoCellAnchor editAs="oneCell">
    <xdr:from>
      <xdr:col>13</xdr:col>
      <xdr:colOff>593911</xdr:colOff>
      <xdr:row>1</xdr:row>
      <xdr:rowOff>44823</xdr:rowOff>
    </xdr:from>
    <xdr:to>
      <xdr:col>15</xdr:col>
      <xdr:colOff>515472</xdr:colOff>
      <xdr:row>2</xdr:row>
      <xdr:rowOff>164046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FE48A60-68F1-49A6-A4B3-7EBE914A3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9058" y="448235"/>
          <a:ext cx="1512795" cy="522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1428750</xdr:colOff>
          <xdr:row>3</xdr:row>
          <xdr:rowOff>133350</xdr:rowOff>
        </xdr:from>
        <xdr:to>
          <xdr:col>16</xdr:col>
          <xdr:colOff>2590800</xdr:colOff>
          <xdr:row>5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1419225</xdr:colOff>
          <xdr:row>0</xdr:row>
          <xdr:rowOff>133350</xdr:rowOff>
        </xdr:from>
        <xdr:to>
          <xdr:col>16</xdr:col>
          <xdr:colOff>2581275</xdr:colOff>
          <xdr:row>1</xdr:row>
          <xdr:rowOff>238125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1428750</xdr:colOff>
          <xdr:row>1</xdr:row>
          <xdr:rowOff>323850</xdr:rowOff>
        </xdr:from>
        <xdr:to>
          <xdr:col>16</xdr:col>
          <xdr:colOff>2590800</xdr:colOff>
          <xdr:row>3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1428750</xdr:colOff>
          <xdr:row>5</xdr:row>
          <xdr:rowOff>209550</xdr:rowOff>
        </xdr:from>
        <xdr:to>
          <xdr:col>16</xdr:col>
          <xdr:colOff>2590800</xdr:colOff>
          <xdr:row>16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150160</xdr:colOff>
      <xdr:row>1</xdr:row>
      <xdr:rowOff>34738</xdr:rowOff>
    </xdr:from>
    <xdr:to>
      <xdr:col>16</xdr:col>
      <xdr:colOff>1266266</xdr:colOff>
      <xdr:row>1</xdr:row>
      <xdr:rowOff>324971</xdr:rowOff>
    </xdr:to>
    <xdr:sp macro="[0]!Gerar_minuta_Fadel" textlink="">
      <xdr:nvSpPr>
        <xdr:cNvPr id="3" name="Gerar: Cantos Arredondados 2">
          <a:extLst>
            <a:ext uri="{FF2B5EF4-FFF2-40B4-BE49-F238E27FC236}">
              <a16:creationId xmlns:a16="http://schemas.microsoft.com/office/drawing/2014/main" id="{B596F2F2-6BDF-4180-AC95-01B61D3C1B88}"/>
            </a:ext>
          </a:extLst>
        </xdr:cNvPr>
        <xdr:cNvSpPr/>
      </xdr:nvSpPr>
      <xdr:spPr bwMode="auto">
        <a:xfrm>
          <a:off x="11759454" y="628650"/>
          <a:ext cx="1116106" cy="290233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GERAR</a:t>
          </a:r>
        </a:p>
      </xdr:txBody>
    </xdr:sp>
    <xdr:clientData fPrintsWithSheet="0"/>
  </xdr:twoCellAnchor>
  <xdr:twoCellAnchor editAs="absolute">
    <xdr:from>
      <xdr:col>15</xdr:col>
      <xdr:colOff>217770</xdr:colOff>
      <xdr:row>0</xdr:row>
      <xdr:rowOff>179297</xdr:rowOff>
    </xdr:from>
    <xdr:to>
      <xdr:col>16</xdr:col>
      <xdr:colOff>316755</xdr:colOff>
      <xdr:row>0</xdr:row>
      <xdr:rowOff>515473</xdr:rowOff>
    </xdr:to>
    <xdr:sp macro="[0]!Voltar" textlink="">
      <xdr:nvSpPr>
        <xdr:cNvPr id="4" name="Seta: para a Esquerda 3">
          <a:extLst>
            <a:ext uri="{FF2B5EF4-FFF2-40B4-BE49-F238E27FC236}">
              <a16:creationId xmlns:a16="http://schemas.microsoft.com/office/drawing/2014/main" id="{EE258039-A624-44B8-94BD-9035257BEF72}"/>
            </a:ext>
          </a:extLst>
        </xdr:cNvPr>
        <xdr:cNvSpPr/>
      </xdr:nvSpPr>
      <xdr:spPr bwMode="auto">
        <a:xfrm>
          <a:off x="11138649" y="179297"/>
          <a:ext cx="781050" cy="336176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  <xdr:twoCellAnchor editAs="absolute">
    <xdr:from>
      <xdr:col>16</xdr:col>
      <xdr:colOff>150160</xdr:colOff>
      <xdr:row>2</xdr:row>
      <xdr:rowOff>27266</xdr:rowOff>
    </xdr:from>
    <xdr:to>
      <xdr:col>16</xdr:col>
      <xdr:colOff>1288305</xdr:colOff>
      <xdr:row>2</xdr:row>
      <xdr:rowOff>297703</xdr:rowOff>
    </xdr:to>
    <xdr:sp macro="[0]!Reexibir_FADE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46704-BD19-4228-87CE-0B6B634AE935}"/>
            </a:ext>
          </a:extLst>
        </xdr:cNvPr>
        <xdr:cNvSpPr/>
      </xdr:nvSpPr>
      <xdr:spPr bwMode="auto">
        <a:xfrm>
          <a:off x="11759454" y="1019734"/>
          <a:ext cx="1131795" cy="257737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REEXIBIR</a:t>
          </a:r>
        </a:p>
      </xdr:txBody>
    </xdr:sp>
    <xdr:clientData fPrintsWithSheet="0"/>
  </xdr:twoCellAnchor>
  <xdr:twoCellAnchor editAs="absolute">
    <xdr:from>
      <xdr:col>16</xdr:col>
      <xdr:colOff>150160</xdr:colOff>
      <xdr:row>3</xdr:row>
      <xdr:rowOff>0</xdr:rowOff>
    </xdr:from>
    <xdr:to>
      <xdr:col>16</xdr:col>
      <xdr:colOff>1288305</xdr:colOff>
      <xdr:row>3</xdr:row>
      <xdr:rowOff>257737</xdr:rowOff>
    </xdr:to>
    <xdr:sp macro="[0]!EXPORTA_COMF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AB1CAB3-37BA-4074-851E-00890B361E55}"/>
            </a:ext>
          </a:extLst>
        </xdr:cNvPr>
        <xdr:cNvSpPr/>
      </xdr:nvSpPr>
      <xdr:spPr bwMode="auto">
        <a:xfrm>
          <a:off x="11759454" y="1378324"/>
          <a:ext cx="1131795" cy="257737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>
              <a:solidFill>
                <a:schemeClr val="bg1"/>
              </a:solidFill>
              <a:latin typeface="Abadi" panose="020B0604020202020204" pitchFamily="34" charset="0"/>
              <a:cs typeface="Aharoni" panose="02010803020104030203" pitchFamily="2" charset="-79"/>
            </a:rPr>
            <a:t>EXPORTAR</a:t>
          </a:r>
        </a:p>
      </xdr:txBody>
    </xdr:sp>
    <xdr:clientData fPrintsWithSheet="0"/>
  </xdr:twoCellAnchor>
  <xdr:twoCellAnchor editAs="oneCell">
    <xdr:from>
      <xdr:col>13</xdr:col>
      <xdr:colOff>160828</xdr:colOff>
      <xdr:row>0</xdr:row>
      <xdr:rowOff>392206</xdr:rowOff>
    </xdr:from>
    <xdr:to>
      <xdr:col>15</xdr:col>
      <xdr:colOff>620150</xdr:colOff>
      <xdr:row>2</xdr:row>
      <xdr:rowOff>44823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D40E7BB-94E0-4CF9-B1F3-B0001D42D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8740" y="392206"/>
          <a:ext cx="1848851" cy="638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1154641</xdr:colOff>
      <xdr:row>4</xdr:row>
      <xdr:rowOff>133350</xdr:rowOff>
    </xdr:from>
    <xdr:to>
      <xdr:col>6</xdr:col>
      <xdr:colOff>505883</xdr:colOff>
      <xdr:row>6</xdr:row>
      <xdr:rowOff>95250</xdr:rowOff>
    </xdr:to>
    <xdr:sp macro="[0]!Voltar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BD1B3E1-DCD7-4B0F-81C3-A927F7E735CE}"/>
            </a:ext>
          </a:extLst>
        </xdr:cNvPr>
        <xdr:cNvSpPr/>
      </xdr:nvSpPr>
      <xdr:spPr bwMode="auto">
        <a:xfrm>
          <a:off x="8143875" y="838200"/>
          <a:ext cx="600075" cy="304800"/>
        </a:xfrm>
        <a:prstGeom prst="leftArrow">
          <a:avLst/>
        </a:prstGeom>
        <a:solidFill>
          <a:schemeClr val="accent2"/>
        </a:solidFill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000" b="1"/>
            <a:t>VOLTAR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57151</xdr:colOff>
      <xdr:row>1</xdr:row>
      <xdr:rowOff>266700</xdr:rowOff>
    </xdr:from>
    <xdr:to>
      <xdr:col>3</xdr:col>
      <xdr:colOff>541726</xdr:colOff>
      <xdr:row>3</xdr:row>
      <xdr:rowOff>114834</xdr:rowOff>
    </xdr:to>
    <xdr:sp macro="[0]!PUXAD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50638CA0-14A8-4B35-A84A-7546644142DB}"/>
            </a:ext>
          </a:extLst>
        </xdr:cNvPr>
        <xdr:cNvSpPr>
          <a:spLocks noChangeAspect="1"/>
        </xdr:cNvSpPr>
      </xdr:nvSpPr>
      <xdr:spPr bwMode="auto">
        <a:xfrm>
          <a:off x="438151" y="323850"/>
          <a:ext cx="1980000" cy="305334"/>
        </a:xfrm>
        <a:prstGeom prst="roundRect">
          <a:avLst/>
        </a:prstGeom>
        <a:ln>
          <a:headEnd type="none" w="med" len="med"/>
          <a:tailEnd type="none" w="med" len="med"/>
        </a:ln>
        <a:effectLst>
          <a:glow rad="25400">
            <a:schemeClr val="accent1">
              <a:satMod val="175000"/>
              <a:alpha val="50000"/>
            </a:schemeClr>
          </a:glow>
          <a:innerShdw blurRad="63500" dist="50800" dir="81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rightRoom" dir="t"/>
        </a:scene3d>
        <a:sp3d extrusionH="76200" prstMaterial="dkEdge"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PUXADA</a:t>
          </a:r>
        </a:p>
      </xdr:txBody>
    </xdr:sp>
    <xdr:clientData/>
  </xdr:twoCellAnchor>
  <xdr:twoCellAnchor editAs="absolute">
    <xdr:from>
      <xdr:col>1</xdr:col>
      <xdr:colOff>94195</xdr:colOff>
      <xdr:row>3</xdr:row>
      <xdr:rowOff>194775</xdr:rowOff>
    </xdr:from>
    <xdr:to>
      <xdr:col>3</xdr:col>
      <xdr:colOff>545523</xdr:colOff>
      <xdr:row>4</xdr:row>
      <xdr:rowOff>56758</xdr:rowOff>
    </xdr:to>
    <xdr:sp macro="[0]!RECONVAN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6464D460-6D87-44DC-B936-883E18530099}"/>
            </a:ext>
          </a:extLst>
        </xdr:cNvPr>
        <xdr:cNvSpPr>
          <a:spLocks noChangeAspect="1"/>
        </xdr:cNvSpPr>
      </xdr:nvSpPr>
      <xdr:spPr bwMode="auto">
        <a:xfrm>
          <a:off x="475195" y="714320"/>
          <a:ext cx="1940692" cy="303597"/>
        </a:xfrm>
        <a:prstGeom prst="roundRect">
          <a:avLst/>
        </a:prstGeom>
        <a:ln>
          <a:headEnd type="none" w="med" len="med"/>
          <a:tailEnd type="none" w="med" len="med"/>
        </a:ln>
        <a:effectLst>
          <a:glow rad="25400">
            <a:schemeClr val="accent1">
              <a:satMod val="175000"/>
              <a:alpha val="50000"/>
            </a:schemeClr>
          </a:glow>
          <a:innerShdw blurRad="63500" dist="50800" dir="81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rightRoom" dir="t"/>
        </a:scene3d>
        <a:sp3d extrusionH="76200" prstMaterial="dkEdge"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RECONVAN</a:t>
          </a:r>
        </a:p>
      </xdr:txBody>
    </xdr:sp>
    <xdr:clientData/>
  </xdr:twoCellAnchor>
  <xdr:twoCellAnchor editAs="absolute">
    <xdr:from>
      <xdr:col>1</xdr:col>
      <xdr:colOff>83128</xdr:colOff>
      <xdr:row>6</xdr:row>
      <xdr:rowOff>1732</xdr:rowOff>
    </xdr:from>
    <xdr:to>
      <xdr:col>3</xdr:col>
      <xdr:colOff>567703</xdr:colOff>
      <xdr:row>7</xdr:row>
      <xdr:rowOff>217877</xdr:rowOff>
    </xdr:to>
    <xdr:sp macro="[0]!VOLUME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C870385-8E5B-4B5D-B2BB-B7F7E0902105}"/>
            </a:ext>
          </a:extLst>
        </xdr:cNvPr>
        <xdr:cNvSpPr>
          <a:spLocks noChangeAspect="1"/>
        </xdr:cNvSpPr>
      </xdr:nvSpPr>
      <xdr:spPr bwMode="auto">
        <a:xfrm>
          <a:off x="464128" y="1487632"/>
          <a:ext cx="1973939" cy="306200"/>
        </a:xfrm>
        <a:prstGeom prst="roundRect">
          <a:avLst/>
        </a:prstGeom>
        <a:ln>
          <a:headEnd type="none" w="med" len="med"/>
          <a:tailEnd type="none" w="med" len="med"/>
        </a:ln>
        <a:effectLst>
          <a:glow rad="25400">
            <a:schemeClr val="accent1">
              <a:satMod val="175000"/>
              <a:alpha val="50000"/>
            </a:schemeClr>
          </a:glow>
          <a:innerShdw blurRad="63500" dist="50800" dir="81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brightRoom" dir="t"/>
        </a:scene3d>
        <a:sp3d extrusionH="76200" prstMaterial="dkEdge"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>
              <a:latin typeface="Berlin Sans FB Demi" panose="020E0802020502020306" pitchFamily="34" charset="0"/>
            </a:rPr>
            <a:t>CONSOLIDADO</a:t>
          </a:r>
        </a:p>
      </xdr:txBody>
    </xdr:sp>
    <xdr:clientData/>
  </xdr:twoCellAnchor>
  <xdr:twoCellAnchor editAs="absolute">
    <xdr:from>
      <xdr:col>4</xdr:col>
      <xdr:colOff>571500</xdr:colOff>
      <xdr:row>1</xdr:row>
      <xdr:rowOff>228600</xdr:rowOff>
    </xdr:from>
    <xdr:to>
      <xdr:col>9</xdr:col>
      <xdr:colOff>434025</xdr:colOff>
      <xdr:row>3</xdr:row>
      <xdr:rowOff>84507</xdr:rowOff>
    </xdr:to>
    <xdr:sp macro="[0]!ATALHOS.Fade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63EFCBA6-14CF-4128-8E3D-2B951B75F376}"/>
            </a:ext>
          </a:extLst>
        </xdr:cNvPr>
        <xdr:cNvSpPr>
          <a:spLocks noChangeAspect="1"/>
        </xdr:cNvSpPr>
      </xdr:nvSpPr>
      <xdr:spPr bwMode="auto">
        <a:xfrm>
          <a:off x="3114675" y="285750"/>
          <a:ext cx="2520000" cy="31310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FADEL</a:t>
          </a:r>
        </a:p>
      </xdr:txBody>
    </xdr:sp>
    <xdr:clientData/>
  </xdr:twoCellAnchor>
  <xdr:twoCellAnchor editAs="absolute">
    <xdr:from>
      <xdr:col>4</xdr:col>
      <xdr:colOff>571499</xdr:colOff>
      <xdr:row>4</xdr:row>
      <xdr:rowOff>76200</xdr:rowOff>
    </xdr:from>
    <xdr:to>
      <xdr:col>10</xdr:col>
      <xdr:colOff>6892</xdr:colOff>
      <xdr:row>5</xdr:row>
      <xdr:rowOff>303675</xdr:rowOff>
    </xdr:to>
    <xdr:sp macro="[0]!ATALHOS.Ponta_Gross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A5021066-EEA8-45CE-848B-7274F0198CA8}"/>
            </a:ext>
          </a:extLst>
        </xdr:cNvPr>
        <xdr:cNvSpPr>
          <a:spLocks noChangeAspect="1"/>
        </xdr:cNvSpPr>
      </xdr:nvSpPr>
      <xdr:spPr bwMode="auto">
        <a:xfrm>
          <a:off x="3114674" y="1028700"/>
          <a:ext cx="2550068" cy="3132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PONTA GROSSA</a:t>
          </a:r>
        </a:p>
      </xdr:txBody>
    </xdr:sp>
    <xdr:clientData/>
  </xdr:twoCellAnchor>
  <xdr:twoCellAnchor editAs="absolute">
    <xdr:from>
      <xdr:col>4</xdr:col>
      <xdr:colOff>581024</xdr:colOff>
      <xdr:row>7</xdr:row>
      <xdr:rowOff>209552</xdr:rowOff>
    </xdr:from>
    <xdr:to>
      <xdr:col>9</xdr:col>
      <xdr:colOff>443549</xdr:colOff>
      <xdr:row>9</xdr:row>
      <xdr:rowOff>1</xdr:rowOff>
    </xdr:to>
    <xdr:sp macro="[0]!ATALHOS.GUARAPUAVA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75581650-6232-48EE-90BC-715A76E6DBB8}"/>
            </a:ext>
          </a:extLst>
        </xdr:cNvPr>
        <xdr:cNvSpPr>
          <a:spLocks noChangeAspect="1"/>
        </xdr:cNvSpPr>
      </xdr:nvSpPr>
      <xdr:spPr bwMode="auto">
        <a:xfrm>
          <a:off x="3124199" y="1771652"/>
          <a:ext cx="2520000" cy="31432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GUARAPUAVA</a:t>
          </a:r>
        </a:p>
      </xdr:txBody>
    </xdr:sp>
    <xdr:clientData/>
  </xdr:twoCellAnchor>
  <xdr:twoCellAnchor editAs="absolute">
    <xdr:from>
      <xdr:col>11</xdr:col>
      <xdr:colOff>161925</xdr:colOff>
      <xdr:row>1</xdr:row>
      <xdr:rowOff>209551</xdr:rowOff>
    </xdr:from>
    <xdr:to>
      <xdr:col>13</xdr:col>
      <xdr:colOff>95250</xdr:colOff>
      <xdr:row>3</xdr:row>
      <xdr:rowOff>66675</xdr:rowOff>
    </xdr:to>
    <xdr:sp macro="[0]!CHECK_LIST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3725A1CE-4521-434C-95E3-7E36C0C2ACCB}"/>
            </a:ext>
          </a:extLst>
        </xdr:cNvPr>
        <xdr:cNvSpPr>
          <a:spLocks noChangeAspect="1"/>
        </xdr:cNvSpPr>
      </xdr:nvSpPr>
      <xdr:spPr bwMode="auto">
        <a:xfrm>
          <a:off x="6076950" y="266701"/>
          <a:ext cx="1733550" cy="31432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CHECK</a:t>
          </a:r>
          <a:r>
            <a:rPr lang="pt-BR" sz="1600" baseline="0">
              <a:latin typeface="Berlin Sans FB Demi" panose="020E0802020502020306" pitchFamily="34" charset="0"/>
            </a:rPr>
            <a:t> LIST</a:t>
          </a:r>
          <a:endParaRPr lang="pt-BR" sz="1600">
            <a:latin typeface="Berlin Sans FB Demi" panose="020E0802020502020306" pitchFamily="34" charset="0"/>
          </a:endParaRPr>
        </a:p>
      </xdr:txBody>
    </xdr:sp>
    <xdr:clientData/>
  </xdr:twoCellAnchor>
  <xdr:twoCellAnchor editAs="absolute">
    <xdr:from>
      <xdr:col>4</xdr:col>
      <xdr:colOff>571499</xdr:colOff>
      <xdr:row>5</xdr:row>
      <xdr:rowOff>361952</xdr:rowOff>
    </xdr:from>
    <xdr:to>
      <xdr:col>9</xdr:col>
      <xdr:colOff>434024</xdr:colOff>
      <xdr:row>7</xdr:row>
      <xdr:rowOff>152401</xdr:rowOff>
    </xdr:to>
    <xdr:sp macro="[0]!ATALHOS.Litoral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544425B-7D72-434C-9C12-D4E7DDB9BE2D}"/>
            </a:ext>
          </a:extLst>
        </xdr:cNvPr>
        <xdr:cNvSpPr>
          <a:spLocks noChangeAspect="1"/>
        </xdr:cNvSpPr>
      </xdr:nvSpPr>
      <xdr:spPr bwMode="auto">
        <a:xfrm>
          <a:off x="3114674" y="1400177"/>
          <a:ext cx="2520000" cy="31432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LITORAL</a:t>
          </a:r>
        </a:p>
      </xdr:txBody>
    </xdr:sp>
    <xdr:clientData/>
  </xdr:twoCellAnchor>
  <xdr:twoCellAnchor editAs="absolute">
    <xdr:from>
      <xdr:col>11</xdr:col>
      <xdr:colOff>161926</xdr:colOff>
      <xdr:row>3</xdr:row>
      <xdr:rowOff>114301</xdr:rowOff>
    </xdr:from>
    <xdr:to>
      <xdr:col>13</xdr:col>
      <xdr:colOff>95251</xdr:colOff>
      <xdr:row>3</xdr:row>
      <xdr:rowOff>428625</xdr:rowOff>
    </xdr:to>
    <xdr:sp macro="[0]!IMPRESSÃO_168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22F800BD-9405-43BD-A9DF-ED9F9E20D2B1}"/>
            </a:ext>
          </a:extLst>
        </xdr:cNvPr>
        <xdr:cNvSpPr>
          <a:spLocks noChangeAspect="1"/>
        </xdr:cNvSpPr>
      </xdr:nvSpPr>
      <xdr:spPr bwMode="auto">
        <a:xfrm>
          <a:off x="6076951" y="628651"/>
          <a:ext cx="1733550" cy="31432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IMPRESSÃO</a:t>
          </a:r>
        </a:p>
      </xdr:txBody>
    </xdr:sp>
    <xdr:clientData/>
  </xdr:twoCellAnchor>
  <xdr:twoCellAnchor editAs="absolute">
    <xdr:from>
      <xdr:col>11</xdr:col>
      <xdr:colOff>180976</xdr:colOff>
      <xdr:row>4</xdr:row>
      <xdr:rowOff>47626</xdr:rowOff>
    </xdr:from>
    <xdr:to>
      <xdr:col>13</xdr:col>
      <xdr:colOff>114301</xdr:colOff>
      <xdr:row>5</xdr:row>
      <xdr:rowOff>276225</xdr:rowOff>
    </xdr:to>
    <xdr:sp macro="[0]!FILL_RATE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1287FBB-C9FE-4B10-9A6B-4CE8C65192A0}"/>
            </a:ext>
          </a:extLst>
        </xdr:cNvPr>
        <xdr:cNvSpPr>
          <a:spLocks noChangeAspect="1"/>
        </xdr:cNvSpPr>
      </xdr:nvSpPr>
      <xdr:spPr bwMode="auto">
        <a:xfrm>
          <a:off x="6096001" y="1000126"/>
          <a:ext cx="1733550" cy="31432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FILL RATE</a:t>
          </a:r>
        </a:p>
      </xdr:txBody>
    </xdr:sp>
    <xdr:clientData/>
  </xdr:twoCellAnchor>
  <xdr:twoCellAnchor editAs="absolute">
    <xdr:from>
      <xdr:col>1</xdr:col>
      <xdr:colOff>57151</xdr:colOff>
      <xdr:row>7</xdr:row>
      <xdr:rowOff>284887</xdr:rowOff>
    </xdr:from>
    <xdr:to>
      <xdr:col>3</xdr:col>
      <xdr:colOff>542926</xdr:colOff>
      <xdr:row>9</xdr:row>
      <xdr:rowOff>75336</xdr:rowOff>
    </xdr:to>
    <xdr:sp macro="[0]!ENVIAR_CONSOLIDAD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0994BFB-7596-4F75-BDE9-7E2D2FF8BD8C}"/>
            </a:ext>
          </a:extLst>
        </xdr:cNvPr>
        <xdr:cNvSpPr>
          <a:spLocks noChangeAspect="1"/>
        </xdr:cNvSpPr>
      </xdr:nvSpPr>
      <xdr:spPr bwMode="auto">
        <a:xfrm>
          <a:off x="438151" y="1860842"/>
          <a:ext cx="1975139" cy="318653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100000">
              <a:srgbClr val="FFC000"/>
            </a:gs>
          </a:gsLst>
        </a:gradFill>
        <a:ln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ENVIAR</a:t>
          </a:r>
        </a:p>
      </xdr:txBody>
    </xdr:sp>
    <xdr:clientData/>
  </xdr:twoCellAnchor>
  <xdr:twoCellAnchor editAs="absolute">
    <xdr:from>
      <xdr:col>1</xdr:col>
      <xdr:colOff>57150</xdr:colOff>
      <xdr:row>5</xdr:row>
      <xdr:rowOff>41565</xdr:rowOff>
    </xdr:from>
    <xdr:to>
      <xdr:col>3</xdr:col>
      <xdr:colOff>542925</xdr:colOff>
      <xdr:row>5</xdr:row>
      <xdr:rowOff>355889</xdr:rowOff>
    </xdr:to>
    <xdr:sp macro="[0]!Preparar_Reconvan_e_puxad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55D0FD96-A667-4796-97CC-476AA9A028DF}"/>
            </a:ext>
          </a:extLst>
        </xdr:cNvPr>
        <xdr:cNvSpPr>
          <a:spLocks noChangeAspect="1"/>
        </xdr:cNvSpPr>
      </xdr:nvSpPr>
      <xdr:spPr bwMode="auto">
        <a:xfrm>
          <a:off x="438150" y="1089315"/>
          <a:ext cx="1975139" cy="314324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100000">
              <a:srgbClr val="FFC000"/>
            </a:gs>
          </a:gsLst>
        </a:gradFill>
        <a:ln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PREPARAR</a:t>
          </a:r>
        </a:p>
      </xdr:txBody>
    </xdr:sp>
    <xdr:clientData/>
  </xdr:twoCellAnchor>
  <xdr:twoCellAnchor editAs="absolute">
    <xdr:from>
      <xdr:col>1</xdr:col>
      <xdr:colOff>15586</xdr:colOff>
      <xdr:row>9</xdr:row>
      <xdr:rowOff>316925</xdr:rowOff>
    </xdr:from>
    <xdr:to>
      <xdr:col>3</xdr:col>
      <xdr:colOff>640773</xdr:colOff>
      <xdr:row>11</xdr:row>
      <xdr:rowOff>107374</xdr:rowOff>
    </xdr:to>
    <xdr:sp macro="[0]!Cadastrar_local_de_arquivo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3ACA3C65-E576-45F1-9069-FC0CC23DF089}"/>
            </a:ext>
          </a:extLst>
        </xdr:cNvPr>
        <xdr:cNvSpPr>
          <a:spLocks noChangeAspect="1"/>
        </xdr:cNvSpPr>
      </xdr:nvSpPr>
      <xdr:spPr bwMode="auto">
        <a:xfrm>
          <a:off x="396586" y="2421084"/>
          <a:ext cx="2114551" cy="318654"/>
        </a:xfrm>
        <a:prstGeom prst="roundRect">
          <a:avLst/>
        </a:prstGeom>
        <a:gradFill>
          <a:gsLst>
            <a:gs pos="0">
              <a:schemeClr val="tx1">
                <a:lumMod val="85000"/>
                <a:lumOff val="15000"/>
              </a:schemeClr>
            </a:gs>
            <a:gs pos="100000">
              <a:schemeClr val="tx1"/>
            </a:gs>
          </a:gsLst>
          <a:lin ang="5400000" scaled="1"/>
        </a:gradFill>
        <a:ln>
          <a:headEnd type="none" w="med" len="med"/>
          <a:tailEnd type="none" w="med" len="med"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900">
              <a:latin typeface="Berlin Sans FB Demi" panose="020E0802020502020306" pitchFamily="34" charset="0"/>
            </a:rPr>
            <a:t>CADASTRAR LOCAL</a:t>
          </a:r>
          <a:r>
            <a:rPr lang="pt-BR" sz="900" baseline="0">
              <a:latin typeface="Berlin Sans FB Demi" panose="020E0802020502020306" pitchFamily="34" charset="0"/>
            </a:rPr>
            <a:t> DOS ARQUIVOS</a:t>
          </a:r>
        </a:p>
      </xdr:txBody>
    </xdr:sp>
    <xdr:clientData/>
  </xdr:twoCellAnchor>
  <xdr:twoCellAnchor editAs="absolute">
    <xdr:from>
      <xdr:col>4</xdr:col>
      <xdr:colOff>581023</xdr:colOff>
      <xdr:row>9</xdr:row>
      <xdr:rowOff>428627</xdr:rowOff>
    </xdr:from>
    <xdr:to>
      <xdr:col>9</xdr:col>
      <xdr:colOff>443548</xdr:colOff>
      <xdr:row>12</xdr:row>
      <xdr:rowOff>57826</xdr:rowOff>
    </xdr:to>
    <xdr:sp macro="[0]!SEDE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35F7F7D-4480-4E8B-8117-3685085A785F}"/>
            </a:ext>
          </a:extLst>
        </xdr:cNvPr>
        <xdr:cNvSpPr>
          <a:spLocks noChangeAspect="1"/>
        </xdr:cNvSpPr>
      </xdr:nvSpPr>
      <xdr:spPr bwMode="auto">
        <a:xfrm>
          <a:off x="3124198" y="2514602"/>
          <a:ext cx="2520000" cy="31499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SEDE</a:t>
          </a:r>
        </a:p>
      </xdr:txBody>
    </xdr:sp>
    <xdr:clientData/>
  </xdr:twoCellAnchor>
  <xdr:twoCellAnchor editAs="absolute">
    <xdr:from>
      <xdr:col>4</xdr:col>
      <xdr:colOff>581025</xdr:colOff>
      <xdr:row>3</xdr:row>
      <xdr:rowOff>142875</xdr:rowOff>
    </xdr:from>
    <xdr:to>
      <xdr:col>9</xdr:col>
      <xdr:colOff>443550</xdr:colOff>
      <xdr:row>4</xdr:row>
      <xdr:rowOff>17832</xdr:rowOff>
    </xdr:to>
    <xdr:sp macro="[0]!ATALHOS.CM_Transporte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A8284D1E-4BAA-418B-AF1D-28C3B879329E}"/>
            </a:ext>
          </a:extLst>
        </xdr:cNvPr>
        <xdr:cNvSpPr>
          <a:spLocks noChangeAspect="1"/>
        </xdr:cNvSpPr>
      </xdr:nvSpPr>
      <xdr:spPr bwMode="auto">
        <a:xfrm>
          <a:off x="3124200" y="657225"/>
          <a:ext cx="2520000" cy="31310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CM</a:t>
          </a:r>
          <a:r>
            <a:rPr lang="pt-BR" sz="1600" baseline="0">
              <a:latin typeface="Berlin Sans FB Demi" panose="020E0802020502020306" pitchFamily="34" charset="0"/>
            </a:rPr>
            <a:t> TRANSPORTES</a:t>
          </a:r>
          <a:endParaRPr lang="pt-BR" sz="1600">
            <a:latin typeface="Berlin Sans FB Demi" panose="020E0802020502020306" pitchFamily="34" charset="0"/>
          </a:endParaRPr>
        </a:p>
      </xdr:txBody>
    </xdr:sp>
    <xdr:clientData/>
  </xdr:twoCellAnchor>
  <xdr:twoCellAnchor editAs="absolute">
    <xdr:from>
      <xdr:col>4</xdr:col>
      <xdr:colOff>581023</xdr:colOff>
      <xdr:row>9</xdr:row>
      <xdr:rowOff>57152</xdr:rowOff>
    </xdr:from>
    <xdr:to>
      <xdr:col>9</xdr:col>
      <xdr:colOff>443548</xdr:colOff>
      <xdr:row>9</xdr:row>
      <xdr:rowOff>370962</xdr:rowOff>
    </xdr:to>
    <xdr:sp macro="[0]!ATALHOS.SUDOES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96CFF2-A536-41BF-80FB-1D257320F2BC}"/>
            </a:ext>
          </a:extLst>
        </xdr:cNvPr>
        <xdr:cNvSpPr>
          <a:spLocks noChangeAspect="1"/>
        </xdr:cNvSpPr>
      </xdr:nvSpPr>
      <xdr:spPr bwMode="auto">
        <a:xfrm>
          <a:off x="3124198" y="2143127"/>
          <a:ext cx="2520000" cy="31381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600">
              <a:latin typeface="Berlin Sans FB Demi" panose="020E0802020502020306" pitchFamily="34" charset="0"/>
            </a:rPr>
            <a:t>SUDOESTE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0</xdr:row>
      <xdr:rowOff>47625</xdr:rowOff>
    </xdr:from>
    <xdr:to>
      <xdr:col>5</xdr:col>
      <xdr:colOff>152400</xdr:colOff>
      <xdr:row>2</xdr:row>
      <xdr:rowOff>1681</xdr:rowOff>
    </xdr:to>
    <xdr:sp macro="[0]!Voltar" textlink="">
      <xdr:nvSpPr>
        <xdr:cNvPr id="2" name="Seta: para a Esquerda 1">
          <a:extLst>
            <a:ext uri="{FF2B5EF4-FFF2-40B4-BE49-F238E27FC236}">
              <a16:creationId xmlns:a16="http://schemas.microsoft.com/office/drawing/2014/main" id="{C0845FA7-D5C8-4308-AB11-3D7D7359DA25}"/>
            </a:ext>
          </a:extLst>
        </xdr:cNvPr>
        <xdr:cNvSpPr/>
      </xdr:nvSpPr>
      <xdr:spPr bwMode="auto">
        <a:xfrm>
          <a:off x="3400425" y="47625"/>
          <a:ext cx="666750" cy="306481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10753725" y="266700"/>
    <xdr:ext cx="781050" cy="285750"/>
    <xdr:sp macro="[0]!Voltar" textlink="">
      <xdr:nvSpPr>
        <xdr:cNvPr id="2" name="Seta: para a Esquerda 1">
          <a:extLst>
            <a:ext uri="{FF2B5EF4-FFF2-40B4-BE49-F238E27FC236}">
              <a16:creationId xmlns:a16="http://schemas.microsoft.com/office/drawing/2014/main" id="{DFD5C7C7-B286-4C3D-A398-6F523883154C}"/>
            </a:ext>
          </a:extLst>
        </xdr:cNvPr>
        <xdr:cNvSpPr/>
      </xdr:nvSpPr>
      <xdr:spPr bwMode="auto">
        <a:xfrm>
          <a:off x="10753725" y="266700"/>
          <a:ext cx="781050" cy="285750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pt-BR" sz="1100" b="1"/>
            <a:t>VOLTAR</a:t>
          </a:r>
        </a:p>
      </xdr:txBody>
    </xdr:sp>
    <xdr:clientData fPrintsWithSheet="0"/>
  </xdr:absoluteAnchor>
  <xdr:twoCellAnchor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Copia_impressão_TPE" textlink="">
      <xdr:nvSpPr>
        <xdr:cNvPr id="5" name="Retângulo 4">
          <a:extLst>
            <a:ext uri="{FF2B5EF4-FFF2-40B4-BE49-F238E27FC236}">
              <a16:creationId xmlns:a16="http://schemas.microsoft.com/office/drawing/2014/main" id="{EE919F14-F52F-4EF9-A7FB-80F7F518EAD7}"/>
            </a:ext>
          </a:extLst>
        </xdr:cNvPr>
        <xdr:cNvSpPr/>
      </xdr:nvSpPr>
      <xdr:spPr bwMode="auto">
        <a:xfrm>
          <a:off x="1171575" y="0"/>
          <a:ext cx="600075" cy="295275"/>
        </a:xfrm>
        <a:prstGeom prst="rect">
          <a:avLst/>
        </a:prstGeom>
        <a:solidFill>
          <a:schemeClr val="bg1">
            <a:lumMod val="85000"/>
          </a:scheme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tx1"/>
              </a:solidFill>
            </a:rPr>
            <a:t>Carro </a:t>
          </a:r>
        </a:p>
        <a:p>
          <a:pPr algn="ctr"/>
          <a:r>
            <a:rPr lang="pt-BR" sz="1100">
              <a:solidFill>
                <a:schemeClr val="tx1"/>
              </a:solidFill>
            </a:rPr>
            <a:t>Sales Force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0</xdr:row>
      <xdr:rowOff>571500</xdr:rowOff>
    </xdr:to>
    <xdr:sp macro="[0]!Copia_impressão_Transmit" textlink="">
      <xdr:nvSpPr>
        <xdr:cNvPr id="6" name="Retângulo 5">
          <a:extLst>
            <a:ext uri="{FF2B5EF4-FFF2-40B4-BE49-F238E27FC236}">
              <a16:creationId xmlns:a16="http://schemas.microsoft.com/office/drawing/2014/main" id="{5BF4BEA7-6F7B-47C0-88C8-C7B4736BD287}"/>
            </a:ext>
          </a:extLst>
        </xdr:cNvPr>
        <xdr:cNvSpPr/>
      </xdr:nvSpPr>
      <xdr:spPr bwMode="auto">
        <a:xfrm>
          <a:off x="5143500" y="0"/>
          <a:ext cx="704850" cy="571500"/>
        </a:xfrm>
        <a:prstGeom prst="rect">
          <a:avLst/>
        </a:prstGeom>
        <a:solidFill>
          <a:schemeClr val="bg1">
            <a:lumMod val="85000"/>
          </a:scheme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tx1"/>
              </a:solidFill>
            </a:rPr>
            <a:t>Carro </a:t>
          </a:r>
        </a:p>
        <a:p>
          <a:pPr algn="ctr"/>
          <a:r>
            <a:rPr lang="pt-BR" sz="1100">
              <a:solidFill>
                <a:schemeClr val="tx1"/>
              </a:solidFill>
            </a:rPr>
            <a:t>Sales Force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Copia_impressão_Fadel" textlink="">
      <xdr:nvSpPr>
        <xdr:cNvPr id="7" name="Retângulo 6">
          <a:extLst>
            <a:ext uri="{FF2B5EF4-FFF2-40B4-BE49-F238E27FC236}">
              <a16:creationId xmlns:a16="http://schemas.microsoft.com/office/drawing/2014/main" id="{46DA0F31-2BA7-4DCD-9BB7-35208DA5F9BB}"/>
            </a:ext>
          </a:extLst>
        </xdr:cNvPr>
        <xdr:cNvSpPr/>
      </xdr:nvSpPr>
      <xdr:spPr bwMode="auto">
        <a:xfrm>
          <a:off x="7439025" y="0"/>
          <a:ext cx="704850" cy="571500"/>
        </a:xfrm>
        <a:prstGeom prst="rect">
          <a:avLst/>
        </a:prstGeom>
        <a:solidFill>
          <a:schemeClr val="bg1">
            <a:lumMod val="85000"/>
          </a:schemeClr>
        </a:solidFill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tx1"/>
              </a:solidFill>
            </a:rPr>
            <a:t>Carro </a:t>
          </a:r>
        </a:p>
        <a:p>
          <a:pPr algn="ctr"/>
          <a:r>
            <a:rPr lang="pt-BR" sz="1100">
              <a:solidFill>
                <a:schemeClr val="tx1"/>
              </a:solidFill>
            </a:rPr>
            <a:t>Sales Force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0</xdr:colOff>
      <xdr:row>0</xdr:row>
      <xdr:rowOff>571500</xdr:rowOff>
    </xdr:to>
    <xdr:sp macro="[0]!Copia_impressão_CM" textlink="">
      <xdr:nvSpPr>
        <xdr:cNvPr id="8" name="Retângulo 7">
          <a:extLst>
            <a:ext uri="{FF2B5EF4-FFF2-40B4-BE49-F238E27FC236}">
              <a16:creationId xmlns:a16="http://schemas.microsoft.com/office/drawing/2014/main" id="{D752D7F8-5381-4554-A161-2BD9F8EAB4A7}"/>
            </a:ext>
          </a:extLst>
        </xdr:cNvPr>
        <xdr:cNvSpPr/>
      </xdr:nvSpPr>
      <xdr:spPr bwMode="auto">
        <a:xfrm>
          <a:off x="3800475" y="0"/>
          <a:ext cx="600075" cy="295275"/>
        </a:xfrm>
        <a:prstGeom prst="rect">
          <a:avLst/>
        </a:prstGeom>
        <a:solidFill>
          <a:schemeClr val="bg1">
            <a:lumMod val="85000"/>
          </a:schemeClr>
        </a:solidFill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tx1"/>
              </a:solidFill>
            </a:rPr>
            <a:t>Carro </a:t>
          </a:r>
        </a:p>
        <a:p>
          <a:pPr algn="ctr"/>
          <a:r>
            <a:rPr lang="pt-BR" sz="1100">
              <a:solidFill>
                <a:schemeClr val="tx1"/>
              </a:solidFill>
            </a:rPr>
            <a:t>Sales Force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fvallim/Desktop/Desktop/Fabricio/Clientes/Souza%20Cruz/02%20Pedidos%202018/10%20Outubro%202018/POS%20Fabrica/01%20Nayara%20Mota%20-%20F&#225;brica%20UDI%20-%20Vers&#227;o%20nova%20Template%20Indirect%20and%20Service.xlsx" TargetMode="External"/><Relationship Id="rId1" Type="http://schemas.openxmlformats.org/officeDocument/2006/relationships/externalLinkPath" Target="/Users/fvallim/Desktop/Desktop/Fabricio/Clientes/Souza%20Cruz/02%20Pedidos%202018/10%20Outubro%202018/POS%20Fabrica/01%20Nayara%20Mota%20-%20F&#225;brica%20UDI%20-%20Vers&#227;o%20nova%20Template%20Indirect%20and%20Serv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Dicas de preenchimento"/>
      <sheetName val="Template PO Indirects"/>
      <sheetName val="Sheet1"/>
      <sheetName val="Sheet3"/>
    </sheetNames>
    <sheetDataSet>
      <sheetData sheetId="0" refreshError="1"/>
      <sheetData sheetId="1"/>
      <sheetData sheetId="2" refreshError="1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erson Barrozo Di Renzo" refreshedDate="46232.868104629626" createdVersion="8" refreshedVersion="8" minRefreshableVersion="3" recordCount="80" xr:uid="{D7C48CAA-4AD3-48CB-8F2F-592818EC8F67}">
  <cacheSource type="worksheet">
    <worksheetSource ref="A1:J1048576" sheet="BR'S"/>
  </cacheSource>
  <cacheFields count="10">
    <cacheField name="4 DIG" numFmtId="0">
      <sharedItems containsString="0" containsBlank="1" containsNumber="1" containsInteger="1" minValue="1086" maxValue="9207"/>
    </cacheField>
    <cacheField name="C470" numFmtId="0">
      <sharedItems containsBlank="1"/>
    </cacheField>
    <cacheField name="BR" numFmtId="0">
      <sharedItems containsBlank="1"/>
    </cacheField>
    <cacheField name="TIPO" numFmtId="0">
      <sharedItems containsBlank="1" count="11">
        <s v="LITORAL"/>
        <s v="PONTA GROSSA"/>
        <s v="SEDE"/>
        <s v="GUARAPUAVA"/>
        <s v="SUDOESTE"/>
        <s v="CM TRANS - SPOT - VAN"/>
        <s v="FADEL - FIXO - FIORINO"/>
        <s v="FADEL - FIXO - VAN"/>
        <s v="FADEL - SPOT - FIORINO"/>
        <m/>
        <s v="TRANSMIT - SPOT - FIORINO" u="1"/>
      </sharedItems>
    </cacheField>
    <cacheField name="4 DIG2" numFmtId="0">
      <sharedItems containsString="0" containsBlank="1" containsNumber="1" containsInteger="1" minValue="1086" maxValue="9207"/>
    </cacheField>
    <cacheField name="CPF" numFmtId="0">
      <sharedItems containsString="0" containsBlank="1" containsNumber="1" containsInteger="1" minValue="90070588" maxValue="90081705"/>
    </cacheField>
    <cacheField name="CE + BR" numFmtId="0">
      <sharedItems containsBlank="1"/>
    </cacheField>
    <cacheField name="Modalidade" numFmtId="0">
      <sharedItems containsBlank="1"/>
    </cacheField>
    <cacheField name="Carro" numFmtId="0">
      <sharedItems containsBlank="1"/>
    </cacheField>
    <cacheField name="Capacidade" numFmtId="0">
      <sharedItems containsBlank="1" containsMixedTypes="1" containsNumber="1" containsInteger="1" minValue="250" maxValue="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4072"/>
    <s v="BR442236"/>
    <s v="BR0442236"/>
    <x v="0"/>
    <n v="4072"/>
    <n v="90081693"/>
    <s v="C470976 - BR0442236"/>
    <s v="TPE"/>
    <s v="-"/>
    <s v="-"/>
  </r>
  <r>
    <n v="4073"/>
    <s v="BR442237"/>
    <s v="BR0442237"/>
    <x v="0"/>
    <n v="4073"/>
    <n v="90081688"/>
    <s v="C470980 - BR0442237"/>
    <s v="TPE"/>
    <s v="-"/>
    <s v="-"/>
  </r>
  <r>
    <n v="4781"/>
    <s v="BR442243"/>
    <s v="BR0442243"/>
    <x v="0"/>
    <n v="4781"/>
    <n v="90081670"/>
    <s v="C470999 - BR0442243"/>
    <s v="TPE"/>
    <s v="-"/>
    <s v="-"/>
  </r>
  <r>
    <n v="7024"/>
    <s v="BR347315"/>
    <s v="BR0347315"/>
    <x v="0"/>
    <n v="7024"/>
    <n v="90078194"/>
    <s v="BR347315 - BR0347315"/>
    <s v="TPE"/>
    <s v="-"/>
    <s v="-"/>
  </r>
  <r>
    <n v="7025"/>
    <s v="BR347316"/>
    <s v="BR0347316"/>
    <x v="0"/>
    <n v="7025"/>
    <n v="90078200"/>
    <s v="BR347316 - BR0347316"/>
    <s v="TPE"/>
    <m/>
    <m/>
  </r>
  <r>
    <n v="9058"/>
    <s v="BR348596"/>
    <s v="BR0348596"/>
    <x v="0"/>
    <n v="9058"/>
    <n v="90078157"/>
    <s v="BR348596 - BR0348596"/>
    <s v="TPE"/>
    <s v="-"/>
    <s v="-"/>
  </r>
  <r>
    <n v="4065"/>
    <s v="BR442232"/>
    <s v="BR0442232"/>
    <x v="1"/>
    <n v="4065"/>
    <n v="90081705"/>
    <s v="C470909 - BR0442232"/>
    <s v="TPE"/>
    <s v="-"/>
    <s v="-"/>
  </r>
  <r>
    <n v="4780"/>
    <s v="BR442242"/>
    <s v="BR0442242"/>
    <x v="1"/>
    <n v="4780"/>
    <n v="90081667"/>
    <s v="C470958 - BR0442242"/>
    <s v="TPE"/>
    <s v="-"/>
    <s v="-"/>
  </r>
  <r>
    <n v="4254"/>
    <s v="BR442240"/>
    <s v="BR0442240"/>
    <x v="1"/>
    <n v="4254"/>
    <n v="90081685"/>
    <s v="C470977 - BR0442240"/>
    <s v="TPE"/>
    <s v="-"/>
    <s v="-"/>
  </r>
  <r>
    <n v="7001"/>
    <s v="BR442251"/>
    <s v="BR0442251"/>
    <x v="1"/>
    <n v="7001"/>
    <n v="90081595"/>
    <s v="C470801 - BR0442251"/>
    <s v="TPE"/>
    <s v="-"/>
    <s v="-"/>
  </r>
  <r>
    <n v="7002"/>
    <s v="BR442252"/>
    <s v="BR0442252"/>
    <x v="2"/>
    <n v="7002"/>
    <n v="90081652"/>
    <s v="C470802 - BR0442252"/>
    <s v="TPE"/>
    <s v="-"/>
    <s v="-"/>
  </r>
  <r>
    <n v="6290"/>
    <s v="BR442245"/>
    <s v="BR0442245"/>
    <x v="3"/>
    <n v="6290"/>
    <n v="90081641"/>
    <s v="C470759 - BR0442245"/>
    <s v="TPE"/>
    <s v="-"/>
    <s v="-"/>
  </r>
  <r>
    <n v="6291"/>
    <s v="BR442246"/>
    <s v="BR0442246"/>
    <x v="4"/>
    <n v="6291"/>
    <n v="90081558"/>
    <s v="C470760 - BR0442246"/>
    <s v="TPE"/>
    <s v="-"/>
    <s v="-"/>
  </r>
  <r>
    <n v="7003"/>
    <s v="BR442702"/>
    <s v="BR0442702"/>
    <x v="4"/>
    <n v="7003"/>
    <n v="90081564"/>
    <s v="C470803 - BR0442702"/>
    <s v="TPE"/>
    <s v="-"/>
    <s v="-"/>
  </r>
  <r>
    <n v="4063"/>
    <s v="BR442230"/>
    <s v="BR0442230"/>
    <x v="4"/>
    <n v="4063"/>
    <n v="90081594"/>
    <s v="C470907 - BR0442230"/>
    <s v="TPE"/>
    <s v="-"/>
    <s v="-"/>
  </r>
  <r>
    <n v="4064"/>
    <s v="BR442231"/>
    <s v="BR0442231"/>
    <x v="4"/>
    <n v="4064"/>
    <n v="90081703"/>
    <s v="C470908 - BR0442231"/>
    <s v="TPE"/>
    <s v="-"/>
    <s v="-"/>
  </r>
  <r>
    <n v="4066"/>
    <s v="BR442233"/>
    <s v="BR0442233"/>
    <x v="3"/>
    <n v="4066"/>
    <n v="90081704"/>
    <s v="C470910 - BR0442233"/>
    <s v="TPE"/>
    <s v="-"/>
    <s v="-"/>
  </r>
  <r>
    <n v="4069"/>
    <s v="BR442234"/>
    <s v="BR0442234"/>
    <x v="3"/>
    <n v="4069"/>
    <n v="90081676"/>
    <s v="C470915 - BR0442234"/>
    <s v="TPE"/>
    <s v="-"/>
    <s v="-"/>
  </r>
  <r>
    <n v="4070"/>
    <s v="BR442235"/>
    <s v="BR0442235"/>
    <x v="3"/>
    <n v="4070"/>
    <n v="90081559"/>
    <s v="C470920 - BR0442235"/>
    <s v="TPE"/>
    <s v="-"/>
    <s v="-"/>
  </r>
  <r>
    <n v="1086"/>
    <s v="BR442185"/>
    <s v="BR0442185"/>
    <x v="4"/>
    <n v="1086"/>
    <n v="90081605"/>
    <s v="C470923 - BR0442185"/>
    <s v="TPE"/>
    <s v="-"/>
    <s v="-"/>
  </r>
  <r>
    <n v="1087"/>
    <s v="BR442186"/>
    <s v="BR0442186"/>
    <x v="4"/>
    <n v="1087"/>
    <n v="90081620"/>
    <s v="C470924 - BR0442186"/>
    <s v="TPE"/>
    <s v="-"/>
    <s v="-"/>
  </r>
  <r>
    <n v="4071"/>
    <s v="BR075567"/>
    <s v="BR0075567"/>
    <x v="5"/>
    <n v="4071"/>
    <n v="90073208"/>
    <s v="C470975 - BR0075567"/>
    <s v="24H"/>
    <s v="VAN"/>
    <n v="700"/>
  </r>
  <r>
    <n v="9207"/>
    <s v="BR423003"/>
    <s v="BR0423003"/>
    <x v="5"/>
    <n v="9207"/>
    <n v="90080763"/>
    <s v="C470204 - BR0423003"/>
    <s v="24H"/>
    <s v="VAN"/>
    <n v="700"/>
  </r>
  <r>
    <n v="4827"/>
    <s v="BR423004"/>
    <s v="BR0423004"/>
    <x v="5"/>
    <n v="4827"/>
    <n v="90080799"/>
    <s v="C470705 - BR0423004"/>
    <s v="24H"/>
    <s v="VAN"/>
    <n v="700"/>
  </r>
  <r>
    <n v="6284"/>
    <s v="BR423005"/>
    <s v="BR0423005"/>
    <x v="5"/>
    <n v="6284"/>
    <n v="90080838"/>
    <s v="C470753 - BR0423005"/>
    <s v="24H"/>
    <s v="VAN"/>
    <n v="700"/>
  </r>
  <r>
    <n v="7008"/>
    <s v="BR219599"/>
    <s v="BR0219599"/>
    <x v="6"/>
    <n v="7008"/>
    <n v="90074048"/>
    <s v="C470808 - BR0219599"/>
    <s v="24H"/>
    <s v="FIORINO"/>
    <n v="250"/>
  </r>
  <r>
    <n v="7009"/>
    <s v="BR219600"/>
    <s v="BR0219600"/>
    <x v="6"/>
    <n v="7009"/>
    <n v="90074088"/>
    <s v="BR0219600"/>
    <s v="24H"/>
    <s v="FIORINO"/>
    <n v="250"/>
  </r>
  <r>
    <n v="7010"/>
    <s v="BR219601"/>
    <s v="BR0219601"/>
    <x v="6"/>
    <n v="7010"/>
    <n v="90074024"/>
    <s v="C470810 - BR0219601"/>
    <s v="24H"/>
    <s v="FIORINO"/>
    <n v="250"/>
  </r>
  <r>
    <n v="7014"/>
    <s v="BR219605"/>
    <s v="BR0219605"/>
    <x v="6"/>
    <n v="7014"/>
    <n v="90074023"/>
    <s v="C470824 - BR0219605"/>
    <s v="24H"/>
    <s v="FIORINO"/>
    <n v="250"/>
  </r>
  <r>
    <n v="7013"/>
    <s v="BR219603"/>
    <s v="BR0219603"/>
    <x v="6"/>
    <n v="7013"/>
    <n v="90074089"/>
    <s v="C470823 - BR0219603"/>
    <s v="24H"/>
    <s v="FIORINO"/>
    <n v="250"/>
  </r>
  <r>
    <n v="7015"/>
    <s v="BR219606"/>
    <s v="BR0219606"/>
    <x v="6"/>
    <n v="7015"/>
    <n v="90074091"/>
    <s v="C470825 - BR0219606"/>
    <s v="24H"/>
    <s v="FIORINO"/>
    <n v="250"/>
  </r>
  <r>
    <n v="6280"/>
    <s v="BR075598"/>
    <s v="BR0075598"/>
    <x v="6"/>
    <n v="6280"/>
    <n v="90070609"/>
    <s v="C470749 - BR0075598"/>
    <s v="24H"/>
    <s v="FIORINO"/>
    <n v="250"/>
  </r>
  <r>
    <n v="6273"/>
    <s v="BR075485"/>
    <s v="BR0075485"/>
    <x v="6"/>
    <n v="6273"/>
    <n v="90070601"/>
    <s v="C470741 - BR0075485"/>
    <s v="24H"/>
    <s v="FIORINO"/>
    <n v="250"/>
  </r>
  <r>
    <n v="6272"/>
    <s v="BR075564"/>
    <s v="BR0075564"/>
    <x v="7"/>
    <n v="6272"/>
    <n v="90070600"/>
    <s v="C470740 - BR0075564"/>
    <s v="24H"/>
    <s v="VAN"/>
    <n v="700"/>
  </r>
  <r>
    <n v="6710"/>
    <s v="BR075488"/>
    <s v="BR0075488"/>
    <x v="7"/>
    <n v="6710"/>
    <n v="90070592"/>
    <s v="C470038 - BR0075488"/>
    <s v="24H"/>
    <s v="VAN"/>
    <n v="700"/>
  </r>
  <r>
    <n v="4057"/>
    <s v="BR075950"/>
    <s v="BR0075950"/>
    <x v="7"/>
    <n v="4057"/>
    <n v="90070627"/>
    <s v="C470901 - BR0075950"/>
    <s v="24H"/>
    <s v="VAN"/>
    <n v="700"/>
  </r>
  <r>
    <n v="4061"/>
    <s v="BR075727"/>
    <s v="BR0075727"/>
    <x v="7"/>
    <n v="4061"/>
    <n v="90070631"/>
    <s v="C470905 - BR0075727"/>
    <s v="24H"/>
    <s v="VAN"/>
    <n v="700"/>
  </r>
  <r>
    <n v="7020"/>
    <s v="BR075517"/>
    <s v="BR0075517"/>
    <x v="7"/>
    <n v="7020"/>
    <n v="90070615"/>
    <s v="C470831 - BR0075517"/>
    <s v="24H"/>
    <s v="VAN"/>
    <n v="700"/>
  </r>
  <r>
    <n v="5070"/>
    <s v="BR075494"/>
    <s v="BR0075494"/>
    <x v="7"/>
    <n v="5070"/>
    <n v="90070589"/>
    <s v="C470024 - BR0075494"/>
    <s v="24H"/>
    <s v="VAN"/>
    <n v="700"/>
  </r>
  <r>
    <n v="7018"/>
    <s v="BR219610"/>
    <s v="BR0219610"/>
    <x v="8"/>
    <n v="7018"/>
    <n v="90074090"/>
    <s v="C470828 - BR0219610"/>
    <s v="24H"/>
    <s v="FIORINO"/>
    <n v="250"/>
  </r>
  <r>
    <n v="7017"/>
    <s v="BR219609"/>
    <s v="BR0219609"/>
    <x v="8"/>
    <n v="7017"/>
    <n v="90074087"/>
    <s v="C470827 - BR0219609"/>
    <s v="24H"/>
    <s v="FIORINO"/>
    <n v="250"/>
  </r>
  <r>
    <n v="6276"/>
    <s v="BR075816"/>
    <s v="BR0075816"/>
    <x v="8"/>
    <n v="6276"/>
    <n v="90070604"/>
    <s v="C470744 - BR0075816"/>
    <s v="24H"/>
    <s v="FIORINO"/>
    <n v="250"/>
  </r>
  <r>
    <n v="7033"/>
    <s v="BR075507"/>
    <s v="BR0075507"/>
    <x v="8"/>
    <n v="7033"/>
    <n v="90070620"/>
    <s v="C470866 - BR0075507"/>
    <s v="24H"/>
    <s v="FIORINO"/>
    <n v="250"/>
  </r>
  <r>
    <n v="9202"/>
    <s v="BR423002"/>
    <s v="BR0423002"/>
    <x v="8"/>
    <n v="9202"/>
    <n v="90080841"/>
    <s v="C470102 - BR0423002"/>
    <s v="24H"/>
    <s v="FIORINO"/>
    <n v="250"/>
  </r>
  <r>
    <n v="9201"/>
    <s v="BR423001"/>
    <s v="BR0423001"/>
    <x v="8"/>
    <n v="9201"/>
    <n v="90080837"/>
    <s v="C470101 - BR0423001"/>
    <s v="24H"/>
    <s v="FIORINO"/>
    <n v="250"/>
  </r>
  <r>
    <n v="9198"/>
    <s v="BR423000"/>
    <s v="BR0423000"/>
    <x v="8"/>
    <n v="9198"/>
    <n v="90080764"/>
    <s v="C470033 - BR0423000"/>
    <s v="24H"/>
    <s v="FIORINO"/>
    <n v="250"/>
  </r>
  <r>
    <n v="5074"/>
    <s v="BR422999"/>
    <s v="BR0422999"/>
    <x v="8"/>
    <n v="5074"/>
    <n v="90080840"/>
    <s v="C470028 - BR0422999"/>
    <s v="24H"/>
    <s v="FIORINO"/>
    <n v="250"/>
  </r>
  <r>
    <n v="5073"/>
    <s v="BR422998"/>
    <s v="BR0422998"/>
    <x v="8"/>
    <n v="5073"/>
    <n v="90080842"/>
    <s v="C470027 - BR0422998"/>
    <s v="24H"/>
    <s v="FIORINO"/>
    <n v="250"/>
  </r>
  <r>
    <n v="5069"/>
    <s v="BR219552"/>
    <s v="BR0219552"/>
    <x v="8"/>
    <n v="5069"/>
    <n v="90074064"/>
    <s v="C470023 - BR0219552"/>
    <s v="24H"/>
    <s v="FIORINO"/>
    <n v="250"/>
  </r>
  <r>
    <n v="7037"/>
    <s v="BR075882"/>
    <s v="BR0075882"/>
    <x v="8"/>
    <n v="7037"/>
    <n v="90070623"/>
    <s v="C470870 - BR0075882"/>
    <s v="24H"/>
    <s v="FIORINO"/>
    <n v="250"/>
  </r>
  <r>
    <n v="5071"/>
    <s v="BR219554"/>
    <s v="BR0219554"/>
    <x v="8"/>
    <n v="5071"/>
    <n v="90074066"/>
    <s v="C470025 - BR0219554"/>
    <s v="24H"/>
    <s v="FIORINO"/>
    <n v="250"/>
  </r>
  <r>
    <n v="7035"/>
    <s v="BR075542"/>
    <s v="BR0075542"/>
    <x v="8"/>
    <n v="7035"/>
    <n v="90070622"/>
    <s v="C470868 - BR0075542"/>
    <s v="24H"/>
    <s v="FIORINO"/>
    <n v="250"/>
  </r>
  <r>
    <n v="4060"/>
    <s v="BR075785"/>
    <s v="BR0075785"/>
    <x v="8"/>
    <n v="4060"/>
    <n v="90070630"/>
    <s v="C470904 - BR0075785"/>
    <s v="24H"/>
    <s v="FIORINO"/>
    <n v="250"/>
  </r>
  <r>
    <n v="6275"/>
    <s v="BR075841"/>
    <s v="BR0075841"/>
    <x v="8"/>
    <n v="6275"/>
    <n v="90070603"/>
    <s v="C470743 - BR0075841"/>
    <s v="24H"/>
    <s v="FIORINO"/>
    <n v="250"/>
  </r>
  <r>
    <n v="6274"/>
    <s v="BR075703"/>
    <s v="BR0075703"/>
    <x v="8"/>
    <n v="6274"/>
    <n v="90070602"/>
    <s v="C470742 - BR0075703"/>
    <s v="24H"/>
    <s v="FIORINO"/>
    <n v="250"/>
  </r>
  <r>
    <n v="9196"/>
    <s v="BR219546"/>
    <s v="BR0219546"/>
    <x v="8"/>
    <n v="9196"/>
    <n v="90074063"/>
    <s v="C470014 - BR0219546"/>
    <s v="24H"/>
    <s v="FIORINO"/>
    <n v="250"/>
  </r>
  <r>
    <n v="9193"/>
    <s v="BR219545"/>
    <s v="BR0219545"/>
    <x v="8"/>
    <n v="9193"/>
    <n v="90074060"/>
    <s v="C470010 - BR0219545"/>
    <s v="24H"/>
    <s v="FIORINO"/>
    <n v="250"/>
  </r>
  <r>
    <n v="4770"/>
    <s v="BR219544"/>
    <s v="BR0219544"/>
    <x v="8"/>
    <n v="4770"/>
    <n v="90074062"/>
    <s v="C470003 - BR0219544"/>
    <s v="24H"/>
    <s v="FIORINO"/>
    <n v="250"/>
  </r>
  <r>
    <n v="4058"/>
    <s v="BR075512"/>
    <s v="BR0075512"/>
    <x v="8"/>
    <n v="4058"/>
    <n v="90070628"/>
    <s v="C470902 - BR0075512"/>
    <s v="24H"/>
    <s v="FIORINO"/>
    <n v="250"/>
  </r>
  <r>
    <n v="6277"/>
    <s v="BR075865"/>
    <s v="BR0075865"/>
    <x v="8"/>
    <n v="6277"/>
    <n v="90070605"/>
    <s v="C470745 - BR0075865"/>
    <s v="24H"/>
    <s v="FIORINO"/>
    <n v="250"/>
  </r>
  <r>
    <n v="5072"/>
    <s v="BR219562"/>
    <s v="BR0219562"/>
    <x v="8"/>
    <n v="5072"/>
    <n v="90074067"/>
    <s v="C470026 - BR0219562"/>
    <s v="24H"/>
    <s v="FIORINO"/>
    <n v="250"/>
  </r>
  <r>
    <n v="4056"/>
    <s v="BR075849"/>
    <s v="BR0075849"/>
    <x v="8"/>
    <n v="4056"/>
    <n v="90070626"/>
    <s v="C470900 - BR0075849"/>
    <s v="24H"/>
    <s v="FIORINO"/>
    <n v="250"/>
  </r>
  <r>
    <n v="7016"/>
    <s v="BR219608"/>
    <s v="BR0219608"/>
    <x v="8"/>
    <n v="7016"/>
    <n v="90074092"/>
    <s v="C470826 - BR0219608"/>
    <s v="24H"/>
    <s v="FIORINO"/>
    <n v="250"/>
  </r>
  <r>
    <n v="4052"/>
    <s v="BR075684"/>
    <s v="BR0075684"/>
    <x v="8"/>
    <n v="4052"/>
    <n v="90070599"/>
    <s v="C470739 - BR0075684"/>
    <s v="24H"/>
    <s v="FIORINO"/>
    <n v="250"/>
  </r>
  <r>
    <n v="6282"/>
    <s v="BR075652"/>
    <s v="BR0075652"/>
    <x v="8"/>
    <n v="6282"/>
    <n v="90070611"/>
    <s v="C470751 - BR0075652"/>
    <s v="24H"/>
    <s v="FIORINO"/>
    <n v="250"/>
  </r>
  <r>
    <n v="5068"/>
    <s v="BR075562"/>
    <s v="BR0075562"/>
    <x v="8"/>
    <n v="5068"/>
    <n v="90070588"/>
    <s v="C470022 - BR0075562"/>
    <s v="24H"/>
    <s v="FIORINO"/>
    <n v="250"/>
  </r>
  <r>
    <n v="9197"/>
    <s v="BR219549"/>
    <s v="BR0219549"/>
    <x v="8"/>
    <n v="9197"/>
    <n v="90074061"/>
    <s v="C470021 - BR0219549"/>
    <s v="24H"/>
    <s v="FIORINO"/>
    <n v="250"/>
  </r>
  <r>
    <n v="4068"/>
    <s v="BR075595"/>
    <s v="BR0075595"/>
    <x v="8"/>
    <n v="4068"/>
    <n v="90070634"/>
    <s v="C470912 - BR0075595"/>
    <s v="24H"/>
    <s v="FIORINO"/>
    <n v="250"/>
  </r>
  <r>
    <n v="6281"/>
    <s v="BR075813"/>
    <s v="BR0075813"/>
    <x v="8"/>
    <n v="6281"/>
    <n v="90070610"/>
    <s v="C470750 - BR0075813"/>
    <s v="24H"/>
    <s v="FIORINO"/>
    <n v="250"/>
  </r>
  <r>
    <n v="4051"/>
    <s v="BR075672"/>
    <s v="BR0075672"/>
    <x v="8"/>
    <n v="4051"/>
    <n v="90070598"/>
    <s v="C470737 - BR0075672"/>
    <s v="24H"/>
    <s v="FIORINO"/>
    <n v="250"/>
  </r>
  <r>
    <n v="6279"/>
    <s v="BR075807"/>
    <s v="BR0075807"/>
    <x v="8"/>
    <n v="6279"/>
    <n v="90070607"/>
    <s v="C470747 - BR0075807"/>
    <s v="24H"/>
    <s v="FIORINO"/>
    <n v="250"/>
  </r>
  <r>
    <n v="4253"/>
    <s v="BR075798"/>
    <s v="BR0075798"/>
    <x v="8"/>
    <n v="4253"/>
    <n v="90070608"/>
    <s v="C470748 - BR0075798"/>
    <s v="24H"/>
    <s v="FIORINO"/>
    <n v="250"/>
  </r>
  <r>
    <n v="7034"/>
    <s v="BR075783"/>
    <s v="BR0075783"/>
    <x v="8"/>
    <n v="7034"/>
    <n v="90070621"/>
    <s v="C470867 - BR0075783"/>
    <s v="24H"/>
    <s v="FIORINO"/>
    <n v="250"/>
  </r>
  <r>
    <n v="6283"/>
    <s v="BR075774"/>
    <s v="BR0075774"/>
    <x v="8"/>
    <n v="6283"/>
    <n v="90070612"/>
    <s v="C470752 - BR0075774"/>
    <s v="24H"/>
    <s v="FIORINO"/>
    <n v="250"/>
  </r>
  <r>
    <n v="4055"/>
    <s v="BR075712"/>
    <s v="BR0075712"/>
    <x v="8"/>
    <n v="4055"/>
    <n v="90070616"/>
    <s v="C470844 - BR0075712"/>
    <s v="24H"/>
    <s v="FIORINO"/>
    <n v="250"/>
  </r>
  <r>
    <n v="6278"/>
    <s v="BR075802"/>
    <s v="BR0075802"/>
    <x v="6"/>
    <n v="6278"/>
    <n v="90070606"/>
    <s v="C470746 - BR0075802"/>
    <s v="24H - GROCERY"/>
    <s v="FIORINO"/>
    <n v="250"/>
  </r>
  <r>
    <n v="4062"/>
    <s v="BR075522"/>
    <s v="BR0075522"/>
    <x v="7"/>
    <n v="4062"/>
    <n v="90070632"/>
    <s v="C470906 - BR0075522"/>
    <s v="24H - GROCERY"/>
    <s v="VAN"/>
    <n v="700"/>
  </r>
  <r>
    <n v="4067"/>
    <s v="BR075549"/>
    <s v="BR0075549"/>
    <x v="7"/>
    <n v="4067"/>
    <n v="90070633"/>
    <s v="C470911 - BR0075549"/>
    <s v="24H - GROCERY"/>
    <s v="VAN"/>
    <n v="700"/>
  </r>
  <r>
    <n v="4059"/>
    <s v="BR075781"/>
    <s v="BR0075781"/>
    <x v="7"/>
    <n v="4059"/>
    <n v="90070629"/>
    <s v="C470903 - BR0075781"/>
    <s v="24H - GROCERY"/>
    <s v="VAN"/>
    <n v="700"/>
  </r>
  <r>
    <m/>
    <m/>
    <m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EA9644-C64E-44E4-A7F0-D3D33DBED4BD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8:O19" firstHeaderRow="1" firstDataRow="1" firstDataCol="1"/>
  <pivotFields count="10">
    <pivotField showAll="0"/>
    <pivotField showAll="0"/>
    <pivotField showAll="0"/>
    <pivotField axis="axisRow" showAll="0">
      <items count="12">
        <item x="5"/>
        <item x="6"/>
        <item x="7"/>
        <item x="8"/>
        <item x="0"/>
        <item x="1"/>
        <item x="2"/>
        <item x="4"/>
        <item m="1" x="10"/>
        <item x="9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itoria_maria_da_silva_rodrigues@bat.com;" TargetMode="External"/><Relationship Id="rId1" Type="http://schemas.openxmlformats.org/officeDocument/2006/relationships/hyperlink" Target="mailto:EstoqueCDCuritiba@bat.onmicrosoft.com;%20Comfrio_Pinhais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EstoqueCDCuritiba@bat.onmicrosoft.com;%20Comfrio_Pinhais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EstoqueCDCuritiba@bat.onmicrosoft.com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hyperlink" Target="mailto:itoria_maria_da_silva_rodrigues@bat.com;" TargetMode="External"/><Relationship Id="rId7" Type="http://schemas.openxmlformats.org/officeDocument/2006/relationships/ctrlProp" Target="../ctrlProps/ctrlProp13.xml"/><Relationship Id="rId2" Type="http://schemas.openxmlformats.org/officeDocument/2006/relationships/hyperlink" Target="mailto:EstoqueCDCuritiba@bat.onmicrosoft.com;%20Comfrio_Pinhais" TargetMode="External"/><Relationship Id="rId1" Type="http://schemas.openxmlformats.org/officeDocument/2006/relationships/hyperlink" Target="mailto:EstoqueCDCuritiba@bat.onmicrosoft.com;%20Comfrio_Pinhais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11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11.bin"/><Relationship Id="rId9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26E73-C317-4931-A8FF-F2BE6B13C80F}">
  <sheetPr codeName="P17">
    <tabColor rgb="FFFF0000"/>
    <pageSetUpPr fitToPage="1"/>
  </sheetPr>
  <dimension ref="A1:V65494"/>
  <sheetViews>
    <sheetView showGridLines="0" topLeftCell="C1" zoomScaleNormal="100" workbookViewId="0">
      <selection activeCell="H6" sqref="H6"/>
    </sheetView>
  </sheetViews>
  <sheetFormatPr defaultColWidth="9.140625" defaultRowHeight="12.75" x14ac:dyDescent="0.2"/>
  <cols>
    <col min="1" max="1" width="13.7109375" style="79" hidden="1" customWidth="1"/>
    <col min="2" max="2" width="9.140625" style="79" hidden="1" customWidth="1"/>
    <col min="3" max="3" width="26" style="79" bestFit="1" customWidth="1"/>
    <col min="4" max="4" width="24.85546875" style="79" bestFit="1" customWidth="1"/>
    <col min="5" max="5" width="10.28515625" style="79" customWidth="1"/>
    <col min="6" max="6" width="15.7109375" style="79" customWidth="1"/>
    <col min="7" max="7" width="14.28515625" style="79" customWidth="1"/>
    <col min="8" max="8" width="8.28515625" style="79" customWidth="1"/>
    <col min="9" max="9" width="13.28515625" style="79" customWidth="1"/>
    <col min="10" max="10" width="11.28515625" style="79" customWidth="1"/>
    <col min="11" max="11" width="12.28515625" style="79" customWidth="1"/>
    <col min="12" max="12" width="8.5703125" style="79" customWidth="1"/>
    <col min="13" max="13" width="10" style="79" customWidth="1"/>
    <col min="14" max="15" width="13" style="79" customWidth="1"/>
    <col min="16" max="16" width="20.140625" style="79" customWidth="1"/>
    <col min="17" max="17" width="14.42578125" style="79" customWidth="1"/>
    <col min="18" max="18" width="45.42578125" style="79" customWidth="1"/>
    <col min="19" max="23" width="9.140625" style="79" customWidth="1"/>
    <col min="24" max="16384" width="9.140625" style="79"/>
  </cols>
  <sheetData>
    <row r="1" spans="1:22" ht="23.25" customHeight="1" thickBot="1" x14ac:dyDescent="0.25">
      <c r="A1" s="124"/>
      <c r="B1" s="125"/>
      <c r="C1" s="608" t="s">
        <v>0</v>
      </c>
      <c r="D1" s="609"/>
      <c r="E1" s="609"/>
      <c r="F1" s="610"/>
      <c r="G1" s="611" t="s">
        <v>1</v>
      </c>
      <c r="H1" s="612"/>
      <c r="I1" s="613">
        <f ca="1">$G$9</f>
        <v>0</v>
      </c>
      <c r="J1" s="614"/>
      <c r="K1" s="614"/>
      <c r="L1" s="615"/>
      <c r="M1" s="616"/>
      <c r="N1" s="617"/>
      <c r="O1" s="618"/>
      <c r="P1" s="126"/>
      <c r="Q1" s="127" t="s">
        <v>2</v>
      </c>
      <c r="R1" s="128" t="s">
        <v>3</v>
      </c>
      <c r="U1" s="17" t="s">
        <v>4</v>
      </c>
      <c r="V1" s="129" t="s">
        <v>5</v>
      </c>
    </row>
    <row r="2" spans="1:22" ht="32.25" thickBot="1" x14ac:dyDescent="0.25">
      <c r="A2" s="130"/>
      <c r="C2" s="625" t="s">
        <v>6</v>
      </c>
      <c r="D2" s="626"/>
      <c r="E2" s="629">
        <v>45339</v>
      </c>
      <c r="F2" s="630"/>
      <c r="G2" s="131" t="s">
        <v>7</v>
      </c>
      <c r="H2" s="132">
        <f>$M$9</f>
        <v>0</v>
      </c>
      <c r="I2" s="131" t="s">
        <v>8</v>
      </c>
      <c r="J2" s="133">
        <f>$I$9</f>
        <v>0</v>
      </c>
      <c r="K2" s="134" t="s">
        <v>9</v>
      </c>
      <c r="L2" s="135">
        <f>$J$9</f>
        <v>0</v>
      </c>
      <c r="M2" s="619"/>
      <c r="N2" s="620"/>
      <c r="O2" s="621"/>
      <c r="P2" s="136"/>
      <c r="Q2" s="127" t="s">
        <v>10</v>
      </c>
      <c r="R2" s="128" t="s">
        <v>3</v>
      </c>
      <c r="U2" s="17" t="s">
        <v>11</v>
      </c>
      <c r="V2" s="16" t="s">
        <v>12</v>
      </c>
    </row>
    <row r="3" spans="1:22" ht="32.25" thickBot="1" x14ac:dyDescent="0.25">
      <c r="A3" s="137"/>
      <c r="B3" s="138"/>
      <c r="C3" s="627"/>
      <c r="D3" s="628"/>
      <c r="E3" s="631"/>
      <c r="F3" s="632"/>
      <c r="G3" s="139" t="s">
        <v>13</v>
      </c>
      <c r="H3" s="140">
        <f>$E$9</f>
        <v>0</v>
      </c>
      <c r="I3" s="131" t="s">
        <v>14</v>
      </c>
      <c r="J3" s="133">
        <f>$L$9</f>
        <v>0</v>
      </c>
      <c r="K3" s="134" t="s">
        <v>15</v>
      </c>
      <c r="L3" s="140">
        <f>$K$9</f>
        <v>0</v>
      </c>
      <c r="M3" s="622"/>
      <c r="N3" s="623"/>
      <c r="O3" s="624"/>
      <c r="P3" s="136"/>
      <c r="Q3" s="127" t="s">
        <v>16</v>
      </c>
      <c r="R3" s="128" t="s">
        <v>0</v>
      </c>
    </row>
    <row r="4" spans="1:22" ht="30.75" thickBot="1" x14ac:dyDescent="0.25">
      <c r="A4" s="16"/>
      <c r="C4" s="141" t="s">
        <v>17</v>
      </c>
      <c r="D4" s="142" t="s">
        <v>18</v>
      </c>
      <c r="E4" s="143" t="s">
        <v>19</v>
      </c>
      <c r="F4" s="144" t="s">
        <v>20</v>
      </c>
      <c r="G4" s="142" t="s">
        <v>1</v>
      </c>
      <c r="H4" s="145" t="s">
        <v>21</v>
      </c>
      <c r="I4" s="145" t="s">
        <v>22</v>
      </c>
      <c r="J4" s="145" t="s">
        <v>9</v>
      </c>
      <c r="K4" s="145" t="s">
        <v>15</v>
      </c>
      <c r="L4" s="145" t="s">
        <v>23</v>
      </c>
      <c r="M4" s="142" t="s">
        <v>24</v>
      </c>
      <c r="N4" s="142" t="s">
        <v>25</v>
      </c>
      <c r="O4" s="145" t="s">
        <v>26</v>
      </c>
      <c r="P4" s="146"/>
    </row>
    <row r="5" spans="1:22" ht="15.75" customHeight="1" x14ac:dyDescent="0.25">
      <c r="A5" s="147" t="str">
        <f>CONCATENATE(B5,F5)</f>
        <v>C47097545339</v>
      </c>
      <c r="B5" s="79" t="s">
        <v>27</v>
      </c>
      <c r="C5" s="148" t="e">
        <f>VLOOKUP(B5,'BR''S'!B:G,6,0)</f>
        <v>#N/A</v>
      </c>
      <c r="D5" s="149" t="e">
        <f>VLOOKUP(B5,'BR''S'!B:D,3,0)</f>
        <v>#N/A</v>
      </c>
      <c r="E5" s="150">
        <f>SUMIF(HORÁRIO!$A$5:$A$13,'CM-TRANSPORTES'!$A5,HORÁRIO!$L$5:$L$13)</f>
        <v>0</v>
      </c>
      <c r="F5" s="151">
        <f>$E$2</f>
        <v>45339</v>
      </c>
      <c r="G5" s="152">
        <f ca="1">SUMIF(PUXADA!A:P,'CM-TRANSPORTES'!A5,PUXADA!P:P)</f>
        <v>0</v>
      </c>
      <c r="H5" s="153">
        <f ca="1">SUMIF(PUXADA!A:P,'CM-TRANSPORTES'!A5,PUXADA!G:G)</f>
        <v>0</v>
      </c>
      <c r="I5" s="154">
        <f>SUMIF(HORÁRIO!$A:$A,'CM-TRANSPORTES'!$A5,HORÁRIO!Q:Q)</f>
        <v>0</v>
      </c>
      <c r="J5" s="154">
        <f>SUMIF(HORÁRIO!$A:$A,'CM-TRANSPORTES'!$A5,HORÁRIO!R:R)</f>
        <v>0</v>
      </c>
      <c r="K5" s="154">
        <f>SUMIF(HORÁRIO!$A:$A,'CM-TRANSPORTES'!$A5,HORÁRIO!S:S)+SUMIF(HORÁRIO!$A:$A,'CM-TRANSPORTES'!$A5,HORÁRIO!T:T)</f>
        <v>0</v>
      </c>
      <c r="L5" s="154">
        <f>SUMIF(HORÁRIO!$A:$A,'CM-TRANSPORTES'!$A5,HORÁRIO!AD:AD)</f>
        <v>0</v>
      </c>
      <c r="M5" s="154">
        <f>SUMIF(HORÁRIO!$A:$A,'CM-TRANSPORTES'!$A5,HORÁRIO!AE:AE)</f>
        <v>0</v>
      </c>
      <c r="N5" s="154">
        <f>SUMIF(HORÁRIO!$A$5:$A$13,'CM-TRANSPORTES'!$A5,HORÁRIO!$O$5:$O$13)</f>
        <v>0</v>
      </c>
      <c r="O5" s="155" t="str">
        <f>IFERROR(VLOOKUP(A5,HORÁRIO!A:AE,15,0),"")</f>
        <v/>
      </c>
    </row>
    <row r="6" spans="1:22" ht="15.75" customHeight="1" thickBot="1" x14ac:dyDescent="0.3">
      <c r="A6" s="147" t="str">
        <f>CONCATENATE(B6,F6)</f>
        <v>C47020445339</v>
      </c>
      <c r="B6" s="79" t="s">
        <v>28</v>
      </c>
      <c r="C6" s="156" t="e">
        <f>VLOOKUP(B6,'BR''S'!B:G,6,0)</f>
        <v>#N/A</v>
      </c>
      <c r="D6" s="157" t="e">
        <f>VLOOKUP(B6,'BR''S'!B:D,3,0)</f>
        <v>#N/A</v>
      </c>
      <c r="E6" s="158">
        <f>SUMIF(HORÁRIO!$A$5:$A$13,'CM-TRANSPORTES'!$A6,HORÁRIO!$L$5:$L$13)</f>
        <v>0</v>
      </c>
      <c r="F6" s="159">
        <f>$E$2</f>
        <v>45339</v>
      </c>
      <c r="G6" s="160">
        <f ca="1">SUMIF(PUXADA!A:P,'CM-TRANSPORTES'!A6,PUXADA!P:P)</f>
        <v>0</v>
      </c>
      <c r="H6" s="161">
        <f ca="1">SUMIF(PUXADA!A:P,'CM-TRANSPORTES'!A6,PUXADA!G:G)</f>
        <v>0</v>
      </c>
      <c r="I6" s="162">
        <f>SUMIF(HORÁRIO!$A:$A,'CM-TRANSPORTES'!$A6,HORÁRIO!Q:Q)</f>
        <v>0</v>
      </c>
      <c r="J6" s="162">
        <f>SUMIF(HORÁRIO!$A:$A,'CM-TRANSPORTES'!$A6,HORÁRIO!R:R)</f>
        <v>0</v>
      </c>
      <c r="K6" s="162">
        <f>SUMIF(HORÁRIO!$A:$A,'CM-TRANSPORTES'!$A6,HORÁRIO!S:S)+SUMIF(HORÁRIO!$A:$A,'CM-TRANSPORTES'!$A6,HORÁRIO!T:T)</f>
        <v>0</v>
      </c>
      <c r="L6" s="162">
        <f>SUMIF(HORÁRIO!$A:$A,'CM-TRANSPORTES'!$A6,HORÁRIO!AD:AD)</f>
        <v>0</v>
      </c>
      <c r="M6" s="162">
        <f>SUMIF(HORÁRIO!$A:$A,'CM-TRANSPORTES'!$A6,HORÁRIO!AE:AE)</f>
        <v>0</v>
      </c>
      <c r="N6" s="162">
        <f>SUMIF(HORÁRIO!$A$5:$A$13,'CM-TRANSPORTES'!$A6,HORÁRIO!$O$5:$O$13)</f>
        <v>0</v>
      </c>
      <c r="O6" s="163" t="str">
        <f>IFERROR(VLOOKUP(A6,HORÁRIO!A:AE,15,0),"")</f>
        <v/>
      </c>
    </row>
    <row r="7" spans="1:22" ht="15.75" hidden="1" customHeight="1" x14ac:dyDescent="0.25">
      <c r="A7" s="147" t="str">
        <f>CONCATENATE(B7,F7)</f>
        <v>C47070545339</v>
      </c>
      <c r="B7" s="79" t="s">
        <v>29</v>
      </c>
      <c r="C7" s="156" t="e">
        <f>VLOOKUP(B7,'BR''S'!B:G,6,0)</f>
        <v>#N/A</v>
      </c>
      <c r="D7" s="157" t="e">
        <f>VLOOKUP(B7,'BR''S'!B:D,3,0)</f>
        <v>#N/A</v>
      </c>
      <c r="E7" s="158">
        <f>SUMIF(HORÁRIO!$A$5:$A$13,'CM-TRANSPORTES'!$A7,HORÁRIO!$L$5:$L$13)</f>
        <v>0</v>
      </c>
      <c r="F7" s="159">
        <f>$E$2</f>
        <v>45339</v>
      </c>
      <c r="G7" s="160">
        <f ca="1">SUMIF(PUXADA!A:P,'CM-TRANSPORTES'!A7,PUXADA!P:P)</f>
        <v>0</v>
      </c>
      <c r="H7" s="161">
        <f ca="1">SUMIF(PUXADA!A:P,'CM-TRANSPORTES'!A7,PUXADA!G:G)</f>
        <v>0</v>
      </c>
      <c r="I7" s="162">
        <f>SUMIF(HORÁRIO!$A:$A,'CM-TRANSPORTES'!$A7,HORÁRIO!Q:Q)</f>
        <v>0</v>
      </c>
      <c r="J7" s="162">
        <f>SUMIF(HORÁRIO!$A:$A,'CM-TRANSPORTES'!$A7,HORÁRIO!R:R)</f>
        <v>0</v>
      </c>
      <c r="K7" s="162">
        <f>SUMIF(HORÁRIO!$A:$A,'CM-TRANSPORTES'!$A7,HORÁRIO!S:S)+SUMIF(HORÁRIO!$A:$A,'CM-TRANSPORTES'!$A7,HORÁRIO!T:T)</f>
        <v>0</v>
      </c>
      <c r="L7" s="162">
        <f>SUMIF(HORÁRIO!$A:$A,'CM-TRANSPORTES'!$A7,HORÁRIO!AD:AD)</f>
        <v>0</v>
      </c>
      <c r="M7" s="162">
        <f>SUMIF(HORÁRIO!$A:$A,'CM-TRANSPORTES'!$A7,HORÁRIO!AE:AE)</f>
        <v>0</v>
      </c>
      <c r="N7" s="162">
        <f>SUMIF(HORÁRIO!$A$5:$A$13,'CM-TRANSPORTES'!$A7,HORÁRIO!$O$5:$O$13)</f>
        <v>0</v>
      </c>
      <c r="O7" s="163" t="str">
        <f>IFERROR(VLOOKUP(A7,HORÁRIO!A:AE,15,0),"")</f>
        <v/>
      </c>
    </row>
    <row r="8" spans="1:22" ht="15.75" hidden="1" customHeight="1" thickBot="1" x14ac:dyDescent="0.3">
      <c r="A8" s="147" t="str">
        <f>CONCATENATE(B8,F8)</f>
        <v>C47075345339</v>
      </c>
      <c r="B8" s="79" t="s">
        <v>30</v>
      </c>
      <c r="C8" s="156" t="e">
        <f>VLOOKUP(B8,'BR''S'!B:G,6,0)</f>
        <v>#N/A</v>
      </c>
      <c r="D8" s="157" t="e">
        <f>VLOOKUP(B8,'BR''S'!B:D,3,0)</f>
        <v>#N/A</v>
      </c>
      <c r="E8" s="158">
        <f>SUMIF(HORÁRIO!$A$5:$A$13,'CM-TRANSPORTES'!$A8,HORÁRIO!$L$5:$L$13)</f>
        <v>0</v>
      </c>
      <c r="F8" s="159">
        <f>$E$2</f>
        <v>45339</v>
      </c>
      <c r="G8" s="160">
        <f ca="1">SUMIF(PUXADA!A:P,'CM-TRANSPORTES'!A8,PUXADA!P:P)</f>
        <v>0</v>
      </c>
      <c r="H8" s="161">
        <f ca="1">SUMIF(PUXADA!A:P,'CM-TRANSPORTES'!A8,PUXADA!G:G)</f>
        <v>0</v>
      </c>
      <c r="I8" s="162">
        <f>SUMIF(HORÁRIO!$A:$A,'CM-TRANSPORTES'!$A8,HORÁRIO!Q:Q)</f>
        <v>0</v>
      </c>
      <c r="J8" s="162">
        <f>SUMIF(HORÁRIO!$A:$A,'CM-TRANSPORTES'!$A8,HORÁRIO!R:R)</f>
        <v>0</v>
      </c>
      <c r="K8" s="162">
        <f>SUMIF(HORÁRIO!$A:$A,'CM-TRANSPORTES'!$A8,HORÁRIO!S:S)+SUMIF(HORÁRIO!$A:$A,'CM-TRANSPORTES'!$A8,HORÁRIO!T:T)</f>
        <v>0</v>
      </c>
      <c r="L8" s="162">
        <f>SUMIF(HORÁRIO!$A:$A,'CM-TRANSPORTES'!$A8,HORÁRIO!AD:AD)</f>
        <v>0</v>
      </c>
      <c r="M8" s="162">
        <f>SUMIF(HORÁRIO!$A:$A,'CM-TRANSPORTES'!$A8,HORÁRIO!AE:AE)</f>
        <v>0</v>
      </c>
      <c r="N8" s="162">
        <f>SUMIF(HORÁRIO!$A$5:$A$13,'CM-TRANSPORTES'!$A8,HORÁRIO!$O$5:$O$13)</f>
        <v>0</v>
      </c>
      <c r="O8" s="163" t="str">
        <f>IFERROR(VLOOKUP(A8,HORÁRIO!A:AE,15,0),"")</f>
        <v/>
      </c>
    </row>
    <row r="9" spans="1:22" ht="15.75" customHeight="1" thickBot="1" x14ac:dyDescent="0.3">
      <c r="A9" s="147"/>
      <c r="C9" s="164"/>
      <c r="D9" s="165" t="s">
        <v>13</v>
      </c>
      <c r="E9" s="166">
        <f>SUM(E5:E8)</f>
        <v>0</v>
      </c>
      <c r="F9" s="167" t="s">
        <v>31</v>
      </c>
      <c r="G9" s="168">
        <f t="shared" ref="G9:N9" ca="1" si="0">SUM(G5:G8)</f>
        <v>0</v>
      </c>
      <c r="H9" s="169">
        <f t="shared" ca="1" si="0"/>
        <v>0</v>
      </c>
      <c r="I9" s="169">
        <f t="shared" si="0"/>
        <v>0</v>
      </c>
      <c r="J9" s="169">
        <f t="shared" si="0"/>
        <v>0</v>
      </c>
      <c r="K9" s="169">
        <f t="shared" si="0"/>
        <v>0</v>
      </c>
      <c r="L9" s="169">
        <f t="shared" si="0"/>
        <v>0</v>
      </c>
      <c r="M9" s="169">
        <f t="shared" si="0"/>
        <v>0</v>
      </c>
      <c r="N9" s="170">
        <f t="shared" si="0"/>
        <v>0</v>
      </c>
      <c r="O9" s="171"/>
    </row>
    <row r="10" spans="1:22" ht="16.5" customHeight="1" thickBot="1" x14ac:dyDescent="0.3">
      <c r="A10" s="16"/>
      <c r="C10" s="633" t="s">
        <v>32</v>
      </c>
      <c r="D10" s="634"/>
      <c r="E10" s="633" t="s">
        <v>33</v>
      </c>
      <c r="F10" s="634"/>
      <c r="G10" s="635"/>
      <c r="H10" s="633" t="s">
        <v>34</v>
      </c>
      <c r="I10" s="634"/>
      <c r="J10" s="634"/>
      <c r="K10" s="634"/>
      <c r="L10" s="634"/>
      <c r="M10" s="634"/>
      <c r="N10" s="634"/>
      <c r="O10" s="635"/>
    </row>
    <row r="11" spans="1:22" ht="49.5" customHeight="1" thickBot="1" x14ac:dyDescent="0.3">
      <c r="A11" s="16"/>
      <c r="C11" s="636"/>
      <c r="D11" s="637"/>
      <c r="E11" s="638"/>
      <c r="F11" s="639"/>
      <c r="G11" s="640"/>
      <c r="H11" s="638"/>
      <c r="I11" s="639"/>
      <c r="J11" s="639"/>
      <c r="K11" s="639"/>
      <c r="L11" s="639"/>
      <c r="M11" s="639"/>
      <c r="N11" s="639"/>
      <c r="O11" s="640"/>
    </row>
    <row r="23" spans="5:5" x14ac:dyDescent="0.2">
      <c r="E23" s="81"/>
    </row>
    <row r="65494" spans="16:16" ht="15.75" x14ac:dyDescent="0.2">
      <c r="P65494" s="172"/>
    </row>
  </sheetData>
  <sheetProtection formatCells="0" formatColumns="0" formatRows="0" insertColumns="0" insertRows="0" insertHyperlinks="0" deleteColumns="0" deleteRows="0" sort="0" autoFilter="0" pivotTables="0"/>
  <autoFilter ref="M20:M21" xr:uid="{6C626E73-C317-4931-A8FF-F2BE6B13C80F}"/>
  <mergeCells count="12">
    <mergeCell ref="C10:D10"/>
    <mergeCell ref="E10:G10"/>
    <mergeCell ref="H10:O10"/>
    <mergeCell ref="C11:D11"/>
    <mergeCell ref="E11:G11"/>
    <mergeCell ref="H11:O11"/>
    <mergeCell ref="C1:F1"/>
    <mergeCell ref="G1:H1"/>
    <mergeCell ref="I1:L1"/>
    <mergeCell ref="M1:O3"/>
    <mergeCell ref="C2:D3"/>
    <mergeCell ref="E2:F3"/>
  </mergeCells>
  <pageMargins left="0" right="0" top="0" bottom="0" header="0" footer="0"/>
  <pageSetup paperSize="9" scale="81" firstPageNumber="0" orientation="landscape" r:id="rId1"/>
  <headerFooter alignWithMargins="0"/>
  <ignoredErrors>
    <ignoredError sqref="E5:E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5A0F-CE93-455E-927C-88B0618E811E}">
  <sheetPr codeName="P10">
    <tabColor rgb="FFFF0000"/>
    <pageSetUpPr fitToPage="1"/>
  </sheetPr>
  <dimension ref="A1:V26"/>
  <sheetViews>
    <sheetView showGridLines="0" topLeftCell="C1" zoomScale="85" zoomScaleNormal="85" workbookViewId="0">
      <selection activeCell="E12" sqref="E12"/>
    </sheetView>
  </sheetViews>
  <sheetFormatPr defaultColWidth="9.140625" defaultRowHeight="12.75" x14ac:dyDescent="0.2"/>
  <cols>
    <col min="1" max="1" width="13.7109375" style="79" hidden="1" customWidth="1"/>
    <col min="2" max="2" width="9.140625" style="79" hidden="1" customWidth="1"/>
    <col min="3" max="3" width="19.5703125" style="79" bestFit="1" customWidth="1"/>
    <col min="4" max="4" width="26.140625" style="79" bestFit="1" customWidth="1"/>
    <col min="5" max="5" width="10.28515625" style="79" customWidth="1"/>
    <col min="6" max="6" width="15.7109375" style="79" customWidth="1"/>
    <col min="7" max="7" width="14.28515625" style="79" customWidth="1"/>
    <col min="8" max="8" width="8.28515625" style="79" customWidth="1"/>
    <col min="9" max="14" width="10.42578125" style="79" customWidth="1"/>
    <col min="15" max="15" width="8.140625" style="79" bestFit="1" customWidth="1"/>
    <col min="16" max="16" width="30.42578125" style="79" customWidth="1"/>
    <col min="17" max="17" width="14.42578125" style="79" customWidth="1"/>
    <col min="18" max="18" width="41.42578125" style="79" bestFit="1" customWidth="1"/>
    <col min="19" max="23" width="9.140625" style="79" customWidth="1"/>
    <col min="24" max="16384" width="9.140625" style="79"/>
  </cols>
  <sheetData>
    <row r="1" spans="1:22" ht="46.5" thickBot="1" x14ac:dyDescent="0.25">
      <c r="A1" s="124"/>
      <c r="B1" s="125"/>
      <c r="C1" s="641" t="s">
        <v>35</v>
      </c>
      <c r="D1" s="642"/>
      <c r="E1" s="642"/>
      <c r="F1" s="643"/>
      <c r="G1" s="644" t="s">
        <v>1</v>
      </c>
      <c r="H1" s="645"/>
      <c r="I1" s="646">
        <f ca="1">$G$22</f>
        <v>0</v>
      </c>
      <c r="J1" s="647"/>
      <c r="K1" s="647"/>
      <c r="L1" s="648"/>
      <c r="M1" s="649"/>
      <c r="N1" s="650"/>
      <c r="O1" s="651"/>
      <c r="P1" s="126"/>
      <c r="Q1" s="127" t="s">
        <v>2</v>
      </c>
      <c r="R1" s="128" t="s">
        <v>36</v>
      </c>
      <c r="U1" s="17" t="s">
        <v>4</v>
      </c>
      <c r="V1" s="129" t="s">
        <v>37</v>
      </c>
    </row>
    <row r="2" spans="1:22" ht="32.25" thickBot="1" x14ac:dyDescent="0.25">
      <c r="A2" s="130"/>
      <c r="C2" s="658" t="s">
        <v>6</v>
      </c>
      <c r="D2" s="659"/>
      <c r="E2" s="629">
        <v>45398</v>
      </c>
      <c r="F2" s="630"/>
      <c r="G2" s="439" t="s">
        <v>7</v>
      </c>
      <c r="H2" s="440">
        <f>$M$22</f>
        <v>0</v>
      </c>
      <c r="I2" s="439" t="s">
        <v>8</v>
      </c>
      <c r="J2" s="441">
        <f>$I$22</f>
        <v>0</v>
      </c>
      <c r="K2" s="442" t="s">
        <v>9</v>
      </c>
      <c r="L2" s="443">
        <f>$J$22</f>
        <v>0</v>
      </c>
      <c r="M2" s="652"/>
      <c r="N2" s="653"/>
      <c r="O2" s="654"/>
      <c r="P2" s="136"/>
      <c r="Q2" s="127" t="s">
        <v>10</v>
      </c>
      <c r="R2" s="128"/>
      <c r="U2" s="17" t="s">
        <v>11</v>
      </c>
      <c r="V2" s="16" t="s">
        <v>38</v>
      </c>
    </row>
    <row r="3" spans="1:22" ht="32.25" thickBot="1" x14ac:dyDescent="0.25">
      <c r="A3" s="137"/>
      <c r="B3" s="138"/>
      <c r="C3" s="660"/>
      <c r="D3" s="661"/>
      <c r="E3" s="631"/>
      <c r="F3" s="632"/>
      <c r="G3" s="444" t="s">
        <v>13</v>
      </c>
      <c r="H3" s="445">
        <f>E22</f>
        <v>0</v>
      </c>
      <c r="I3" s="439" t="s">
        <v>14</v>
      </c>
      <c r="J3" s="441">
        <f>$L$22</f>
        <v>0</v>
      </c>
      <c r="K3" s="442" t="s">
        <v>15</v>
      </c>
      <c r="L3" s="445">
        <f>$K$22</f>
        <v>0</v>
      </c>
      <c r="M3" s="655"/>
      <c r="N3" s="656"/>
      <c r="O3" s="657"/>
      <c r="P3" s="136"/>
      <c r="Q3" s="127" t="s">
        <v>16</v>
      </c>
      <c r="R3" s="128" t="s">
        <v>35</v>
      </c>
    </row>
    <row r="4" spans="1:22" s="306" customFormat="1" ht="30.75" thickBot="1" x14ac:dyDescent="0.3">
      <c r="A4" s="311"/>
      <c r="C4" s="141" t="s">
        <v>17</v>
      </c>
      <c r="D4" s="142" t="s">
        <v>18</v>
      </c>
      <c r="E4" s="143" t="s">
        <v>19</v>
      </c>
      <c r="F4" s="144" t="s">
        <v>20</v>
      </c>
      <c r="G4" s="142" t="s">
        <v>1</v>
      </c>
      <c r="H4" s="145" t="s">
        <v>21</v>
      </c>
      <c r="I4" s="145" t="s">
        <v>22</v>
      </c>
      <c r="J4" s="145" t="s">
        <v>9</v>
      </c>
      <c r="K4" s="145" t="s">
        <v>15</v>
      </c>
      <c r="L4" s="145" t="s">
        <v>23</v>
      </c>
      <c r="M4" s="142" t="s">
        <v>24</v>
      </c>
      <c r="N4" s="142" t="s">
        <v>25</v>
      </c>
      <c r="O4" s="145" t="s">
        <v>26</v>
      </c>
      <c r="P4" s="400"/>
    </row>
    <row r="5" spans="1:22" s="306" customFormat="1" ht="15.75" customHeight="1" x14ac:dyDescent="0.25">
      <c r="A5" s="401" t="str">
        <f t="shared" ref="A5:A21" si="0">CONCATENATE(B5,F5)</f>
        <v>C47080845398</v>
      </c>
      <c r="B5" s="306" t="s">
        <v>39</v>
      </c>
      <c r="C5" s="435" t="e">
        <f>VLOOKUP(B5,'BR''S'!B:G,6,0)</f>
        <v>#N/A</v>
      </c>
      <c r="D5" s="436" t="e">
        <f>VLOOKUP(B5,'BR''S'!B:D,3,0)</f>
        <v>#N/A</v>
      </c>
      <c r="E5" s="404"/>
      <c r="F5" s="405">
        <f t="shared" ref="F5:F21" si="1">$E$2</f>
        <v>45398</v>
      </c>
      <c r="G5" s="406">
        <f ca="1">SUMIF(PUXADA!A:P,TRANSMIT!A5,PUXADA!P:P)</f>
        <v>0</v>
      </c>
      <c r="H5" s="407">
        <f ca="1">SUMIF(PUXADA!A:P,TRANSMIT!A5,PUXADA!G:G)</f>
        <v>0</v>
      </c>
      <c r="I5" s="408">
        <f>SUMIF(HORÁRIO!$A:$A,TRANSMIT!$A5,HORÁRIO!Q:Q)</f>
        <v>0</v>
      </c>
      <c r="J5" s="408">
        <f>SUMIF(HORÁRIO!$A:$A,TRANSMIT!$A5,HORÁRIO!R:R)</f>
        <v>0</v>
      </c>
      <c r="K5" s="408">
        <f>SUMIF(HORÁRIO!$A:$A,TRANSMIT!$A5,HORÁRIO!S:S)+SUMIF(HORÁRIO!$A:$A,TRANSMIT!$A5,HORÁRIO!T:T)</f>
        <v>0</v>
      </c>
      <c r="L5" s="408">
        <f>SUMIF(HORÁRIO!$A:$A,TRANSMIT!$A5,HORÁRIO!AD:AD)</f>
        <v>0</v>
      </c>
      <c r="M5" s="408">
        <f>SUMIF(HORÁRIO!$A:$A,TRANSMIT!$A5,HORÁRIO!AE:AE)</f>
        <v>0</v>
      </c>
      <c r="N5" s="408"/>
      <c r="O5" s="409" t="str">
        <f>IFERROR(VLOOKUP(A5,HORÁRIO!A:AE,15,0),"")</f>
        <v/>
      </c>
    </row>
    <row r="6" spans="1:22" s="306" customFormat="1" ht="15.75" customHeight="1" x14ac:dyDescent="0.25">
      <c r="A6" s="401" t="str">
        <f t="shared" si="0"/>
        <v>C47082345398</v>
      </c>
      <c r="B6" s="306" t="s">
        <v>40</v>
      </c>
      <c r="C6" s="437" t="e">
        <f>VLOOKUP(B6,'BR''S'!B:G,6,0)</f>
        <v>#N/A</v>
      </c>
      <c r="D6" s="438" t="e">
        <f>VLOOKUP(B6,'BR''S'!B:D,3,0)</f>
        <v>#N/A</v>
      </c>
      <c r="E6" s="404"/>
      <c r="F6" s="411">
        <f t="shared" si="1"/>
        <v>45398</v>
      </c>
      <c r="G6" s="412">
        <f ca="1">SUMIF(PUXADA!A:P,TRANSMIT!A6,PUXADA!P:P)</f>
        <v>0</v>
      </c>
      <c r="H6" s="413">
        <f ca="1">SUMIF(PUXADA!A:P,TRANSMIT!A6,PUXADA!G:G)</f>
        <v>0</v>
      </c>
      <c r="I6" s="414">
        <f>SUMIF(HORÁRIO!$A:$A,TRANSMIT!$A6,HORÁRIO!Q:Q)</f>
        <v>0</v>
      </c>
      <c r="J6" s="414">
        <f>SUMIF(HORÁRIO!$A:$A,TRANSMIT!$A6,HORÁRIO!R:R)</f>
        <v>0</v>
      </c>
      <c r="K6" s="414">
        <f>SUMIF(HORÁRIO!$A:$A,TRANSMIT!$A6,HORÁRIO!S:S)+SUMIF(HORÁRIO!$A:$A,TRANSMIT!$A6,HORÁRIO!T:T)</f>
        <v>0</v>
      </c>
      <c r="L6" s="414">
        <f>SUMIF(HORÁRIO!$A:$A,TRANSMIT!$A6,HORÁRIO!AD:AD)</f>
        <v>0</v>
      </c>
      <c r="M6" s="414">
        <f>SUMIF(HORÁRIO!$A:$A,TRANSMIT!$A6,HORÁRIO!AE:AE)</f>
        <v>0</v>
      </c>
      <c r="N6" s="414"/>
      <c r="O6" s="415" t="str">
        <f>IFERROR(VLOOKUP(A6,HORÁRIO!A:AE,15,0),"")</f>
        <v/>
      </c>
    </row>
    <row r="7" spans="1:22" s="306" customFormat="1" ht="15.75" customHeight="1" x14ac:dyDescent="0.25">
      <c r="A7" s="401" t="str">
        <f t="shared" si="0"/>
        <v>C47082445398</v>
      </c>
      <c r="B7" s="306" t="s">
        <v>41</v>
      </c>
      <c r="C7" s="437" t="e">
        <f>VLOOKUP(B7,'BR''S'!B:G,6,0)</f>
        <v>#N/A</v>
      </c>
      <c r="D7" s="438" t="e">
        <f>VLOOKUP(B7,'BR''S'!B:D,3,0)</f>
        <v>#N/A</v>
      </c>
      <c r="E7" s="404"/>
      <c r="F7" s="411">
        <f t="shared" si="1"/>
        <v>45398</v>
      </c>
      <c r="G7" s="412">
        <f ca="1">SUMIF(PUXADA!A:P,TRANSMIT!A7,PUXADA!P:P)</f>
        <v>0</v>
      </c>
      <c r="H7" s="413">
        <f ca="1">SUMIF(PUXADA!A:P,TRANSMIT!A7,PUXADA!G:G)</f>
        <v>0</v>
      </c>
      <c r="I7" s="414">
        <f>SUMIF(HORÁRIO!$A:$A,TRANSMIT!$A7,HORÁRIO!Q:Q)</f>
        <v>0</v>
      </c>
      <c r="J7" s="414">
        <f>SUMIF(HORÁRIO!$A:$A,TRANSMIT!$A7,HORÁRIO!R:R)</f>
        <v>0</v>
      </c>
      <c r="K7" s="414">
        <f>SUMIF(HORÁRIO!$A:$A,TRANSMIT!$A7,HORÁRIO!S:S)+SUMIF(HORÁRIO!$A:$A,TRANSMIT!$A7,HORÁRIO!T:T)</f>
        <v>0</v>
      </c>
      <c r="L7" s="414">
        <f>SUMIF(HORÁRIO!$A:$A,TRANSMIT!$A7,HORÁRIO!AD:AD)</f>
        <v>0</v>
      </c>
      <c r="M7" s="414">
        <f>SUMIF(HORÁRIO!$A:$A,TRANSMIT!$A7,HORÁRIO!AE:AE)</f>
        <v>0</v>
      </c>
      <c r="N7" s="414"/>
      <c r="O7" s="415" t="str">
        <f>IFERROR(VLOOKUP(A7,HORÁRIO!A:AE,15,0),"")</f>
        <v/>
      </c>
    </row>
    <row r="8" spans="1:22" s="306" customFormat="1" ht="15" x14ac:dyDescent="0.25">
      <c r="A8" s="401" t="str">
        <f t="shared" si="0"/>
        <v>C47080945398</v>
      </c>
      <c r="B8" s="306" t="s">
        <v>42</v>
      </c>
      <c r="C8" s="437" t="e">
        <f>VLOOKUP(B8,'BR''S'!B:G,6,0)</f>
        <v>#N/A</v>
      </c>
      <c r="D8" s="438" t="e">
        <f>VLOOKUP(B8,'BR''S'!B:D,3,0)</f>
        <v>#N/A</v>
      </c>
      <c r="E8" s="404"/>
      <c r="F8" s="411">
        <f t="shared" si="1"/>
        <v>45398</v>
      </c>
      <c r="G8" s="412">
        <f ca="1">SUMIF(PUXADA!A:P,TRANSMIT!A8,PUXADA!P:P)</f>
        <v>0</v>
      </c>
      <c r="H8" s="413">
        <f ca="1">SUMIF(PUXADA!A:P,TRANSMIT!A8,PUXADA!G:G)</f>
        <v>0</v>
      </c>
      <c r="I8" s="414">
        <f>SUMIF(HORÁRIO!$A:$A,TRANSMIT!$A8,HORÁRIO!Q:Q)</f>
        <v>0</v>
      </c>
      <c r="J8" s="414">
        <f>SUMIF(HORÁRIO!$A:$A,TRANSMIT!$A8,HORÁRIO!R:R)</f>
        <v>0</v>
      </c>
      <c r="K8" s="414">
        <f>SUMIF(HORÁRIO!$A:$A,TRANSMIT!$A8,HORÁRIO!S:S)+SUMIF(HORÁRIO!$A:$A,TRANSMIT!$A8,HORÁRIO!T:T)</f>
        <v>0</v>
      </c>
      <c r="L8" s="414">
        <f>SUMIF(HORÁRIO!$A:$A,TRANSMIT!$A8,HORÁRIO!AD:AD)</f>
        <v>0</v>
      </c>
      <c r="M8" s="414">
        <f>SUMIF(HORÁRIO!$A:$A,TRANSMIT!$A8,HORÁRIO!AE:AE)</f>
        <v>0</v>
      </c>
      <c r="N8" s="414"/>
      <c r="O8" s="415" t="str">
        <f>IFERROR(VLOOKUP(A8,HORÁRIO!A:AE,15,0),"")</f>
        <v/>
      </c>
    </row>
    <row r="9" spans="1:22" s="306" customFormat="1" ht="15.75" customHeight="1" x14ac:dyDescent="0.25">
      <c r="A9" s="401" t="str">
        <f t="shared" si="0"/>
        <v>C47081045398</v>
      </c>
      <c r="B9" s="306" t="s">
        <v>43</v>
      </c>
      <c r="C9" s="437" t="e">
        <f>VLOOKUP(B9,'BR''S'!B:G,6,0)</f>
        <v>#N/A</v>
      </c>
      <c r="D9" s="438" t="e">
        <f>VLOOKUP(B9,'BR''S'!B:D,3,0)</f>
        <v>#N/A</v>
      </c>
      <c r="E9" s="404"/>
      <c r="F9" s="411">
        <f t="shared" si="1"/>
        <v>45398</v>
      </c>
      <c r="G9" s="412">
        <f ca="1">SUMIF(PUXADA!A:P,TRANSMIT!A9,PUXADA!P:P)</f>
        <v>0</v>
      </c>
      <c r="H9" s="413">
        <f ca="1">SUMIF(PUXADA!A:P,TRANSMIT!A9,PUXADA!G:G)</f>
        <v>0</v>
      </c>
      <c r="I9" s="414">
        <f>SUMIF(HORÁRIO!$A:$A,TRANSMIT!$A9,HORÁRIO!Q:Q)</f>
        <v>0</v>
      </c>
      <c r="J9" s="414">
        <f>SUMIF(HORÁRIO!$A:$A,TRANSMIT!$A9,HORÁRIO!R:R)</f>
        <v>0</v>
      </c>
      <c r="K9" s="414">
        <f>SUMIF(HORÁRIO!$A:$A,TRANSMIT!$A9,HORÁRIO!S:S)+SUMIF(HORÁRIO!$A:$A,TRANSMIT!$A9,HORÁRIO!T:T)</f>
        <v>0</v>
      </c>
      <c r="L9" s="414">
        <f>SUMIF(HORÁRIO!$A:$A,TRANSMIT!$A9,HORÁRIO!AD:AD)</f>
        <v>0</v>
      </c>
      <c r="M9" s="414">
        <f>SUMIF(HORÁRIO!$A:$A,TRANSMIT!$A9,HORÁRIO!AE:AE)</f>
        <v>0</v>
      </c>
      <c r="N9" s="414"/>
      <c r="O9" s="415" t="str">
        <f>IFERROR(VLOOKUP(A9,HORÁRIO!A:AE,15,0),"")</f>
        <v/>
      </c>
    </row>
    <row r="10" spans="1:22" s="306" customFormat="1" ht="15" customHeight="1" x14ac:dyDescent="0.25">
      <c r="A10" s="401" t="str">
        <f t="shared" si="0"/>
        <v>C47082545398</v>
      </c>
      <c r="B10" s="306" t="s">
        <v>44</v>
      </c>
      <c r="C10" s="437" t="e">
        <f>VLOOKUP(B10,'BR''S'!B:G,6,0)</f>
        <v>#N/A</v>
      </c>
      <c r="D10" s="438" t="e">
        <f>VLOOKUP(B10,'BR''S'!B:D,3,0)</f>
        <v>#N/A</v>
      </c>
      <c r="E10" s="404"/>
      <c r="F10" s="411">
        <f t="shared" si="1"/>
        <v>45398</v>
      </c>
      <c r="G10" s="412">
        <f ca="1">SUMIF(PUXADA!A:P,TRANSMIT!A10,PUXADA!P:P)</f>
        <v>0</v>
      </c>
      <c r="H10" s="413">
        <f ca="1">SUMIF(PUXADA!A:P,TRANSMIT!A10,PUXADA!G:G)</f>
        <v>0</v>
      </c>
      <c r="I10" s="414">
        <f>SUMIF(HORÁRIO!$A:$A,TRANSMIT!$A10,HORÁRIO!Q:Q)</f>
        <v>0</v>
      </c>
      <c r="J10" s="414">
        <f>SUMIF(HORÁRIO!$A:$A,TRANSMIT!$A10,HORÁRIO!R:R)</f>
        <v>0</v>
      </c>
      <c r="K10" s="414">
        <f>SUMIF(HORÁRIO!$A:$A,TRANSMIT!$A10,HORÁRIO!S:S)+SUMIF(HORÁRIO!$A:$A,TRANSMIT!$A10,HORÁRIO!T:T)</f>
        <v>0</v>
      </c>
      <c r="L10" s="414">
        <f>SUMIF(HORÁRIO!$A:$A,TRANSMIT!$A10,HORÁRIO!AD:AD)</f>
        <v>0</v>
      </c>
      <c r="M10" s="414">
        <f>SUMIF(HORÁRIO!$A:$A,TRANSMIT!$A10,HORÁRIO!AE:AE)</f>
        <v>0</v>
      </c>
      <c r="N10" s="414"/>
      <c r="O10" s="415" t="str">
        <f>IFERROR(VLOOKUP(A10,HORÁRIO!A:AE,15,0),"")</f>
        <v/>
      </c>
    </row>
    <row r="11" spans="1:22" s="306" customFormat="1" ht="15.75" customHeight="1" x14ac:dyDescent="0.25">
      <c r="A11" s="401" t="str">
        <f t="shared" si="0"/>
        <v>C47082645398</v>
      </c>
      <c r="B11" s="306" t="s">
        <v>45</v>
      </c>
      <c r="C11" s="437" t="e">
        <f>VLOOKUP(B11,'BR''S'!B:G,6,0)</f>
        <v>#N/A</v>
      </c>
      <c r="D11" s="438" t="e">
        <f>VLOOKUP(B11,'BR''S'!B:D,3,0)</f>
        <v>#N/A</v>
      </c>
      <c r="E11" s="404"/>
      <c r="F11" s="411">
        <f t="shared" si="1"/>
        <v>45398</v>
      </c>
      <c r="G11" s="412">
        <f ca="1">SUMIF(PUXADA!A:P,TRANSMIT!A11,PUXADA!P:P)</f>
        <v>0</v>
      </c>
      <c r="H11" s="413">
        <f ca="1">SUMIF(PUXADA!A:P,TRANSMIT!A11,PUXADA!G:G)</f>
        <v>0</v>
      </c>
      <c r="I11" s="414">
        <f>SUMIF(HORÁRIO!$A:$A,TRANSMIT!$A11,HORÁRIO!Q:Q)</f>
        <v>0</v>
      </c>
      <c r="J11" s="414">
        <f>SUMIF(HORÁRIO!$A:$A,TRANSMIT!$A11,HORÁRIO!R:R)</f>
        <v>0</v>
      </c>
      <c r="K11" s="414">
        <f>SUMIF(HORÁRIO!$A:$A,TRANSMIT!$A11,HORÁRIO!S:S)+SUMIF(HORÁRIO!$A:$A,TRANSMIT!$A11,HORÁRIO!T:T)</f>
        <v>0</v>
      </c>
      <c r="L11" s="414">
        <f>SUMIF(HORÁRIO!$A:$A,TRANSMIT!$A11,HORÁRIO!AD:AD)</f>
        <v>0</v>
      </c>
      <c r="M11" s="414">
        <f>SUMIF(HORÁRIO!$A:$A,TRANSMIT!$A11,HORÁRIO!AE:AE)</f>
        <v>0</v>
      </c>
      <c r="N11" s="414"/>
      <c r="O11" s="415" t="str">
        <f>IFERROR(VLOOKUP(A11,HORÁRIO!A:AE,15,0),"")</f>
        <v/>
      </c>
    </row>
    <row r="12" spans="1:22" s="306" customFormat="1" ht="15.75" customHeight="1" x14ac:dyDescent="0.25">
      <c r="A12" s="401" t="str">
        <f t="shared" si="0"/>
        <v>C47074745398</v>
      </c>
      <c r="B12" s="306" t="s">
        <v>46</v>
      </c>
      <c r="C12" s="437" t="e">
        <f>VLOOKUP(B12,'BR''S'!B:G,6,0)</f>
        <v>#N/A</v>
      </c>
      <c r="D12" s="438" t="e">
        <f>VLOOKUP(B12,'BR''S'!B:D,3,0)</f>
        <v>#N/A</v>
      </c>
      <c r="E12" s="404"/>
      <c r="F12" s="411">
        <f t="shared" si="1"/>
        <v>45398</v>
      </c>
      <c r="G12" s="412">
        <f ca="1">SUMIF(PUXADA!A:P,TRANSMIT!A12,PUXADA!P:P)</f>
        <v>0</v>
      </c>
      <c r="H12" s="413">
        <f ca="1">SUMIF(PUXADA!A:P,TRANSMIT!A12,PUXADA!G:G)</f>
        <v>0</v>
      </c>
      <c r="I12" s="414">
        <f>SUMIF(HORÁRIO!$A:$A,TRANSMIT!$A12,HORÁRIO!Q:Q)</f>
        <v>0</v>
      </c>
      <c r="J12" s="414">
        <f>SUMIF(HORÁRIO!$A:$A,TRANSMIT!$A12,HORÁRIO!R:R)</f>
        <v>0</v>
      </c>
      <c r="K12" s="414">
        <f>SUMIF(HORÁRIO!$A:$A,TRANSMIT!$A12,HORÁRIO!S:S)+SUMIF(HORÁRIO!$A:$A,TRANSMIT!$A12,HORÁRIO!T:T)</f>
        <v>0</v>
      </c>
      <c r="L12" s="414">
        <f>SUMIF(HORÁRIO!$A:$A,TRANSMIT!$A12,HORÁRIO!AD:AD)</f>
        <v>0</v>
      </c>
      <c r="M12" s="414">
        <f>SUMIF(HORÁRIO!$A:$A,TRANSMIT!$A12,HORÁRIO!AE:AE)</f>
        <v>0</v>
      </c>
      <c r="N12" s="414"/>
      <c r="O12" s="415" t="str">
        <f>IFERROR(VLOOKUP(A12,HORÁRIO!A:AE,15,0),"")</f>
        <v/>
      </c>
    </row>
    <row r="13" spans="1:22" s="306" customFormat="1" ht="15.75" customHeight="1" x14ac:dyDescent="0.25">
      <c r="A13" s="401" t="str">
        <f t="shared" si="0"/>
        <v>C47082745398</v>
      </c>
      <c r="B13" s="306" t="s">
        <v>47</v>
      </c>
      <c r="C13" s="437" t="e">
        <f>VLOOKUP(B13,'BR''S'!B:G,6,0)</f>
        <v>#N/A</v>
      </c>
      <c r="D13" s="438" t="e">
        <f>VLOOKUP(B13,'BR''S'!B:D,3,0)</f>
        <v>#N/A</v>
      </c>
      <c r="E13" s="404"/>
      <c r="F13" s="411">
        <f t="shared" si="1"/>
        <v>45398</v>
      </c>
      <c r="G13" s="412">
        <f ca="1">SUMIF(PUXADA!A:P,TRANSMIT!A13,PUXADA!P:P)</f>
        <v>0</v>
      </c>
      <c r="H13" s="413">
        <f ca="1">SUMIF(PUXADA!A:P,TRANSMIT!A13,PUXADA!G:G)</f>
        <v>0</v>
      </c>
      <c r="I13" s="414">
        <f>SUMIF(HORÁRIO!$A:$A,TRANSMIT!$A13,HORÁRIO!Q:Q)</f>
        <v>0</v>
      </c>
      <c r="J13" s="414">
        <f>SUMIF(HORÁRIO!$A:$A,TRANSMIT!$A13,HORÁRIO!R:R)</f>
        <v>0</v>
      </c>
      <c r="K13" s="414">
        <f>SUMIF(HORÁRIO!$A:$A,TRANSMIT!$A13,HORÁRIO!S:S)+SUMIF(HORÁRIO!$A:$A,TRANSMIT!$A13,HORÁRIO!T:T)</f>
        <v>0</v>
      </c>
      <c r="L13" s="414">
        <f>SUMIF(HORÁRIO!$A:$A,TRANSMIT!$A13,HORÁRIO!AD:AD)</f>
        <v>0</v>
      </c>
      <c r="M13" s="414">
        <f>SUMIF(HORÁRIO!$A:$A,TRANSMIT!$A13,HORÁRIO!AE:AE)</f>
        <v>0</v>
      </c>
      <c r="N13" s="414"/>
      <c r="O13" s="415" t="str">
        <f>IFERROR(VLOOKUP(A13,HORÁRIO!A:AE,15,0),"")</f>
        <v/>
      </c>
    </row>
    <row r="14" spans="1:22" s="306" customFormat="1" ht="15.75" customHeight="1" x14ac:dyDescent="0.25">
      <c r="A14" s="401" t="str">
        <f t="shared" si="0"/>
        <v>C47082845398</v>
      </c>
      <c r="B14" s="306" t="s">
        <v>48</v>
      </c>
      <c r="C14" s="437" t="e">
        <f>VLOOKUP(B14,'BR''S'!B:G,6,0)</f>
        <v>#N/A</v>
      </c>
      <c r="D14" s="438" t="e">
        <f>VLOOKUP(B14,'BR''S'!B:D,3,0)</f>
        <v>#N/A</v>
      </c>
      <c r="E14" s="404"/>
      <c r="F14" s="411">
        <f t="shared" si="1"/>
        <v>45398</v>
      </c>
      <c r="G14" s="412">
        <f ca="1">SUMIF(PUXADA!A:P,TRANSMIT!A14,PUXADA!P:P)</f>
        <v>0</v>
      </c>
      <c r="H14" s="413">
        <f ca="1">SUMIF(PUXADA!A:P,TRANSMIT!A14,PUXADA!G:G)</f>
        <v>0</v>
      </c>
      <c r="I14" s="414">
        <f>SUMIF(HORÁRIO!$A:$A,TRANSMIT!$A14,HORÁRIO!Q:Q)</f>
        <v>0</v>
      </c>
      <c r="J14" s="414">
        <f>SUMIF(HORÁRIO!$A:$A,TRANSMIT!$A14,HORÁRIO!R:R)</f>
        <v>0</v>
      </c>
      <c r="K14" s="414">
        <f>SUMIF(HORÁRIO!$A:$A,TRANSMIT!$A14,HORÁRIO!S:S)+SUMIF(HORÁRIO!$A:$A,TRANSMIT!$A14,HORÁRIO!T:T)</f>
        <v>0</v>
      </c>
      <c r="L14" s="414">
        <f>SUMIF(HORÁRIO!$A:$A,TRANSMIT!$A14,HORÁRIO!AD:AD)</f>
        <v>0</v>
      </c>
      <c r="M14" s="414">
        <f>SUMIF(HORÁRIO!$A:$A,TRANSMIT!$A14,HORÁRIO!AE:AE)</f>
        <v>0</v>
      </c>
      <c r="N14" s="414"/>
      <c r="O14" s="415" t="str">
        <f>IFERROR(VLOOKUP(A14,HORÁRIO!A:AE,15,0),"")</f>
        <v/>
      </c>
    </row>
    <row r="15" spans="1:22" s="306" customFormat="1" ht="15.75" customHeight="1" x14ac:dyDescent="0.25">
      <c r="A15" s="401" t="str">
        <f t="shared" si="0"/>
        <v>C47075245398</v>
      </c>
      <c r="B15" s="306" t="s">
        <v>49</v>
      </c>
      <c r="C15" s="437" t="e">
        <f>VLOOKUP(B15,'BR''S'!B:G,6,0)</f>
        <v>#N/A</v>
      </c>
      <c r="D15" s="438" t="e">
        <f>VLOOKUP(B15,'BR''S'!B:D,3,0)</f>
        <v>#N/A</v>
      </c>
      <c r="E15" s="404"/>
      <c r="F15" s="411">
        <f t="shared" si="1"/>
        <v>45398</v>
      </c>
      <c r="G15" s="412">
        <f ca="1">SUMIF(PUXADA!A:P,TRANSMIT!A15,PUXADA!P:P)</f>
        <v>0</v>
      </c>
      <c r="H15" s="413">
        <f ca="1">SUMIF(PUXADA!A:P,TRANSMIT!A15,PUXADA!G:G)</f>
        <v>0</v>
      </c>
      <c r="I15" s="414">
        <f>SUMIF(HORÁRIO!$A:$A,TRANSMIT!$A15,HORÁRIO!Q:Q)</f>
        <v>0</v>
      </c>
      <c r="J15" s="414">
        <f>SUMIF(HORÁRIO!$A:$A,TRANSMIT!$A15,HORÁRIO!R:R)</f>
        <v>0</v>
      </c>
      <c r="K15" s="414">
        <f>SUMIF(HORÁRIO!$A:$A,TRANSMIT!$A15,HORÁRIO!S:S)+SUMIF(HORÁRIO!$A:$A,TRANSMIT!$A15,HORÁRIO!T:T)</f>
        <v>0</v>
      </c>
      <c r="L15" s="414">
        <f>SUMIF(HORÁRIO!$A:$A,TRANSMIT!$A15,HORÁRIO!AD:AD)</f>
        <v>0</v>
      </c>
      <c r="M15" s="414">
        <f>SUMIF(HORÁRIO!$A:$A,TRANSMIT!$A15,HORÁRIO!AE:AE)</f>
        <v>0</v>
      </c>
      <c r="N15" s="414"/>
      <c r="O15" s="415" t="str">
        <f>IFERROR(VLOOKUP(A15,HORÁRIO!A:AE,15,0),"")</f>
        <v/>
      </c>
    </row>
    <row r="16" spans="1:22" s="306" customFormat="1" ht="15.75" customHeight="1" x14ac:dyDescent="0.25">
      <c r="A16" s="401" t="str">
        <f t="shared" si="0"/>
        <v>C47084445398</v>
      </c>
      <c r="B16" s="306" t="s">
        <v>50</v>
      </c>
      <c r="C16" s="437" t="e">
        <f>VLOOKUP(B16,'BR''S'!B:G,6,0)</f>
        <v>#N/A</v>
      </c>
      <c r="D16" s="438" t="e">
        <f>VLOOKUP(B16,'BR''S'!B:D,3,0)</f>
        <v>#N/A</v>
      </c>
      <c r="E16" s="404"/>
      <c r="F16" s="411">
        <f t="shared" si="1"/>
        <v>45398</v>
      </c>
      <c r="G16" s="412">
        <f ca="1">SUMIF(PUXADA!A:P,TRANSMIT!A16,PUXADA!P:P)</f>
        <v>0</v>
      </c>
      <c r="H16" s="413">
        <f ca="1">SUMIF(PUXADA!A:P,TRANSMIT!A16,PUXADA!G:G)</f>
        <v>0</v>
      </c>
      <c r="I16" s="414">
        <f>SUMIF(HORÁRIO!$A:$A,TRANSMIT!$A16,HORÁRIO!Q:Q)</f>
        <v>0</v>
      </c>
      <c r="J16" s="414">
        <f>SUMIF(HORÁRIO!$A:$A,TRANSMIT!$A16,HORÁRIO!R:R)</f>
        <v>0</v>
      </c>
      <c r="K16" s="414">
        <f>SUMIF(HORÁRIO!$A:$A,TRANSMIT!$A16,HORÁRIO!S:S)+SUMIF(HORÁRIO!$A:$A,TRANSMIT!$A16,HORÁRIO!T:T)</f>
        <v>0</v>
      </c>
      <c r="L16" s="414">
        <f>SUMIF(HORÁRIO!$A:$A,TRANSMIT!$A16,HORÁRIO!AD:AD)</f>
        <v>0</v>
      </c>
      <c r="M16" s="414">
        <f>SUMIF(HORÁRIO!$A:$A,TRANSMIT!$A16,HORÁRIO!AE:AE)</f>
        <v>0</v>
      </c>
      <c r="N16" s="414"/>
      <c r="O16" s="415" t="str">
        <f>IFERROR(VLOOKUP(A16,HORÁRIO!A:AE,15,0),"")</f>
        <v/>
      </c>
    </row>
    <row r="17" spans="1:15" s="306" customFormat="1" ht="15.75" customHeight="1" x14ac:dyDescent="0.25">
      <c r="A17" s="401" t="str">
        <f t="shared" si="0"/>
        <v>C47086745398</v>
      </c>
      <c r="B17" s="306" t="s">
        <v>51</v>
      </c>
      <c r="C17" s="437" t="e">
        <f>VLOOKUP(B17,'BR''S'!B:G,6,0)</f>
        <v>#N/A</v>
      </c>
      <c r="D17" s="438" t="e">
        <f>VLOOKUP(B17,'BR''S'!B:D,3,0)</f>
        <v>#N/A</v>
      </c>
      <c r="E17" s="404"/>
      <c r="F17" s="411">
        <f t="shared" si="1"/>
        <v>45398</v>
      </c>
      <c r="G17" s="412">
        <f ca="1">SUMIF(PUXADA!A:P,TRANSMIT!A17,PUXADA!P:P)</f>
        <v>0</v>
      </c>
      <c r="H17" s="413">
        <f ca="1">SUMIF(PUXADA!A:P,TRANSMIT!A17,PUXADA!G:G)</f>
        <v>0</v>
      </c>
      <c r="I17" s="414">
        <f>SUMIF(HORÁRIO!$A:$A,TRANSMIT!$A17,HORÁRIO!Q:Q)</f>
        <v>0</v>
      </c>
      <c r="J17" s="414">
        <f>SUMIF(HORÁRIO!$A:$A,TRANSMIT!$A17,HORÁRIO!R:R)</f>
        <v>0</v>
      </c>
      <c r="K17" s="414">
        <f>SUMIF(HORÁRIO!$A:$A,TRANSMIT!$A17,HORÁRIO!S:S)+SUMIF(HORÁRIO!$A:$A,TRANSMIT!$A17,HORÁRIO!T:T)</f>
        <v>0</v>
      </c>
      <c r="L17" s="414">
        <f>SUMIF(HORÁRIO!$A:$A,TRANSMIT!$A17,HORÁRIO!AD:AD)</f>
        <v>0</v>
      </c>
      <c r="M17" s="414">
        <f>SUMIF(HORÁRIO!$A:$A,TRANSMIT!$A17,HORÁRIO!AE:AE)</f>
        <v>0</v>
      </c>
      <c r="N17" s="414"/>
      <c r="O17" s="415" t="str">
        <f>IFERROR(VLOOKUP(A17,HORÁRIO!A:AE,15,0),"")</f>
        <v/>
      </c>
    </row>
    <row r="18" spans="1:15" s="306" customFormat="1" ht="15.75" customHeight="1" x14ac:dyDescent="0.25">
      <c r="A18" s="401" t="str">
        <f t="shared" si="0"/>
        <v>C47074845398</v>
      </c>
      <c r="B18" s="306" t="s">
        <v>52</v>
      </c>
      <c r="C18" s="437" t="e">
        <f>VLOOKUP(B18,'BR''S'!B:G,6,0)</f>
        <v>#N/A</v>
      </c>
      <c r="D18" s="438" t="e">
        <f>VLOOKUP(B18,'BR''S'!B:D,3,0)</f>
        <v>#N/A</v>
      </c>
      <c r="E18" s="404"/>
      <c r="F18" s="411">
        <f t="shared" si="1"/>
        <v>45398</v>
      </c>
      <c r="G18" s="412">
        <f ca="1">SUMIF(PUXADA!A:P,TRANSMIT!A18,PUXADA!P:P)</f>
        <v>0</v>
      </c>
      <c r="H18" s="413">
        <f ca="1">SUMIF(PUXADA!A:P,TRANSMIT!A18,PUXADA!G:G)</f>
        <v>0</v>
      </c>
      <c r="I18" s="414">
        <f>SUMIF(HORÁRIO!$A:$A,TRANSMIT!$A18,HORÁRIO!Q:Q)</f>
        <v>0</v>
      </c>
      <c r="J18" s="414">
        <f>SUMIF(HORÁRIO!$A:$A,TRANSMIT!$A18,HORÁRIO!R:R)</f>
        <v>0</v>
      </c>
      <c r="K18" s="414">
        <f>SUMIF(HORÁRIO!$A:$A,TRANSMIT!$A18,HORÁRIO!S:S)+SUMIF(HORÁRIO!$A:$A,TRANSMIT!$A18,HORÁRIO!T:T)</f>
        <v>0</v>
      </c>
      <c r="L18" s="414">
        <f>SUMIF(HORÁRIO!$A:$A,TRANSMIT!$A18,HORÁRIO!AD:AD)</f>
        <v>0</v>
      </c>
      <c r="M18" s="414">
        <f>SUMIF(HORÁRIO!$A:$A,TRANSMIT!$A18,HORÁRIO!AE:AE)</f>
        <v>0</v>
      </c>
      <c r="N18" s="414"/>
      <c r="O18" s="415" t="str">
        <f>IFERROR(VLOOKUP(A18,HORÁRIO!A:AE,15,0),"")</f>
        <v/>
      </c>
    </row>
    <row r="19" spans="1:15" s="306" customFormat="1" ht="15.75" customHeight="1" x14ac:dyDescent="0.25">
      <c r="A19" s="401" t="str">
        <f t="shared" si="0"/>
        <v>C47075145398</v>
      </c>
      <c r="B19" s="306" t="s">
        <v>53</v>
      </c>
      <c r="C19" s="437" t="e">
        <f>VLOOKUP(B19,'BR''S'!B:G,6,0)</f>
        <v>#N/A</v>
      </c>
      <c r="D19" s="438" t="e">
        <f>VLOOKUP(B19,'BR''S'!B:D,3,0)</f>
        <v>#N/A</v>
      </c>
      <c r="E19" s="404"/>
      <c r="F19" s="411">
        <f t="shared" si="1"/>
        <v>45398</v>
      </c>
      <c r="G19" s="412">
        <f ca="1">SUMIF(PUXADA!A:P,TRANSMIT!A19,PUXADA!P:P)</f>
        <v>0</v>
      </c>
      <c r="H19" s="413">
        <f ca="1">SUMIF(PUXADA!A:P,TRANSMIT!A19,PUXADA!G:G)</f>
        <v>0</v>
      </c>
      <c r="I19" s="414">
        <f>SUMIF(HORÁRIO!$A:$A,TRANSMIT!$A19,HORÁRIO!Q:Q)</f>
        <v>0</v>
      </c>
      <c r="J19" s="414">
        <f>SUMIF(HORÁRIO!$A:$A,TRANSMIT!$A19,HORÁRIO!R:R)</f>
        <v>0</v>
      </c>
      <c r="K19" s="414">
        <f>SUMIF(HORÁRIO!$A:$A,TRANSMIT!$A19,HORÁRIO!S:S)+SUMIF(HORÁRIO!$A:$A,TRANSMIT!$A19,HORÁRIO!T:T)</f>
        <v>0</v>
      </c>
      <c r="L19" s="414">
        <f>SUMIF(HORÁRIO!$A:$A,TRANSMIT!$A19,HORÁRIO!AD:AD)</f>
        <v>0</v>
      </c>
      <c r="M19" s="414">
        <f>SUMIF(HORÁRIO!$A:$A,TRANSMIT!$A19,HORÁRIO!AE:AE)</f>
        <v>0</v>
      </c>
      <c r="N19" s="414"/>
      <c r="O19" s="415" t="str">
        <f>IFERROR(VLOOKUP(A19,HORÁRIO!A:AE,15,0),"")</f>
        <v/>
      </c>
    </row>
    <row r="20" spans="1:15" s="306" customFormat="1" ht="15.75" customHeight="1" x14ac:dyDescent="0.25">
      <c r="A20" s="401" t="str">
        <f t="shared" si="0"/>
        <v>C47073945398</v>
      </c>
      <c r="B20" s="306" t="s">
        <v>54</v>
      </c>
      <c r="C20" s="437" t="e">
        <f>VLOOKUP(B20,'BR''S'!B:G,6,0)</f>
        <v>#N/A</v>
      </c>
      <c r="D20" s="438" t="e">
        <f>VLOOKUP(B20,'BR''S'!B:D,3,0)</f>
        <v>#N/A</v>
      </c>
      <c r="E20" s="404"/>
      <c r="F20" s="411">
        <f t="shared" si="1"/>
        <v>45398</v>
      </c>
      <c r="G20" s="412">
        <f ca="1">SUMIF(PUXADA!A:P,TRANSMIT!A20,PUXADA!P:P)</f>
        <v>0</v>
      </c>
      <c r="H20" s="413">
        <f ca="1">SUMIF(PUXADA!A:P,TRANSMIT!A20,PUXADA!G:G)</f>
        <v>0</v>
      </c>
      <c r="I20" s="414">
        <f>SUMIF(HORÁRIO!$A:$A,TRANSMIT!$A20,HORÁRIO!Q:Q)</f>
        <v>0</v>
      </c>
      <c r="J20" s="414">
        <f>SUMIF(HORÁRIO!$A:$A,TRANSMIT!$A20,HORÁRIO!R:R)</f>
        <v>0</v>
      </c>
      <c r="K20" s="414">
        <f>SUMIF(HORÁRIO!$A:$A,TRANSMIT!$A20,HORÁRIO!S:S)+SUMIF(HORÁRIO!$A:$A,TRANSMIT!$A20,HORÁRIO!T:T)</f>
        <v>0</v>
      </c>
      <c r="L20" s="414">
        <f>SUMIF(HORÁRIO!$A:$A,TRANSMIT!$A20,HORÁRIO!AD:AD)</f>
        <v>0</v>
      </c>
      <c r="M20" s="414">
        <f>SUMIF(HORÁRIO!$A:$A,TRANSMIT!$A20,HORÁRIO!AE:AE)</f>
        <v>0</v>
      </c>
      <c r="N20" s="414"/>
      <c r="O20" s="415" t="str">
        <f>IFERROR(VLOOKUP(A20,HORÁRIO!A:AE,15,0),"")</f>
        <v/>
      </c>
    </row>
    <row r="21" spans="1:15" s="306" customFormat="1" ht="15.75" customHeight="1" thickBot="1" x14ac:dyDescent="0.3">
      <c r="A21" s="401" t="str">
        <f t="shared" si="0"/>
        <v>C47002245398</v>
      </c>
      <c r="B21" s="306" t="s">
        <v>55</v>
      </c>
      <c r="C21" s="437" t="e">
        <f>VLOOKUP(B21,'BR''S'!B:G,6,0)</f>
        <v>#N/A</v>
      </c>
      <c r="D21" s="438" t="e">
        <f>VLOOKUP(B21,'BR''S'!B:D,3,0)</f>
        <v>#N/A</v>
      </c>
      <c r="E21" s="404"/>
      <c r="F21" s="411">
        <f t="shared" si="1"/>
        <v>45398</v>
      </c>
      <c r="G21" s="412">
        <f ca="1">SUMIF(PUXADA!A:P,TRANSMIT!A21,PUXADA!P:P)</f>
        <v>0</v>
      </c>
      <c r="H21" s="413">
        <f ca="1">SUMIF(PUXADA!A:P,TRANSMIT!A21,PUXADA!G:G)</f>
        <v>0</v>
      </c>
      <c r="I21" s="414">
        <f>SUMIF(HORÁRIO!$A:$A,TRANSMIT!$A21,HORÁRIO!Q:Q)</f>
        <v>0</v>
      </c>
      <c r="J21" s="414">
        <f>SUMIF(HORÁRIO!$A:$A,TRANSMIT!$A21,HORÁRIO!R:R)</f>
        <v>0</v>
      </c>
      <c r="K21" s="414">
        <f>SUMIF(HORÁRIO!$A:$A,TRANSMIT!$A21,HORÁRIO!S:S)+SUMIF(HORÁRIO!$A:$A,TRANSMIT!$A21,HORÁRIO!T:T)</f>
        <v>0</v>
      </c>
      <c r="L21" s="414">
        <f>SUMIF(HORÁRIO!$A:$A,TRANSMIT!$A21,HORÁRIO!AD:AD)</f>
        <v>0</v>
      </c>
      <c r="M21" s="414">
        <f>SUMIF(HORÁRIO!$A:$A,TRANSMIT!$A21,HORÁRIO!AE:AE)</f>
        <v>0</v>
      </c>
      <c r="N21" s="414"/>
      <c r="O21" s="415" t="str">
        <f>IFERROR(VLOOKUP(A21,HORÁRIO!A:AE,15,0),"")</f>
        <v/>
      </c>
    </row>
    <row r="22" spans="1:15" s="306" customFormat="1" ht="15.75" customHeight="1" thickBot="1" x14ac:dyDescent="0.3">
      <c r="A22" s="401"/>
      <c r="C22" s="423"/>
      <c r="D22" s="424" t="s">
        <v>13</v>
      </c>
      <c r="E22" s="425">
        <f>SUM(E5:E21)</f>
        <v>0</v>
      </c>
      <c r="F22" s="426" t="s">
        <v>31</v>
      </c>
      <c r="G22" s="427">
        <f t="shared" ref="G22:M22" ca="1" si="2">SUM(G5:G21)</f>
        <v>0</v>
      </c>
      <c r="H22" s="428">
        <f t="shared" ca="1" si="2"/>
        <v>0</v>
      </c>
      <c r="I22" s="428">
        <f t="shared" si="2"/>
        <v>0</v>
      </c>
      <c r="J22" s="428">
        <f t="shared" si="2"/>
        <v>0</v>
      </c>
      <c r="K22" s="428">
        <f t="shared" si="2"/>
        <v>0</v>
      </c>
      <c r="L22" s="428">
        <f t="shared" si="2"/>
        <v>0</v>
      </c>
      <c r="M22" s="428">
        <f t="shared" si="2"/>
        <v>0</v>
      </c>
      <c r="N22" s="429">
        <f>SUM(N5:N21)</f>
        <v>0</v>
      </c>
      <c r="O22" s="430"/>
    </row>
    <row r="23" spans="1:15" s="306" customFormat="1" ht="16.5" customHeight="1" thickBot="1" x14ac:dyDescent="0.3">
      <c r="A23" s="311"/>
      <c r="C23" s="662" t="s">
        <v>32</v>
      </c>
      <c r="D23" s="663"/>
      <c r="E23" s="662" t="s">
        <v>33</v>
      </c>
      <c r="F23" s="663"/>
      <c r="G23" s="664"/>
      <c r="H23" s="662" t="s">
        <v>34</v>
      </c>
      <c r="I23" s="663"/>
      <c r="J23" s="663"/>
      <c r="K23" s="663"/>
      <c r="L23" s="663"/>
      <c r="M23" s="663"/>
      <c r="N23" s="663"/>
      <c r="O23" s="664"/>
    </row>
    <row r="24" spans="1:15" s="306" customFormat="1" ht="49.5" customHeight="1" thickBot="1" x14ac:dyDescent="0.3">
      <c r="A24" s="311"/>
      <c r="C24" s="665"/>
      <c r="D24" s="666"/>
      <c r="E24" s="667"/>
      <c r="F24" s="668"/>
      <c r="G24" s="669"/>
      <c r="H24" s="667"/>
      <c r="I24" s="668"/>
      <c r="J24" s="668"/>
      <c r="K24" s="668"/>
      <c r="L24" s="668"/>
      <c r="M24" s="668"/>
      <c r="N24" s="668"/>
      <c r="O24" s="669"/>
    </row>
    <row r="26" spans="1:15" ht="12.75" customHeight="1" x14ac:dyDescent="0.2">
      <c r="C26" s="275"/>
      <c r="D26" s="275"/>
      <c r="E26" s="275"/>
      <c r="F26" s="275"/>
      <c r="G26" s="275"/>
      <c r="H26" s="275"/>
      <c r="I26" s="275"/>
      <c r="J26" s="275"/>
      <c r="K26" s="275"/>
      <c r="L26" s="275"/>
      <c r="M26" s="275"/>
      <c r="N26" s="275"/>
      <c r="O26" s="275"/>
    </row>
  </sheetData>
  <sheetProtection formatCells="0" formatColumns="0" formatRows="0" insertColumns="0" insertRows="0" insertHyperlinks="0" deleteColumns="0" deleteRows="0" sort="0" autoFilter="0" pivotTables="0"/>
  <mergeCells count="12">
    <mergeCell ref="C23:D23"/>
    <mergeCell ref="E23:G23"/>
    <mergeCell ref="H23:O23"/>
    <mergeCell ref="C24:D24"/>
    <mergeCell ref="E24:G24"/>
    <mergeCell ref="H24:O24"/>
    <mergeCell ref="C1:F1"/>
    <mergeCell ref="G1:H1"/>
    <mergeCell ref="I1:L1"/>
    <mergeCell ref="M1:O3"/>
    <mergeCell ref="C2:D3"/>
    <mergeCell ref="E2:F3"/>
  </mergeCells>
  <conditionalFormatting sqref="G5:G21">
    <cfRule type="cellIs" dxfId="786" priority="1" operator="equal">
      <formula>0</formula>
    </cfRule>
  </conditionalFormatting>
  <pageMargins left="0" right="0" top="0" bottom="0" header="0" footer="0"/>
  <pageSetup paperSize="9" scale="89" firstPageNumber="0" orientation="landscape" r:id="rId1"/>
  <headerFooter alignWithMargins="0"/>
  <ignoredErrors>
    <ignoredError sqref="F5:M5 F7:M14 F6:M6 O6:O14 O15:O21 O5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02"/>
  <dimension ref="A1:U100"/>
  <sheetViews>
    <sheetView showGridLines="0" topLeftCell="C1" zoomScale="118" zoomScaleNormal="118" workbookViewId="0">
      <selection activeCell="C16" sqref="C16:Q24"/>
    </sheetView>
  </sheetViews>
  <sheetFormatPr defaultColWidth="9.140625" defaultRowHeight="11.25" x14ac:dyDescent="0.2"/>
  <cols>
    <col min="1" max="1" width="13.42578125" style="332" hidden="1" customWidth="1"/>
    <col min="2" max="2" width="20.5703125" style="332" hidden="1" customWidth="1"/>
    <col min="3" max="4" width="10.42578125" style="332" bestFit="1" customWidth="1"/>
    <col min="5" max="5" width="8.5703125" style="332" customWidth="1"/>
    <col min="6" max="6" width="12.140625" style="334" bestFit="1" customWidth="1"/>
    <col min="7" max="7" width="14.140625" style="332" bestFit="1" customWidth="1"/>
    <col min="8" max="8" width="10.42578125" style="332" bestFit="1" customWidth="1"/>
    <col min="9" max="9" width="11.5703125" style="332" bestFit="1" customWidth="1"/>
    <col min="10" max="10" width="14.140625" style="332" bestFit="1" customWidth="1"/>
    <col min="11" max="11" width="5.5703125" style="332" bestFit="1" customWidth="1"/>
    <col min="12" max="12" width="8.7109375" style="332" bestFit="1" customWidth="1"/>
    <col min="13" max="13" width="5.140625" style="332" customWidth="1"/>
    <col min="14" max="14" width="5.42578125" style="332" customWidth="1"/>
    <col min="15" max="15" width="14.28515625" style="332" bestFit="1" customWidth="1"/>
    <col min="16" max="16" width="13" style="332" customWidth="1"/>
    <col min="17" max="17" width="10.85546875" style="332" bestFit="1" customWidth="1"/>
    <col min="18" max="18" width="18.7109375" style="332" customWidth="1"/>
    <col min="19" max="19" width="3.85546875" style="332" customWidth="1"/>
    <col min="20" max="20" width="9.140625" style="332"/>
    <col min="21" max="21" width="11.85546875" style="332" customWidth="1"/>
    <col min="22" max="16384" width="9.140625" style="332"/>
  </cols>
  <sheetData>
    <row r="1" spans="1:21" s="331" customFormat="1" ht="45" x14ac:dyDescent="0.2">
      <c r="A1" s="602"/>
      <c r="B1" s="602"/>
      <c r="C1" s="330" t="s">
        <v>56</v>
      </c>
      <c r="D1" s="330" t="s">
        <v>57</v>
      </c>
      <c r="E1" s="330" t="s">
        <v>58</v>
      </c>
      <c r="F1" s="330" t="s">
        <v>59</v>
      </c>
      <c r="G1" s="330" t="s">
        <v>60</v>
      </c>
      <c r="H1" s="330" t="s">
        <v>61</v>
      </c>
      <c r="I1" s="330" t="s">
        <v>62</v>
      </c>
      <c r="J1" s="330" t="s">
        <v>63</v>
      </c>
      <c r="K1" s="330" t="s">
        <v>64</v>
      </c>
      <c r="L1" s="330" t="s">
        <v>65</v>
      </c>
      <c r="M1" s="330" t="s">
        <v>66</v>
      </c>
      <c r="N1" s="330" t="s">
        <v>67</v>
      </c>
      <c r="O1" s="330" t="s">
        <v>68</v>
      </c>
      <c r="P1" s="330" t="s">
        <v>69</v>
      </c>
      <c r="Q1" s="330" t="s">
        <v>70</v>
      </c>
      <c r="R1" s="330" t="s">
        <v>71</v>
      </c>
    </row>
    <row r="2" spans="1:21" ht="12.75" x14ac:dyDescent="0.2">
      <c r="A2" s="332" t="s">
        <v>859</v>
      </c>
      <c r="B2" s="332" t="s">
        <v>860</v>
      </c>
      <c r="C2" s="562">
        <v>46234</v>
      </c>
      <c r="D2" s="562">
        <v>46233</v>
      </c>
      <c r="E2" s="563" t="s">
        <v>72</v>
      </c>
      <c r="F2" s="563">
        <v>6497427</v>
      </c>
      <c r="G2" s="564">
        <v>19</v>
      </c>
      <c r="H2" s="563">
        <v>7009</v>
      </c>
      <c r="I2" s="563" t="s">
        <v>73</v>
      </c>
      <c r="J2" s="563">
        <v>1</v>
      </c>
      <c r="K2" s="563" t="s">
        <v>74</v>
      </c>
      <c r="L2" s="563" t="s">
        <v>75</v>
      </c>
      <c r="M2" s="563" t="s">
        <v>76</v>
      </c>
      <c r="N2" s="563">
        <v>1</v>
      </c>
      <c r="O2" s="565">
        <v>202.2</v>
      </c>
      <c r="P2" s="565">
        <v>202.2</v>
      </c>
      <c r="Q2" s="565">
        <v>0</v>
      </c>
      <c r="R2" s="333" t="str">
        <f>VLOOKUP(I2,'BR''S'!B:D,3,0)</f>
        <v>FADEL - FIXO - FIORINO</v>
      </c>
    </row>
    <row r="3" spans="1:21" ht="12.75" x14ac:dyDescent="0.2">
      <c r="A3" s="332" t="s">
        <v>861</v>
      </c>
      <c r="B3" s="332" t="s">
        <v>862</v>
      </c>
      <c r="C3" s="562">
        <v>46234</v>
      </c>
      <c r="D3" s="562">
        <v>46233</v>
      </c>
      <c r="E3" s="563" t="s">
        <v>72</v>
      </c>
      <c r="F3" s="563">
        <v>6497865</v>
      </c>
      <c r="G3" s="564">
        <v>20</v>
      </c>
      <c r="H3" s="563">
        <v>7013</v>
      </c>
      <c r="I3" s="563" t="s">
        <v>77</v>
      </c>
      <c r="J3" s="563">
        <v>2</v>
      </c>
      <c r="K3" s="563" t="s">
        <v>74</v>
      </c>
      <c r="L3" s="563" t="s">
        <v>75</v>
      </c>
      <c r="M3" s="563" t="s">
        <v>76</v>
      </c>
      <c r="N3" s="563">
        <v>1</v>
      </c>
      <c r="O3" s="565">
        <v>1314.4</v>
      </c>
      <c r="P3" s="565">
        <v>178.4</v>
      </c>
      <c r="Q3" s="565">
        <v>1136</v>
      </c>
      <c r="R3" s="333" t="str">
        <f>VLOOKUP(I3,'BR''S'!B:D,3,0)</f>
        <v>FADEL - FIXO - FIORINO</v>
      </c>
    </row>
    <row r="4" spans="1:21" ht="12.75" x14ac:dyDescent="0.2">
      <c r="A4" s="332" t="s">
        <v>863</v>
      </c>
      <c r="B4" s="332" t="s">
        <v>864</v>
      </c>
      <c r="C4" s="562">
        <v>46234</v>
      </c>
      <c r="D4" s="562">
        <v>46233</v>
      </c>
      <c r="E4" s="563" t="s">
        <v>72</v>
      </c>
      <c r="F4" s="563">
        <v>6497750</v>
      </c>
      <c r="G4" s="564">
        <v>14</v>
      </c>
      <c r="H4" s="563">
        <v>7008</v>
      </c>
      <c r="I4" s="563" t="s">
        <v>78</v>
      </c>
      <c r="J4" s="563">
        <v>3</v>
      </c>
      <c r="K4" s="563" t="s">
        <v>74</v>
      </c>
      <c r="L4" s="563" t="s">
        <v>75</v>
      </c>
      <c r="M4" s="563" t="s">
        <v>76</v>
      </c>
      <c r="N4" s="563">
        <v>1</v>
      </c>
      <c r="O4" s="565">
        <v>242.2</v>
      </c>
      <c r="P4" s="565">
        <v>124.2</v>
      </c>
      <c r="Q4" s="565">
        <v>118</v>
      </c>
      <c r="R4" s="333" t="str">
        <f>VLOOKUP(I4,'BR''S'!B:D,3,0)</f>
        <v>FADEL - FIXO - FIORINO</v>
      </c>
      <c r="T4" s="335" t="s">
        <v>79</v>
      </c>
      <c r="U4" s="335">
        <f>SUBTOTAL(9,G:G)</f>
        <v>284</v>
      </c>
    </row>
    <row r="5" spans="1:21" ht="12.75" x14ac:dyDescent="0.2">
      <c r="A5" s="332" t="s">
        <v>865</v>
      </c>
      <c r="B5" s="332" t="s">
        <v>866</v>
      </c>
      <c r="C5" s="562">
        <v>46234</v>
      </c>
      <c r="D5" s="562">
        <v>46233</v>
      </c>
      <c r="E5" s="563" t="s">
        <v>72</v>
      </c>
      <c r="F5" s="563">
        <v>6497120</v>
      </c>
      <c r="G5" s="564">
        <v>27</v>
      </c>
      <c r="H5" s="563">
        <v>7015</v>
      </c>
      <c r="I5" s="563" t="s">
        <v>82</v>
      </c>
      <c r="J5" s="563">
        <v>5</v>
      </c>
      <c r="K5" s="563" t="s">
        <v>74</v>
      </c>
      <c r="L5" s="563" t="s">
        <v>75</v>
      </c>
      <c r="M5" s="563" t="s">
        <v>76</v>
      </c>
      <c r="N5" s="563">
        <v>1</v>
      </c>
      <c r="O5" s="565">
        <v>605.79999999999995</v>
      </c>
      <c r="P5" s="565">
        <v>265.8</v>
      </c>
      <c r="Q5" s="565">
        <v>340</v>
      </c>
      <c r="R5" s="333" t="str">
        <f>VLOOKUP(I5,'BR''S'!B:D,3,0)</f>
        <v>FADEL - FIXO - FIORINO</v>
      </c>
      <c r="T5" s="335" t="s">
        <v>81</v>
      </c>
      <c r="U5" s="335">
        <f>SUBTOTAL(9,P:P)</f>
        <v>6161.0000000000009</v>
      </c>
    </row>
    <row r="6" spans="1:21" ht="12.75" x14ac:dyDescent="0.2">
      <c r="A6" s="332" t="s">
        <v>867</v>
      </c>
      <c r="B6" s="332" t="s">
        <v>868</v>
      </c>
      <c r="C6" s="562">
        <v>46234</v>
      </c>
      <c r="D6" s="562">
        <v>46233</v>
      </c>
      <c r="E6" s="563" t="s">
        <v>72</v>
      </c>
      <c r="F6" s="563">
        <v>6497807</v>
      </c>
      <c r="G6" s="564">
        <v>23</v>
      </c>
      <c r="H6" s="563">
        <v>7010</v>
      </c>
      <c r="I6" s="563" t="s">
        <v>83</v>
      </c>
      <c r="J6" s="563">
        <v>6</v>
      </c>
      <c r="K6" s="563" t="s">
        <v>74</v>
      </c>
      <c r="L6" s="563" t="s">
        <v>75</v>
      </c>
      <c r="M6" s="563" t="s">
        <v>76</v>
      </c>
      <c r="N6" s="563">
        <v>1</v>
      </c>
      <c r="O6" s="565">
        <v>501.2</v>
      </c>
      <c r="P6" s="565">
        <v>285.2</v>
      </c>
      <c r="Q6" s="565">
        <v>216</v>
      </c>
      <c r="R6" s="333" t="str">
        <f>VLOOKUP(I6,'BR''S'!B:D,3,0)</f>
        <v>FADEL - FIXO - FIORINO</v>
      </c>
      <c r="T6" s="335"/>
      <c r="U6" s="335"/>
    </row>
    <row r="7" spans="1:21" ht="12.75" x14ac:dyDescent="0.2">
      <c r="A7" s="332" t="s">
        <v>906</v>
      </c>
      <c r="B7" s="332" t="s">
        <v>907</v>
      </c>
      <c r="C7" s="562">
        <v>46234</v>
      </c>
      <c r="D7" s="562">
        <v>46233</v>
      </c>
      <c r="E7" s="563" t="s">
        <v>72</v>
      </c>
      <c r="F7" s="563">
        <v>6498037</v>
      </c>
      <c r="G7" s="564">
        <v>11</v>
      </c>
      <c r="H7" s="563">
        <v>6710</v>
      </c>
      <c r="I7" s="563" t="s">
        <v>94</v>
      </c>
      <c r="J7" s="563">
        <v>170</v>
      </c>
      <c r="K7" s="563" t="s">
        <v>74</v>
      </c>
      <c r="L7" s="563" t="s">
        <v>85</v>
      </c>
      <c r="M7" s="563" t="s">
        <v>76</v>
      </c>
      <c r="N7" s="563">
        <v>2</v>
      </c>
      <c r="O7" s="565">
        <v>494.2</v>
      </c>
      <c r="P7" s="565">
        <v>125.2</v>
      </c>
      <c r="Q7" s="565">
        <v>369</v>
      </c>
      <c r="R7" s="333" t="str">
        <f>VLOOKUP(I7,'BR''S'!B:D,3,0)</f>
        <v>FADEL - FIXO - VAN</v>
      </c>
      <c r="T7" s="335"/>
      <c r="U7" s="335"/>
    </row>
    <row r="8" spans="1:21" ht="12.75" x14ac:dyDescent="0.2">
      <c r="A8" s="332" t="s">
        <v>869</v>
      </c>
      <c r="B8" s="332" t="s">
        <v>870</v>
      </c>
      <c r="C8" s="562">
        <v>46234</v>
      </c>
      <c r="D8" s="562">
        <v>46233</v>
      </c>
      <c r="E8" s="563" t="s">
        <v>72</v>
      </c>
      <c r="F8" s="563">
        <v>6497843</v>
      </c>
      <c r="G8" s="564">
        <v>6</v>
      </c>
      <c r="H8" s="563">
        <v>4067</v>
      </c>
      <c r="I8" s="563" t="s">
        <v>86</v>
      </c>
      <c r="J8" s="563">
        <v>50</v>
      </c>
      <c r="K8" s="563" t="s">
        <v>74</v>
      </c>
      <c r="L8" s="563" t="s">
        <v>85</v>
      </c>
      <c r="M8" s="563" t="s">
        <v>76</v>
      </c>
      <c r="N8" s="563">
        <v>1</v>
      </c>
      <c r="O8" s="565">
        <v>148.19999999999999</v>
      </c>
      <c r="P8" s="565">
        <v>124.2</v>
      </c>
      <c r="Q8" s="565">
        <v>24</v>
      </c>
      <c r="R8" s="333" t="str">
        <f>VLOOKUP(I8,'BR''S'!B:D,3,0)</f>
        <v>FADEL - FIXO - VAN</v>
      </c>
      <c r="T8" s="335"/>
      <c r="U8" s="335"/>
    </row>
    <row r="9" spans="1:21" ht="12.75" x14ac:dyDescent="0.2">
      <c r="A9" s="332" t="s">
        <v>871</v>
      </c>
      <c r="B9" s="332" t="s">
        <v>872</v>
      </c>
      <c r="C9" s="562">
        <v>46234</v>
      </c>
      <c r="D9" s="562">
        <v>46233</v>
      </c>
      <c r="E9" s="563" t="s">
        <v>72</v>
      </c>
      <c r="F9" s="563">
        <v>6497187</v>
      </c>
      <c r="G9" s="564">
        <v>8</v>
      </c>
      <c r="H9" s="563">
        <v>6278</v>
      </c>
      <c r="I9" s="563" t="s">
        <v>87</v>
      </c>
      <c r="J9" s="563">
        <v>60</v>
      </c>
      <c r="K9" s="563" t="s">
        <v>74</v>
      </c>
      <c r="L9" s="563" t="s">
        <v>85</v>
      </c>
      <c r="M9" s="563" t="s">
        <v>76</v>
      </c>
      <c r="N9" s="563">
        <v>1</v>
      </c>
      <c r="O9" s="565">
        <v>97.8</v>
      </c>
      <c r="P9" s="565">
        <v>73.8</v>
      </c>
      <c r="Q9" s="565">
        <v>24</v>
      </c>
      <c r="R9" s="333" t="str">
        <f>VLOOKUP(I9,'BR''S'!B:D,3,0)</f>
        <v>FADEL - FIXO - FIORINO</v>
      </c>
      <c r="T9" s="335"/>
      <c r="U9" s="335"/>
    </row>
    <row r="10" spans="1:21" ht="12.75" x14ac:dyDescent="0.2">
      <c r="A10" s="332" t="s">
        <v>873</v>
      </c>
      <c r="B10" s="332" t="s">
        <v>874</v>
      </c>
      <c r="C10" s="562">
        <v>46234</v>
      </c>
      <c r="D10" s="562">
        <v>46233</v>
      </c>
      <c r="E10" s="563" t="s">
        <v>72</v>
      </c>
      <c r="F10" s="563">
        <v>6497428</v>
      </c>
      <c r="G10" s="564">
        <v>31</v>
      </c>
      <c r="H10" s="563">
        <v>6280</v>
      </c>
      <c r="I10" s="563" t="s">
        <v>90</v>
      </c>
      <c r="J10" s="563">
        <v>110</v>
      </c>
      <c r="K10" s="563" t="s">
        <v>74</v>
      </c>
      <c r="L10" s="563" t="s">
        <v>85</v>
      </c>
      <c r="M10" s="563" t="s">
        <v>76</v>
      </c>
      <c r="N10" s="563">
        <v>1</v>
      </c>
      <c r="O10" s="565">
        <v>828.58500000000004</v>
      </c>
      <c r="P10" s="565">
        <v>184</v>
      </c>
      <c r="Q10" s="565">
        <v>644.58500000000004</v>
      </c>
      <c r="R10" s="333" t="str">
        <f>VLOOKUP(I10,'BR''S'!B:D,3,0)</f>
        <v>FADEL - FIXO - FIORINO</v>
      </c>
      <c r="T10" s="335"/>
      <c r="U10" s="335"/>
    </row>
    <row r="11" spans="1:21" ht="12.75" x14ac:dyDescent="0.2">
      <c r="A11" s="332" t="s">
        <v>875</v>
      </c>
      <c r="B11" s="332" t="s">
        <v>876</v>
      </c>
      <c r="C11" s="562">
        <v>46234</v>
      </c>
      <c r="D11" s="562">
        <v>46233</v>
      </c>
      <c r="E11" s="563" t="s">
        <v>72</v>
      </c>
      <c r="F11" s="600">
        <v>6497450</v>
      </c>
      <c r="G11" s="564">
        <v>29</v>
      </c>
      <c r="H11" s="600">
        <v>4061</v>
      </c>
      <c r="I11" s="563" t="s">
        <v>91</v>
      </c>
      <c r="J11" s="600">
        <v>130</v>
      </c>
      <c r="K11" s="563" t="s">
        <v>74</v>
      </c>
      <c r="L11" s="563" t="s">
        <v>85</v>
      </c>
      <c r="M11" s="563" t="s">
        <v>76</v>
      </c>
      <c r="N11" s="563">
        <v>1</v>
      </c>
      <c r="O11" s="565">
        <v>548.1</v>
      </c>
      <c r="P11" s="565">
        <v>351.1</v>
      </c>
      <c r="Q11" s="565">
        <v>197</v>
      </c>
      <c r="R11" s="333" t="str">
        <f>VLOOKUP(I11,'BR''S'!B:D,3,0)</f>
        <v>FADEL - FIXO - VAN</v>
      </c>
      <c r="T11" s="335"/>
      <c r="U11" s="335"/>
    </row>
    <row r="12" spans="1:21" ht="12.75" x14ac:dyDescent="0.2">
      <c r="A12" s="332" t="s">
        <v>877</v>
      </c>
      <c r="B12" s="332" t="s">
        <v>878</v>
      </c>
      <c r="C12" s="562">
        <v>46234</v>
      </c>
      <c r="D12" s="562">
        <v>46233</v>
      </c>
      <c r="E12" s="563" t="s">
        <v>72</v>
      </c>
      <c r="F12" s="600">
        <v>6497832</v>
      </c>
      <c r="G12" s="564">
        <v>20</v>
      </c>
      <c r="H12" s="600">
        <v>6273</v>
      </c>
      <c r="I12" s="563" t="s">
        <v>92</v>
      </c>
      <c r="J12" s="600">
        <v>150</v>
      </c>
      <c r="K12" s="563" t="s">
        <v>74</v>
      </c>
      <c r="L12" s="563" t="s">
        <v>85</v>
      </c>
      <c r="M12" s="563" t="s">
        <v>76</v>
      </c>
      <c r="N12" s="563">
        <v>1</v>
      </c>
      <c r="O12" s="565">
        <v>1205.8</v>
      </c>
      <c r="P12" s="565">
        <v>268.8</v>
      </c>
      <c r="Q12" s="565">
        <v>937</v>
      </c>
      <c r="R12" s="333" t="str">
        <f>VLOOKUP(I12,'BR''S'!B:D,3,0)</f>
        <v>FADEL - FIXO - FIORINO</v>
      </c>
      <c r="T12" s="335"/>
      <c r="U12" s="335"/>
    </row>
    <row r="13" spans="1:21" ht="12.75" x14ac:dyDescent="0.2">
      <c r="A13" s="332" t="s">
        <v>879</v>
      </c>
      <c r="B13" s="332" t="s">
        <v>880</v>
      </c>
      <c r="C13" s="562">
        <v>46234</v>
      </c>
      <c r="D13" s="562">
        <v>46233</v>
      </c>
      <c r="E13" s="563" t="s">
        <v>72</v>
      </c>
      <c r="F13" s="600">
        <v>6497188</v>
      </c>
      <c r="G13" s="564">
        <v>28</v>
      </c>
      <c r="H13" s="600">
        <v>6272</v>
      </c>
      <c r="I13" s="563" t="s">
        <v>93</v>
      </c>
      <c r="J13" s="600">
        <v>160</v>
      </c>
      <c r="K13" s="563" t="s">
        <v>74</v>
      </c>
      <c r="L13" s="563" t="s">
        <v>85</v>
      </c>
      <c r="M13" s="563" t="s">
        <v>76</v>
      </c>
      <c r="N13" s="600">
        <v>1</v>
      </c>
      <c r="O13" s="565">
        <v>656.4</v>
      </c>
      <c r="P13" s="565">
        <v>581.4</v>
      </c>
      <c r="Q13" s="565">
        <v>75</v>
      </c>
      <c r="R13" s="333" t="str">
        <f>VLOOKUP(I13,'BR''S'!B:D,3,0)</f>
        <v>FADEL - FIXO - VAN</v>
      </c>
      <c r="T13" s="335"/>
      <c r="U13" s="335"/>
    </row>
    <row r="14" spans="1:21" ht="12.75" x14ac:dyDescent="0.2">
      <c r="A14" s="332" t="s">
        <v>881</v>
      </c>
      <c r="B14" s="332" t="s">
        <v>882</v>
      </c>
      <c r="C14" s="562">
        <v>46234</v>
      </c>
      <c r="D14" s="562">
        <v>46233</v>
      </c>
      <c r="E14" s="563" t="s">
        <v>72</v>
      </c>
      <c r="F14" s="600">
        <v>6497525</v>
      </c>
      <c r="G14" s="564">
        <v>28</v>
      </c>
      <c r="H14" s="600">
        <v>5070</v>
      </c>
      <c r="I14" s="563" t="s">
        <v>95</v>
      </c>
      <c r="J14" s="600">
        <v>180</v>
      </c>
      <c r="K14" s="563" t="s">
        <v>74</v>
      </c>
      <c r="L14" s="563" t="s">
        <v>85</v>
      </c>
      <c r="M14" s="563" t="s">
        <v>76</v>
      </c>
      <c r="N14" s="600">
        <v>1</v>
      </c>
      <c r="O14" s="565">
        <v>1304.5</v>
      </c>
      <c r="P14" s="565">
        <v>388.5</v>
      </c>
      <c r="Q14" s="565">
        <v>916</v>
      </c>
      <c r="R14" s="333" t="str">
        <f>VLOOKUP(I14,'BR''S'!B:D,3,0)</f>
        <v>FADEL - FIXO - VAN</v>
      </c>
      <c r="T14" s="335"/>
      <c r="U14" s="335"/>
    </row>
    <row r="15" spans="1:21" ht="12.75" x14ac:dyDescent="0.2">
      <c r="A15" s="332" t="s">
        <v>883</v>
      </c>
      <c r="B15" s="332" t="s">
        <v>884</v>
      </c>
      <c r="C15" s="562">
        <v>46234</v>
      </c>
      <c r="D15" s="562">
        <v>46233</v>
      </c>
      <c r="E15" s="563" t="s">
        <v>72</v>
      </c>
      <c r="F15" s="600">
        <v>6497537</v>
      </c>
      <c r="G15" s="564">
        <v>10</v>
      </c>
      <c r="H15" s="600">
        <v>7020</v>
      </c>
      <c r="I15" s="563" t="s">
        <v>96</v>
      </c>
      <c r="J15" s="600">
        <v>200</v>
      </c>
      <c r="K15" s="563" t="s">
        <v>74</v>
      </c>
      <c r="L15" s="563" t="s">
        <v>75</v>
      </c>
      <c r="M15" s="563" t="s">
        <v>76</v>
      </c>
      <c r="N15" s="600">
        <v>1</v>
      </c>
      <c r="O15" s="565">
        <v>1698.6</v>
      </c>
      <c r="P15" s="565">
        <v>66.599999999999994</v>
      </c>
      <c r="Q15" s="565">
        <v>1632</v>
      </c>
      <c r="R15" s="333" t="str">
        <f>VLOOKUP(I15,'BR''S'!B:D,3,0)</f>
        <v>FADEL - FIXO - VAN</v>
      </c>
      <c r="T15" s="335"/>
      <c r="U15" s="335"/>
    </row>
    <row r="16" spans="1:21" ht="12.75" x14ac:dyDescent="0.2">
      <c r="A16" s="332" t="s">
        <v>885</v>
      </c>
      <c r="B16" s="332" t="s">
        <v>886</v>
      </c>
      <c r="C16" s="596">
        <v>46240</v>
      </c>
      <c r="D16" s="596">
        <v>46233</v>
      </c>
      <c r="E16" s="597" t="s">
        <v>72</v>
      </c>
      <c r="F16" s="601">
        <v>6497848</v>
      </c>
      <c r="G16" s="598">
        <v>1</v>
      </c>
      <c r="H16" s="601">
        <v>4065</v>
      </c>
      <c r="I16" s="597" t="s">
        <v>556</v>
      </c>
      <c r="J16" s="601">
        <v>700</v>
      </c>
      <c r="K16" s="597" t="s">
        <v>74</v>
      </c>
      <c r="L16" s="597" t="s">
        <v>75</v>
      </c>
      <c r="M16" s="597" t="s">
        <v>76</v>
      </c>
      <c r="N16" s="601">
        <v>1</v>
      </c>
      <c r="O16" s="599">
        <v>60.8</v>
      </c>
      <c r="P16" s="599">
        <v>0.8</v>
      </c>
      <c r="Q16" s="599">
        <v>60</v>
      </c>
      <c r="R16" s="333" t="str">
        <f>VLOOKUP(I16,'BR''S'!B:D,3,0)</f>
        <v>PONTA GROSSA</v>
      </c>
      <c r="T16" s="335"/>
      <c r="U16" s="335"/>
    </row>
    <row r="17" spans="1:18" ht="12.75" x14ac:dyDescent="0.2">
      <c r="A17" s="332" t="s">
        <v>887</v>
      </c>
      <c r="B17" s="332" t="s">
        <v>888</v>
      </c>
      <c r="C17" s="596">
        <v>46238</v>
      </c>
      <c r="D17" s="596">
        <v>46233</v>
      </c>
      <c r="E17" s="597" t="s">
        <v>72</v>
      </c>
      <c r="F17" s="601">
        <v>6498113</v>
      </c>
      <c r="G17" s="598">
        <v>1</v>
      </c>
      <c r="H17" s="601">
        <v>6290</v>
      </c>
      <c r="I17" s="597" t="s">
        <v>567</v>
      </c>
      <c r="J17" s="601">
        <v>810</v>
      </c>
      <c r="K17" s="597" t="s">
        <v>74</v>
      </c>
      <c r="L17" s="597" t="s">
        <v>75</v>
      </c>
      <c r="M17" s="597" t="s">
        <v>76</v>
      </c>
      <c r="N17" s="601">
        <v>1</v>
      </c>
      <c r="O17" s="599">
        <v>177.52500000000001</v>
      </c>
      <c r="P17" s="599">
        <v>30.6</v>
      </c>
      <c r="Q17" s="599">
        <v>146.92500000000001</v>
      </c>
      <c r="R17" s="333" t="str">
        <f>VLOOKUP(I17,'BR''S'!B:D,3,0)</f>
        <v>GUARAPUAVA</v>
      </c>
    </row>
    <row r="18" spans="1:18" ht="12.75" x14ac:dyDescent="0.2">
      <c r="A18" s="332" t="s">
        <v>889</v>
      </c>
      <c r="B18" s="332" t="s">
        <v>890</v>
      </c>
      <c r="C18" s="596">
        <v>46234</v>
      </c>
      <c r="D18" s="596">
        <v>46233</v>
      </c>
      <c r="E18" s="597" t="s">
        <v>72</v>
      </c>
      <c r="F18" s="601">
        <v>6497930</v>
      </c>
      <c r="G18" s="598">
        <v>1</v>
      </c>
      <c r="H18" s="601">
        <v>1087</v>
      </c>
      <c r="I18" s="597" t="s">
        <v>583</v>
      </c>
      <c r="J18" s="601">
        <v>870</v>
      </c>
      <c r="K18" s="597" t="s">
        <v>74</v>
      </c>
      <c r="L18" s="597" t="s">
        <v>75</v>
      </c>
      <c r="M18" s="597" t="s">
        <v>76</v>
      </c>
      <c r="N18" s="601">
        <v>1</v>
      </c>
      <c r="O18" s="599">
        <v>33.799999999999997</v>
      </c>
      <c r="P18" s="599">
        <v>33.799999999999997</v>
      </c>
      <c r="Q18" s="599">
        <v>0</v>
      </c>
      <c r="R18" s="333" t="str">
        <f>VLOOKUP(I18,'BR''S'!B:D,3,0)</f>
        <v>SUDOESTE</v>
      </c>
    </row>
    <row r="19" spans="1:18" ht="12.75" x14ac:dyDescent="0.2">
      <c r="A19" s="332" t="s">
        <v>891</v>
      </c>
      <c r="B19" s="332" t="s">
        <v>892</v>
      </c>
      <c r="C19" s="596">
        <v>46234</v>
      </c>
      <c r="D19" s="596">
        <v>46233</v>
      </c>
      <c r="E19" s="597" t="s">
        <v>72</v>
      </c>
      <c r="F19" s="601">
        <v>6497919</v>
      </c>
      <c r="G19" s="598">
        <v>2</v>
      </c>
      <c r="H19" s="601">
        <v>4064</v>
      </c>
      <c r="I19" s="597" t="s">
        <v>574</v>
      </c>
      <c r="J19" s="601">
        <v>880</v>
      </c>
      <c r="K19" s="597" t="s">
        <v>74</v>
      </c>
      <c r="L19" s="597" t="s">
        <v>75</v>
      </c>
      <c r="M19" s="597" t="s">
        <v>76</v>
      </c>
      <c r="N19" s="601">
        <v>1</v>
      </c>
      <c r="O19" s="599">
        <v>794</v>
      </c>
      <c r="P19" s="599">
        <v>2</v>
      </c>
      <c r="Q19" s="599">
        <v>792</v>
      </c>
      <c r="R19" s="333" t="str">
        <f>VLOOKUP(I19,'BR''S'!B:D,3,0)</f>
        <v>SUDOESTE</v>
      </c>
    </row>
    <row r="20" spans="1:18" ht="12.75" x14ac:dyDescent="0.2">
      <c r="A20" s="332" t="s">
        <v>893</v>
      </c>
      <c r="B20" s="332" t="s">
        <v>894</v>
      </c>
      <c r="C20" s="596">
        <v>46240</v>
      </c>
      <c r="D20" s="596">
        <v>46233</v>
      </c>
      <c r="E20" s="597" t="s">
        <v>72</v>
      </c>
      <c r="F20" s="601">
        <v>6497509</v>
      </c>
      <c r="G20" s="598">
        <v>1</v>
      </c>
      <c r="H20" s="601">
        <v>6291</v>
      </c>
      <c r="I20" s="597" t="s">
        <v>569</v>
      </c>
      <c r="J20" s="601">
        <v>890</v>
      </c>
      <c r="K20" s="597" t="s">
        <v>74</v>
      </c>
      <c r="L20" s="597" t="s">
        <v>75</v>
      </c>
      <c r="M20" s="597" t="s">
        <v>76</v>
      </c>
      <c r="N20" s="601">
        <v>1</v>
      </c>
      <c r="O20" s="599">
        <v>36.799999999999997</v>
      </c>
      <c r="P20" s="599">
        <v>0.8</v>
      </c>
      <c r="Q20" s="599">
        <v>36</v>
      </c>
      <c r="R20" s="333" t="str">
        <f>VLOOKUP(I20,'BR''S'!B:D,3,0)</f>
        <v>SUDOESTE</v>
      </c>
    </row>
    <row r="21" spans="1:18" ht="12.75" x14ac:dyDescent="0.2">
      <c r="A21" s="332" t="s">
        <v>895</v>
      </c>
      <c r="B21" s="332" t="s">
        <v>896</v>
      </c>
      <c r="C21" s="596">
        <v>46239</v>
      </c>
      <c r="D21" s="596">
        <v>46233</v>
      </c>
      <c r="E21" s="597" t="s">
        <v>72</v>
      </c>
      <c r="F21" s="601">
        <v>6497309</v>
      </c>
      <c r="G21" s="598">
        <v>1</v>
      </c>
      <c r="H21" s="601">
        <v>4072</v>
      </c>
      <c r="I21" s="597" t="s">
        <v>99</v>
      </c>
      <c r="J21" s="601">
        <v>900</v>
      </c>
      <c r="K21" s="597" t="s">
        <v>74</v>
      </c>
      <c r="L21" s="597" t="s">
        <v>75</v>
      </c>
      <c r="M21" s="597" t="s">
        <v>76</v>
      </c>
      <c r="N21" s="601">
        <v>1</v>
      </c>
      <c r="O21" s="599">
        <v>4344</v>
      </c>
      <c r="P21" s="599">
        <v>819</v>
      </c>
      <c r="Q21" s="599">
        <v>3525</v>
      </c>
      <c r="R21" s="333" t="str">
        <f>VLOOKUP(I20,'BR''S'!B:D,3,0)</f>
        <v>SUDOESTE</v>
      </c>
    </row>
    <row r="22" spans="1:18" ht="12.75" x14ac:dyDescent="0.2">
      <c r="A22" s="332" t="s">
        <v>897</v>
      </c>
      <c r="B22" s="332" t="s">
        <v>898</v>
      </c>
      <c r="C22" s="596">
        <v>46239</v>
      </c>
      <c r="D22" s="596">
        <v>46233</v>
      </c>
      <c r="E22" s="597" t="s">
        <v>72</v>
      </c>
      <c r="F22" s="601">
        <v>6498121</v>
      </c>
      <c r="G22" s="598">
        <v>1</v>
      </c>
      <c r="H22" s="601">
        <v>4781</v>
      </c>
      <c r="I22" s="597" t="s">
        <v>101</v>
      </c>
      <c r="J22" s="601">
        <v>901</v>
      </c>
      <c r="K22" s="597" t="s">
        <v>74</v>
      </c>
      <c r="L22" s="597" t="s">
        <v>75</v>
      </c>
      <c r="M22" s="597" t="s">
        <v>76</v>
      </c>
      <c r="N22" s="601">
        <v>1</v>
      </c>
      <c r="O22" s="599">
        <v>4003.93</v>
      </c>
      <c r="P22" s="599">
        <v>926</v>
      </c>
      <c r="Q22" s="599">
        <v>3077.93</v>
      </c>
      <c r="R22" s="333" t="str">
        <f>VLOOKUP(I21,'BR''S'!B:D,3,0)</f>
        <v>LITORAL</v>
      </c>
    </row>
    <row r="23" spans="1:18" ht="12.75" x14ac:dyDescent="0.2">
      <c r="A23" s="332" t="s">
        <v>899</v>
      </c>
      <c r="B23" s="332" t="s">
        <v>900</v>
      </c>
      <c r="C23" s="596">
        <v>46238</v>
      </c>
      <c r="D23" s="596">
        <v>46233</v>
      </c>
      <c r="E23" s="597" t="s">
        <v>72</v>
      </c>
      <c r="F23" s="601">
        <v>6497770</v>
      </c>
      <c r="G23" s="598">
        <v>1</v>
      </c>
      <c r="H23" s="601">
        <v>4070</v>
      </c>
      <c r="I23" s="597" t="s">
        <v>97</v>
      </c>
      <c r="J23" s="601">
        <v>902</v>
      </c>
      <c r="K23" s="597" t="s">
        <v>74</v>
      </c>
      <c r="L23" s="597" t="s">
        <v>75</v>
      </c>
      <c r="M23" s="597" t="s">
        <v>76</v>
      </c>
      <c r="N23" s="601">
        <v>1</v>
      </c>
      <c r="O23" s="599">
        <v>4824.9049999999997</v>
      </c>
      <c r="P23" s="599">
        <v>695</v>
      </c>
      <c r="Q23" s="599">
        <v>4129.9049999999997</v>
      </c>
      <c r="R23" s="333" t="str">
        <f>VLOOKUP(I22,'BR''S'!B:D,3,0)</f>
        <v>LITORAL</v>
      </c>
    </row>
    <row r="24" spans="1:18" ht="12.75" x14ac:dyDescent="0.2">
      <c r="A24" s="332" t="s">
        <v>901</v>
      </c>
      <c r="B24" s="332" t="s">
        <v>902</v>
      </c>
      <c r="C24" s="596">
        <v>46238</v>
      </c>
      <c r="D24" s="596">
        <v>46233</v>
      </c>
      <c r="E24" s="597" t="s">
        <v>72</v>
      </c>
      <c r="F24" s="601">
        <v>6498005</v>
      </c>
      <c r="G24" s="598">
        <v>1</v>
      </c>
      <c r="H24" s="601">
        <v>4066</v>
      </c>
      <c r="I24" s="597" t="s">
        <v>98</v>
      </c>
      <c r="J24" s="601">
        <v>903</v>
      </c>
      <c r="K24" s="597" t="s">
        <v>74</v>
      </c>
      <c r="L24" s="597" t="s">
        <v>75</v>
      </c>
      <c r="M24" s="597" t="s">
        <v>76</v>
      </c>
      <c r="N24" s="601">
        <v>1</v>
      </c>
      <c r="O24" s="599">
        <v>871.6</v>
      </c>
      <c r="P24" s="599">
        <v>433.6</v>
      </c>
      <c r="Q24" s="599">
        <v>438</v>
      </c>
      <c r="R24" s="333" t="str">
        <f>VLOOKUP(I23,'BR''S'!B:D,3,0)</f>
        <v>GUARAPUAVA</v>
      </c>
    </row>
    <row r="25" spans="1:18" ht="12.75" x14ac:dyDescent="0.2">
      <c r="A25" s="332" t="s">
        <v>102</v>
      </c>
      <c r="B25" s="332" t="s">
        <v>102</v>
      </c>
      <c r="C25" s="600"/>
      <c r="D25" s="600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333" t="str">
        <f>VLOOKUP(I24,'BR''S'!B:D,3,0)</f>
        <v>GUARAPUAVA</v>
      </c>
    </row>
    <row r="26" spans="1:18" ht="12.75" x14ac:dyDescent="0.2">
      <c r="A26" s="332" t="s">
        <v>102</v>
      </c>
      <c r="B26" s="332" t="s">
        <v>102</v>
      </c>
      <c r="C26" s="563"/>
      <c r="D26" s="56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333" t="e">
        <f>VLOOKUP(I25,'BR''S'!B:D,3,0)</f>
        <v>#N/A</v>
      </c>
    </row>
    <row r="27" spans="1:18" ht="12.75" x14ac:dyDescent="0.2">
      <c r="A27" s="332" t="s">
        <v>102</v>
      </c>
      <c r="B27" s="332" t="s">
        <v>102</v>
      </c>
      <c r="C27" s="600"/>
      <c r="D27" s="600"/>
      <c r="E27" s="600"/>
      <c r="F27" s="600"/>
      <c r="G27" s="600"/>
      <c r="H27" s="600"/>
      <c r="I27" s="600"/>
      <c r="J27" s="600"/>
      <c r="K27" s="600"/>
      <c r="L27" s="600"/>
      <c r="M27" s="600"/>
      <c r="N27" s="600"/>
      <c r="O27" s="600"/>
      <c r="P27" s="600"/>
      <c r="Q27" s="600"/>
      <c r="R27" s="333" t="e">
        <f>VLOOKUP(I26,'BR''S'!B:D,3,0)</f>
        <v>#N/A</v>
      </c>
    </row>
    <row r="28" spans="1:18" ht="12.75" x14ac:dyDescent="0.2">
      <c r="A28" s="332" t="s">
        <v>102</v>
      </c>
      <c r="B28" s="332" t="s">
        <v>102</v>
      </c>
      <c r="C28" s="565"/>
      <c r="D28" s="565"/>
      <c r="E28" s="565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333" t="e">
        <f>VLOOKUP(I27,'BR''S'!B:D,3,0)</f>
        <v>#N/A</v>
      </c>
    </row>
    <row r="29" spans="1:18" ht="12.75" x14ac:dyDescent="0.2">
      <c r="A29" s="332" t="s">
        <v>102</v>
      </c>
      <c r="B29" s="332" t="s">
        <v>102</v>
      </c>
      <c r="C29" s="565"/>
      <c r="D29" s="565"/>
      <c r="E29" s="565"/>
      <c r="F29" s="565"/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333" t="e">
        <f>VLOOKUP(I28,'BR''S'!B:D,3,0)</f>
        <v>#N/A</v>
      </c>
    </row>
    <row r="30" spans="1:18" ht="12.75" x14ac:dyDescent="0.2">
      <c r="A30" s="332" t="s">
        <v>102</v>
      </c>
      <c r="B30" s="332" t="s">
        <v>102</v>
      </c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333" t="e">
        <f>VLOOKUP(I28,'BR''S'!B:D,3,0)</f>
        <v>#N/A</v>
      </c>
    </row>
    <row r="31" spans="1:18" ht="12.75" x14ac:dyDescent="0.2">
      <c r="A31" s="332" t="s">
        <v>102</v>
      </c>
      <c r="B31" s="332" t="s">
        <v>102</v>
      </c>
      <c r="C31" s="565"/>
      <c r="D31" s="565"/>
      <c r="E31" s="565"/>
      <c r="F31" s="565"/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333" t="e">
        <f>VLOOKUP(I30,'BR''S'!B:D,3,0)</f>
        <v>#N/A</v>
      </c>
    </row>
    <row r="32" spans="1:18" ht="12.75" x14ac:dyDescent="0.2">
      <c r="A32" s="332" t="s">
        <v>102</v>
      </c>
      <c r="B32" s="332" t="s">
        <v>102</v>
      </c>
      <c r="C32" s="565"/>
      <c r="D32" s="565"/>
      <c r="E32" s="565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333" t="e">
        <f>VLOOKUP(I31,'BR''S'!B:D,3,0)</f>
        <v>#N/A</v>
      </c>
    </row>
    <row r="33" spans="1:18" ht="12.75" x14ac:dyDescent="0.2">
      <c r="A33" s="332" t="s">
        <v>102</v>
      </c>
      <c r="B33" s="332" t="s">
        <v>102</v>
      </c>
      <c r="C33" s="565"/>
      <c r="D33" s="565"/>
      <c r="E33" s="565"/>
      <c r="F33" s="565"/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333" t="e">
        <f>VLOOKUP(I32,'BR''S'!B:D,3,0)</f>
        <v>#N/A</v>
      </c>
    </row>
    <row r="34" spans="1:18" ht="12.75" x14ac:dyDescent="0.2">
      <c r="A34" s="332" t="s">
        <v>102</v>
      </c>
      <c r="B34" s="332" t="s">
        <v>102</v>
      </c>
      <c r="C34" s="565"/>
      <c r="D34" s="565"/>
      <c r="E34" s="565"/>
      <c r="F34" s="565"/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333" t="e">
        <f>VLOOKUP(I33,'BR''S'!B:D,3,0)</f>
        <v>#N/A</v>
      </c>
    </row>
    <row r="35" spans="1:18" ht="12.75" x14ac:dyDescent="0.2">
      <c r="A35" s="332" t="s">
        <v>102</v>
      </c>
      <c r="B35" s="332" t="s">
        <v>102</v>
      </c>
      <c r="C35" s="565"/>
      <c r="D35" s="565"/>
      <c r="E35" s="565"/>
      <c r="F35" s="565"/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333" t="e">
        <f>VLOOKUP(I34,'BR''S'!B:D,3,0)</f>
        <v>#N/A</v>
      </c>
    </row>
    <row r="36" spans="1:18" ht="12.75" x14ac:dyDescent="0.2">
      <c r="A36" s="332" t="s">
        <v>102</v>
      </c>
      <c r="B36" s="332" t="s">
        <v>102</v>
      </c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333" t="e">
        <f>VLOOKUP(I35,'BR''S'!B:D,3,0)</f>
        <v>#N/A</v>
      </c>
    </row>
    <row r="37" spans="1:18" ht="12.75" x14ac:dyDescent="0.2">
      <c r="A37" s="332" t="s">
        <v>102</v>
      </c>
      <c r="B37" s="332" t="s">
        <v>102</v>
      </c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333" t="e">
        <f>VLOOKUP(I36,'BR''S'!B:D,3,0)</f>
        <v>#N/A</v>
      </c>
    </row>
    <row r="38" spans="1:18" ht="12.75" x14ac:dyDescent="0.2">
      <c r="A38" s="332" t="s">
        <v>102</v>
      </c>
      <c r="B38" s="332" t="s">
        <v>102</v>
      </c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333" t="e">
        <f>VLOOKUP(I37,'BR''S'!B:D,3,0)</f>
        <v>#N/A</v>
      </c>
    </row>
    <row r="39" spans="1:18" ht="12.75" x14ac:dyDescent="0.2">
      <c r="A39" s="332" t="s">
        <v>102</v>
      </c>
      <c r="B39" s="332" t="s">
        <v>102</v>
      </c>
      <c r="C39" s="562"/>
      <c r="D39" s="562"/>
      <c r="E39" s="562"/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333" t="e">
        <f>VLOOKUP(I39,'BR''S'!B:D,3,0)</f>
        <v>#N/A</v>
      </c>
    </row>
    <row r="40" spans="1:18" ht="12.75" x14ac:dyDescent="0.2">
      <c r="A40" s="332" t="s">
        <v>102</v>
      </c>
      <c r="B40" s="332" t="s">
        <v>102</v>
      </c>
      <c r="C40" s="562"/>
      <c r="D40" s="562"/>
      <c r="E40" s="562"/>
      <c r="F40" s="562"/>
      <c r="G40" s="562"/>
      <c r="H40" s="562"/>
      <c r="I40" s="562"/>
      <c r="J40" s="562"/>
      <c r="K40" s="562"/>
      <c r="L40" s="562"/>
      <c r="M40" s="562"/>
      <c r="N40" s="562"/>
      <c r="O40" s="562"/>
      <c r="P40" s="562"/>
      <c r="Q40" s="562"/>
      <c r="R40" s="333" t="e">
        <f>VLOOKUP(I40,'BR''S'!B:D,3,0)</f>
        <v>#N/A</v>
      </c>
    </row>
    <row r="41" spans="1:18" ht="12.75" x14ac:dyDescent="0.2">
      <c r="A41" s="332" t="s">
        <v>102</v>
      </c>
      <c r="B41" s="332" t="s">
        <v>102</v>
      </c>
      <c r="C41" s="562"/>
      <c r="D41" s="562"/>
      <c r="E41" s="562"/>
      <c r="F41" s="562"/>
      <c r="G41" s="562"/>
      <c r="H41" s="562"/>
      <c r="I41" s="562"/>
      <c r="J41" s="562"/>
      <c r="K41" s="562"/>
      <c r="L41" s="562"/>
      <c r="M41" s="562"/>
      <c r="N41" s="562"/>
      <c r="O41" s="562"/>
      <c r="P41" s="562"/>
      <c r="Q41" s="562"/>
      <c r="R41" s="333" t="e">
        <f>VLOOKUP(I41,'BR''S'!B:D,3,0)</f>
        <v>#N/A</v>
      </c>
    </row>
    <row r="42" spans="1:18" ht="12.75" x14ac:dyDescent="0.2">
      <c r="A42" s="332" t="s">
        <v>102</v>
      </c>
      <c r="B42" s="332" t="s">
        <v>102</v>
      </c>
      <c r="C42" s="562"/>
      <c r="D42" s="562"/>
      <c r="E42" s="562"/>
      <c r="F42" s="562"/>
      <c r="G42" s="562"/>
      <c r="H42" s="562"/>
      <c r="I42" s="562"/>
      <c r="J42" s="562"/>
      <c r="K42" s="562"/>
      <c r="L42" s="562"/>
      <c r="M42" s="562"/>
      <c r="N42" s="562"/>
      <c r="O42" s="562"/>
      <c r="P42" s="562"/>
      <c r="Q42" s="562"/>
      <c r="R42" s="333" t="e">
        <f>VLOOKUP(I42,'BR''S'!B:D,3,0)</f>
        <v>#N/A</v>
      </c>
    </row>
    <row r="43" spans="1:18" ht="12.75" x14ac:dyDescent="0.2">
      <c r="A43" s="332" t="s">
        <v>102</v>
      </c>
      <c r="B43" s="332" t="s">
        <v>102</v>
      </c>
      <c r="C43" s="562"/>
      <c r="D43" s="562"/>
      <c r="E43" s="562"/>
      <c r="F43" s="562"/>
      <c r="G43" s="562"/>
      <c r="H43" s="562"/>
      <c r="I43" s="562"/>
      <c r="J43" s="562"/>
      <c r="K43" s="562"/>
      <c r="L43" s="562"/>
      <c r="M43" s="562"/>
      <c r="N43" s="562"/>
      <c r="O43" s="562"/>
      <c r="P43" s="562"/>
      <c r="Q43" s="562"/>
      <c r="R43" s="333" t="e">
        <f>VLOOKUP(I43,'BR''S'!B:D,3,0)</f>
        <v>#N/A</v>
      </c>
    </row>
    <row r="44" spans="1:18" ht="12.75" x14ac:dyDescent="0.2">
      <c r="A44" s="332" t="s">
        <v>102</v>
      </c>
      <c r="B44" s="332" t="s">
        <v>102</v>
      </c>
      <c r="C44" s="562"/>
      <c r="D44" s="562"/>
      <c r="E44" s="562"/>
      <c r="F44" s="562"/>
      <c r="G44" s="562"/>
      <c r="H44" s="562"/>
      <c r="I44" s="562"/>
      <c r="J44" s="562"/>
      <c r="K44" s="562"/>
      <c r="L44" s="562"/>
      <c r="M44" s="562"/>
      <c r="N44" s="562"/>
      <c r="O44" s="562"/>
      <c r="P44" s="562"/>
      <c r="Q44" s="562"/>
      <c r="R44" s="333" t="e">
        <f>VLOOKUP(I44,'BR''S'!B:D,3,0)</f>
        <v>#N/A</v>
      </c>
    </row>
    <row r="45" spans="1:18" ht="12.75" x14ac:dyDescent="0.2">
      <c r="A45" s="332" t="s">
        <v>102</v>
      </c>
      <c r="B45" s="332" t="s">
        <v>102</v>
      </c>
      <c r="C45" s="562"/>
      <c r="D45" s="562"/>
      <c r="E45" s="562"/>
      <c r="F45" s="562"/>
      <c r="G45" s="562"/>
      <c r="H45" s="562"/>
      <c r="I45" s="562"/>
      <c r="J45" s="562"/>
      <c r="K45" s="562"/>
      <c r="L45" s="562"/>
      <c r="M45" s="562"/>
      <c r="N45" s="562"/>
      <c r="O45" s="562"/>
      <c r="P45" s="562"/>
      <c r="Q45" s="562"/>
      <c r="R45" s="333" t="e">
        <f>VLOOKUP(I45,'BR''S'!B:D,3,0)</f>
        <v>#N/A</v>
      </c>
    </row>
    <row r="46" spans="1:18" ht="12.75" x14ac:dyDescent="0.2">
      <c r="A46" s="332" t="s">
        <v>102</v>
      </c>
      <c r="B46" s="332" t="s">
        <v>102</v>
      </c>
      <c r="C46" s="562"/>
      <c r="D46" s="562"/>
      <c r="E46" s="562"/>
      <c r="F46" s="562"/>
      <c r="G46" s="562"/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333" t="e">
        <f>VLOOKUP(I46,'BR''S'!B:D,3,0)</f>
        <v>#N/A</v>
      </c>
    </row>
    <row r="47" spans="1:18" ht="12.75" x14ac:dyDescent="0.2">
      <c r="A47" s="332" t="s">
        <v>102</v>
      </c>
      <c r="B47" s="332" t="s">
        <v>102</v>
      </c>
      <c r="C47" s="562"/>
      <c r="D47" s="562"/>
      <c r="E47" s="562"/>
      <c r="F47" s="562"/>
      <c r="G47" s="562"/>
      <c r="H47" s="562"/>
      <c r="I47" s="562"/>
      <c r="J47" s="562"/>
      <c r="K47" s="562"/>
      <c r="L47" s="562"/>
      <c r="M47" s="562"/>
      <c r="N47" s="562"/>
      <c r="O47" s="562"/>
      <c r="P47" s="562"/>
      <c r="Q47" s="562"/>
      <c r="R47" s="333" t="e">
        <f>VLOOKUP(I47,'BR''S'!B:D,3,0)</f>
        <v>#N/A</v>
      </c>
    </row>
    <row r="48" spans="1:18" ht="12.75" x14ac:dyDescent="0.2">
      <c r="A48" s="332" t="s">
        <v>102</v>
      </c>
      <c r="B48" s="332" t="s">
        <v>102</v>
      </c>
      <c r="C48" s="562"/>
      <c r="D48" s="562"/>
      <c r="E48" s="562"/>
      <c r="F48" s="562"/>
      <c r="G48" s="562"/>
      <c r="H48" s="562"/>
      <c r="I48" s="562"/>
      <c r="J48" s="562"/>
      <c r="K48" s="562"/>
      <c r="L48" s="562"/>
      <c r="M48" s="562"/>
      <c r="N48" s="562"/>
      <c r="O48" s="562"/>
      <c r="P48" s="562"/>
      <c r="Q48" s="562"/>
      <c r="R48" s="333" t="e">
        <f>VLOOKUP(I48,'BR''S'!B:D,3,0)</f>
        <v>#N/A</v>
      </c>
    </row>
    <row r="49" spans="1:18" ht="12.75" x14ac:dyDescent="0.2">
      <c r="A49" s="332" t="s">
        <v>102</v>
      </c>
      <c r="B49" s="332" t="s">
        <v>102</v>
      </c>
      <c r="C49" s="562"/>
      <c r="D49" s="562"/>
      <c r="E49" s="562"/>
      <c r="F49" s="562"/>
      <c r="G49" s="562"/>
      <c r="H49" s="562"/>
      <c r="I49" s="562"/>
      <c r="J49" s="562"/>
      <c r="K49" s="562"/>
      <c r="L49" s="562"/>
      <c r="M49" s="562"/>
      <c r="N49" s="562"/>
      <c r="O49" s="562"/>
      <c r="P49" s="562"/>
      <c r="Q49" s="562"/>
      <c r="R49" s="333" t="e">
        <f>VLOOKUP(I49,'BR''S'!B:D,3,0)</f>
        <v>#N/A</v>
      </c>
    </row>
    <row r="50" spans="1:18" ht="12.75" x14ac:dyDescent="0.2">
      <c r="A50" s="332" t="s">
        <v>102</v>
      </c>
      <c r="B50" s="332" t="s">
        <v>102</v>
      </c>
      <c r="C50" s="562"/>
      <c r="D50" s="562"/>
      <c r="E50" s="562"/>
      <c r="F50" s="562"/>
      <c r="G50" s="562"/>
      <c r="H50" s="562"/>
      <c r="I50" s="562"/>
      <c r="J50" s="562"/>
      <c r="K50" s="562"/>
      <c r="L50" s="562"/>
      <c r="M50" s="562"/>
      <c r="N50" s="562"/>
      <c r="O50" s="562"/>
      <c r="P50" s="562"/>
      <c r="Q50" s="562"/>
      <c r="R50" s="333" t="e">
        <f>VLOOKUP(I50,'BR''S'!B:D,3,0)</f>
        <v>#N/A</v>
      </c>
    </row>
    <row r="51" spans="1:18" ht="12.75" x14ac:dyDescent="0.2">
      <c r="A51" s="332" t="s">
        <v>102</v>
      </c>
      <c r="B51" s="332" t="s">
        <v>102</v>
      </c>
      <c r="C51" s="562"/>
      <c r="D51" s="562"/>
      <c r="E51" s="562"/>
      <c r="F51" s="562"/>
      <c r="G51" s="562"/>
      <c r="H51" s="562"/>
      <c r="I51" s="562"/>
      <c r="J51" s="562"/>
      <c r="K51" s="562"/>
      <c r="L51" s="562"/>
      <c r="M51" s="562"/>
      <c r="N51" s="562"/>
      <c r="O51" s="562"/>
      <c r="P51" s="562"/>
      <c r="Q51" s="562"/>
      <c r="R51" s="333" t="e">
        <f>VLOOKUP(I51,'BR''S'!B:D,3,0)</f>
        <v>#N/A</v>
      </c>
    </row>
    <row r="52" spans="1:18" ht="12.75" x14ac:dyDescent="0.2">
      <c r="A52" s="332" t="s">
        <v>102</v>
      </c>
      <c r="B52" s="332" t="s">
        <v>102</v>
      </c>
      <c r="C52" s="562"/>
      <c r="D52" s="562"/>
      <c r="E52" s="562"/>
      <c r="F52" s="562"/>
      <c r="G52" s="562"/>
      <c r="H52" s="562"/>
      <c r="I52" s="562"/>
      <c r="J52" s="562"/>
      <c r="K52" s="562"/>
      <c r="L52" s="562"/>
      <c r="M52" s="562"/>
      <c r="N52" s="562"/>
      <c r="O52" s="562"/>
      <c r="P52" s="562"/>
      <c r="Q52" s="562"/>
      <c r="R52" s="333" t="e">
        <f>VLOOKUP(I52,'BR''S'!B:D,3,0)</f>
        <v>#N/A</v>
      </c>
    </row>
    <row r="53" spans="1:18" ht="12.75" x14ac:dyDescent="0.2">
      <c r="A53" s="332" t="s">
        <v>102</v>
      </c>
      <c r="B53" s="332" t="s">
        <v>102</v>
      </c>
      <c r="C53" s="562"/>
      <c r="D53" s="562"/>
      <c r="E53" s="562"/>
      <c r="F53" s="562"/>
      <c r="G53" s="562"/>
      <c r="H53" s="562"/>
      <c r="I53" s="562"/>
      <c r="J53" s="562"/>
      <c r="K53" s="562"/>
      <c r="L53" s="562"/>
      <c r="M53" s="562"/>
      <c r="N53" s="562"/>
      <c r="O53" s="562"/>
      <c r="P53" s="562"/>
      <c r="Q53" s="562"/>
      <c r="R53" s="333" t="e">
        <f>VLOOKUP(I53,'BR''S'!B:D,3,0)</f>
        <v>#N/A</v>
      </c>
    </row>
    <row r="54" spans="1:18" ht="12.75" x14ac:dyDescent="0.2">
      <c r="A54" s="332" t="s">
        <v>102</v>
      </c>
      <c r="B54" s="332" t="s">
        <v>102</v>
      </c>
      <c r="C54" s="562"/>
      <c r="D54" s="562"/>
      <c r="E54" s="562"/>
      <c r="F54" s="562"/>
      <c r="G54" s="562"/>
      <c r="H54" s="562"/>
      <c r="I54" s="562"/>
      <c r="J54" s="562"/>
      <c r="K54" s="562"/>
      <c r="L54" s="562"/>
      <c r="M54" s="562"/>
      <c r="N54" s="562"/>
      <c r="O54" s="562"/>
      <c r="P54" s="562"/>
      <c r="Q54" s="562"/>
      <c r="R54" s="333" t="e">
        <f>VLOOKUP(I54,'BR''S'!B:D,3,0)</f>
        <v>#N/A</v>
      </c>
    </row>
    <row r="55" spans="1:18" x14ac:dyDescent="0.2">
      <c r="A55" s="332" t="s">
        <v>102</v>
      </c>
      <c r="B55" s="332" t="s">
        <v>102</v>
      </c>
    </row>
    <row r="56" spans="1:18" x14ac:dyDescent="0.2">
      <c r="A56" s="332" t="s">
        <v>102</v>
      </c>
      <c r="B56" s="332" t="s">
        <v>102</v>
      </c>
    </row>
    <row r="57" spans="1:18" x14ac:dyDescent="0.2">
      <c r="A57" s="332" t="s">
        <v>102</v>
      </c>
      <c r="B57" s="332" t="s">
        <v>102</v>
      </c>
    </row>
    <row r="58" spans="1:18" x14ac:dyDescent="0.2">
      <c r="A58" s="332" t="s">
        <v>102</v>
      </c>
      <c r="B58" s="332" t="s">
        <v>102</v>
      </c>
    </row>
    <row r="59" spans="1:18" x14ac:dyDescent="0.2">
      <c r="A59" s="332" t="s">
        <v>102</v>
      </c>
      <c r="B59" s="332" t="s">
        <v>102</v>
      </c>
    </row>
    <row r="60" spans="1:18" x14ac:dyDescent="0.2">
      <c r="A60" s="332" t="s">
        <v>102</v>
      </c>
      <c r="B60" s="332" t="s">
        <v>102</v>
      </c>
    </row>
    <row r="61" spans="1:18" x14ac:dyDescent="0.2">
      <c r="A61" s="332" t="s">
        <v>102</v>
      </c>
      <c r="B61" s="332" t="s">
        <v>102</v>
      </c>
    </row>
    <row r="62" spans="1:18" x14ac:dyDescent="0.2">
      <c r="A62" s="332" t="s">
        <v>102</v>
      </c>
      <c r="B62" s="332" t="s">
        <v>102</v>
      </c>
    </row>
    <row r="63" spans="1:18" x14ac:dyDescent="0.2">
      <c r="A63" s="332" t="s">
        <v>102</v>
      </c>
      <c r="B63" s="332" t="s">
        <v>102</v>
      </c>
    </row>
    <row r="64" spans="1:18" x14ac:dyDescent="0.2">
      <c r="A64" s="332" t="s">
        <v>102</v>
      </c>
      <c r="B64" s="332" t="s">
        <v>102</v>
      </c>
    </row>
    <row r="65" spans="1:2" x14ac:dyDescent="0.2">
      <c r="A65" s="332" t="s">
        <v>102</v>
      </c>
      <c r="B65" s="332" t="s">
        <v>102</v>
      </c>
    </row>
    <row r="66" spans="1:2" x14ac:dyDescent="0.2">
      <c r="A66" s="332" t="s">
        <v>102</v>
      </c>
      <c r="B66" s="332" t="s">
        <v>102</v>
      </c>
    </row>
    <row r="67" spans="1:2" x14ac:dyDescent="0.2">
      <c r="A67" s="332" t="s">
        <v>102</v>
      </c>
      <c r="B67" s="332" t="s">
        <v>102</v>
      </c>
    </row>
    <row r="68" spans="1:2" x14ac:dyDescent="0.2">
      <c r="A68" s="332" t="s">
        <v>102</v>
      </c>
      <c r="B68" s="332" t="s">
        <v>102</v>
      </c>
    </row>
    <row r="69" spans="1:2" x14ac:dyDescent="0.2">
      <c r="A69" s="332" t="s">
        <v>102</v>
      </c>
      <c r="B69" s="332" t="s">
        <v>102</v>
      </c>
    </row>
    <row r="70" spans="1:2" x14ac:dyDescent="0.2">
      <c r="A70" s="332" t="s">
        <v>102</v>
      </c>
      <c r="B70" s="332" t="s">
        <v>102</v>
      </c>
    </row>
    <row r="71" spans="1:2" x14ac:dyDescent="0.2">
      <c r="A71" s="332" t="s">
        <v>102</v>
      </c>
      <c r="B71" s="332" t="s">
        <v>102</v>
      </c>
    </row>
    <row r="72" spans="1:2" x14ac:dyDescent="0.2">
      <c r="A72" s="332" t="s">
        <v>102</v>
      </c>
      <c r="B72" s="332" t="s">
        <v>102</v>
      </c>
    </row>
    <row r="73" spans="1:2" x14ac:dyDescent="0.2">
      <c r="A73" s="332" t="s">
        <v>102</v>
      </c>
      <c r="B73" s="332" t="s">
        <v>102</v>
      </c>
    </row>
    <row r="74" spans="1:2" x14ac:dyDescent="0.2">
      <c r="A74" s="332" t="s">
        <v>102</v>
      </c>
      <c r="B74" s="332" t="s">
        <v>102</v>
      </c>
    </row>
    <row r="75" spans="1:2" x14ac:dyDescent="0.2">
      <c r="A75" s="332" t="s">
        <v>102</v>
      </c>
      <c r="B75" s="332" t="s">
        <v>102</v>
      </c>
    </row>
    <row r="76" spans="1:2" x14ac:dyDescent="0.2">
      <c r="A76" s="332" t="s">
        <v>102</v>
      </c>
      <c r="B76" s="332" t="s">
        <v>102</v>
      </c>
    </row>
    <row r="77" spans="1:2" x14ac:dyDescent="0.2">
      <c r="A77" s="332" t="s">
        <v>102</v>
      </c>
      <c r="B77" s="332" t="s">
        <v>102</v>
      </c>
    </row>
    <row r="78" spans="1:2" x14ac:dyDescent="0.2">
      <c r="A78" s="332" t="s">
        <v>102</v>
      </c>
      <c r="B78" s="332" t="s">
        <v>102</v>
      </c>
    </row>
    <row r="79" spans="1:2" x14ac:dyDescent="0.2">
      <c r="A79" s="332" t="s">
        <v>102</v>
      </c>
      <c r="B79" s="332" t="s">
        <v>102</v>
      </c>
    </row>
    <row r="80" spans="1:2" x14ac:dyDescent="0.2">
      <c r="A80" s="332" t="s">
        <v>102</v>
      </c>
      <c r="B80" s="332" t="s">
        <v>102</v>
      </c>
    </row>
    <row r="81" spans="1:2" x14ac:dyDescent="0.2">
      <c r="A81" s="332" t="s">
        <v>102</v>
      </c>
      <c r="B81" s="332" t="s">
        <v>102</v>
      </c>
    </row>
    <row r="82" spans="1:2" x14ac:dyDescent="0.2">
      <c r="A82" s="332" t="s">
        <v>102</v>
      </c>
      <c r="B82" s="332" t="s">
        <v>102</v>
      </c>
    </row>
    <row r="83" spans="1:2" x14ac:dyDescent="0.2">
      <c r="A83" s="332" t="s">
        <v>102</v>
      </c>
      <c r="B83" s="332" t="s">
        <v>102</v>
      </c>
    </row>
    <row r="84" spans="1:2" x14ac:dyDescent="0.2">
      <c r="A84" s="332" t="s">
        <v>102</v>
      </c>
      <c r="B84" s="332" t="s">
        <v>102</v>
      </c>
    </row>
    <row r="85" spans="1:2" x14ac:dyDescent="0.2">
      <c r="A85" s="332" t="s">
        <v>102</v>
      </c>
      <c r="B85" s="332" t="s">
        <v>102</v>
      </c>
    </row>
    <row r="86" spans="1:2" x14ac:dyDescent="0.2">
      <c r="A86" s="332" t="s">
        <v>102</v>
      </c>
      <c r="B86" s="332" t="s">
        <v>102</v>
      </c>
    </row>
    <row r="87" spans="1:2" x14ac:dyDescent="0.2">
      <c r="A87" s="332" t="s">
        <v>102</v>
      </c>
      <c r="B87" s="332" t="s">
        <v>102</v>
      </c>
    </row>
    <row r="88" spans="1:2" x14ac:dyDescent="0.2">
      <c r="A88" s="332" t="s">
        <v>102</v>
      </c>
      <c r="B88" s="332" t="s">
        <v>102</v>
      </c>
    </row>
    <row r="89" spans="1:2" x14ac:dyDescent="0.2">
      <c r="A89" s="332" t="s">
        <v>102</v>
      </c>
      <c r="B89" s="332" t="s">
        <v>102</v>
      </c>
    </row>
    <row r="90" spans="1:2" x14ac:dyDescent="0.2">
      <c r="A90" s="332" t="s">
        <v>102</v>
      </c>
      <c r="B90" s="332" t="s">
        <v>102</v>
      </c>
    </row>
    <row r="91" spans="1:2" x14ac:dyDescent="0.2">
      <c r="A91" s="332" t="s">
        <v>102</v>
      </c>
      <c r="B91" s="332" t="s">
        <v>102</v>
      </c>
    </row>
    <row r="92" spans="1:2" x14ac:dyDescent="0.2">
      <c r="A92" s="332" t="s">
        <v>102</v>
      </c>
      <c r="B92" s="332" t="s">
        <v>102</v>
      </c>
    </row>
    <row r="93" spans="1:2" x14ac:dyDescent="0.2">
      <c r="A93" s="332" t="s">
        <v>102</v>
      </c>
      <c r="B93" s="332" t="s">
        <v>102</v>
      </c>
    </row>
    <row r="94" spans="1:2" x14ac:dyDescent="0.2">
      <c r="A94" s="332" t="s">
        <v>102</v>
      </c>
      <c r="B94" s="332" t="s">
        <v>102</v>
      </c>
    </row>
    <row r="95" spans="1:2" x14ac:dyDescent="0.2">
      <c r="A95" s="332" t="s">
        <v>102</v>
      </c>
      <c r="B95" s="332" t="s">
        <v>102</v>
      </c>
    </row>
    <row r="96" spans="1:2" x14ac:dyDescent="0.2">
      <c r="A96" s="332" t="s">
        <v>102</v>
      </c>
      <c r="B96" s="332" t="s">
        <v>102</v>
      </c>
    </row>
    <row r="97" spans="1:2" x14ac:dyDescent="0.2">
      <c r="A97" s="332" t="s">
        <v>102</v>
      </c>
      <c r="B97" s="332" t="s">
        <v>102</v>
      </c>
    </row>
    <row r="98" spans="1:2" x14ac:dyDescent="0.2">
      <c r="A98" s="332" t="s">
        <v>102</v>
      </c>
      <c r="B98" s="332" t="s">
        <v>102</v>
      </c>
    </row>
    <row r="99" spans="1:2" x14ac:dyDescent="0.2">
      <c r="A99" s="332" t="s">
        <v>102</v>
      </c>
      <c r="B99" s="332" t="s">
        <v>102</v>
      </c>
    </row>
    <row r="100" spans="1:2" x14ac:dyDescent="0.2">
      <c r="A100" s="332" t="s">
        <v>102</v>
      </c>
      <c r="B100" s="332" t="s">
        <v>102</v>
      </c>
    </row>
  </sheetData>
  <autoFilter ref="A1:R101" xr:uid="{00000000-0001-0000-0100-000000000000}"/>
  <conditionalFormatting sqref="I55:I1048576 I1">
    <cfRule type="duplicateValues" dxfId="785" priority="15401"/>
    <cfRule type="duplicateValues" dxfId="784" priority="15402"/>
    <cfRule type="duplicateValues" dxfId="783" priority="15403"/>
    <cfRule type="duplicateValues" dxfId="782" priority="15404"/>
    <cfRule type="duplicateValues" dxfId="781" priority="15405"/>
    <cfRule type="duplicateValues" dxfId="780" priority="15406"/>
    <cfRule type="duplicateValues" dxfId="779" priority="15407"/>
    <cfRule type="duplicateValues" dxfId="778" priority="15408"/>
    <cfRule type="duplicateValues" dxfId="777" priority="15409"/>
    <cfRule type="duplicateValues" dxfId="776" priority="15410"/>
    <cfRule type="duplicateValues" dxfId="775" priority="15411"/>
    <cfRule type="duplicateValues" dxfId="774" priority="15412"/>
    <cfRule type="duplicateValues" dxfId="773" priority="15413"/>
    <cfRule type="duplicateValues" dxfId="772" priority="15414"/>
    <cfRule type="duplicateValues" dxfId="771" priority="15415"/>
    <cfRule type="duplicateValues" dxfId="770" priority="15416"/>
    <cfRule type="duplicateValues" dxfId="769" priority="15417"/>
    <cfRule type="duplicateValues" dxfId="768" priority="15418"/>
    <cfRule type="duplicateValues" dxfId="767" priority="15419"/>
    <cfRule type="duplicateValues" dxfId="766" priority="15420"/>
    <cfRule type="duplicateValues" dxfId="765" priority="15421"/>
    <cfRule type="duplicateValues" dxfId="764" priority="15422"/>
    <cfRule type="duplicateValues" dxfId="763" priority="15423"/>
    <cfRule type="duplicateValues" dxfId="762" priority="15424"/>
    <cfRule type="duplicateValues" dxfId="761" priority="15425"/>
    <cfRule type="duplicateValues" dxfId="760" priority="15426"/>
    <cfRule type="duplicateValues" dxfId="759" priority="15427"/>
    <cfRule type="duplicateValues" dxfId="758" priority="15428"/>
    <cfRule type="duplicateValues" dxfId="757" priority="15429"/>
    <cfRule type="duplicateValues" dxfId="756" priority="15430"/>
    <cfRule type="duplicateValues" dxfId="755" priority="15431"/>
    <cfRule type="duplicateValues" dxfId="754" priority="15432"/>
    <cfRule type="duplicateValues" dxfId="753" priority="15433"/>
    <cfRule type="duplicateValues" dxfId="752" priority="15434"/>
    <cfRule type="duplicateValues" dxfId="751" priority="15435"/>
    <cfRule type="duplicateValues" dxfId="750" priority="15436"/>
    <cfRule type="duplicateValues" dxfId="749" priority="15437"/>
    <cfRule type="duplicateValues" dxfId="748" priority="15438"/>
    <cfRule type="duplicateValues" dxfId="747" priority="15439"/>
    <cfRule type="duplicateValues" dxfId="746" priority="15440"/>
    <cfRule type="duplicateValues" dxfId="745" priority="15441"/>
    <cfRule type="duplicateValues" dxfId="744" priority="15442"/>
    <cfRule type="duplicateValues" dxfId="743" priority="15443"/>
    <cfRule type="duplicateValues" dxfId="742" priority="15444"/>
    <cfRule type="duplicateValues" dxfId="741" priority="15445"/>
    <cfRule type="duplicateValues" dxfId="740" priority="15446"/>
    <cfRule type="duplicateValues" dxfId="739" priority="15447"/>
    <cfRule type="duplicateValues" dxfId="738" priority="15448"/>
    <cfRule type="duplicateValues" dxfId="737" priority="15449"/>
    <cfRule type="duplicateValues" dxfId="736" priority="15450"/>
    <cfRule type="duplicateValues" dxfId="735" priority="15451"/>
    <cfRule type="duplicateValues" dxfId="734" priority="15452"/>
    <cfRule type="duplicateValues" dxfId="733" priority="15453"/>
    <cfRule type="duplicateValues" dxfId="732" priority="15454"/>
    <cfRule type="duplicateValues" dxfId="731" priority="15455"/>
    <cfRule type="duplicateValues" dxfId="730" priority="15456"/>
    <cfRule type="duplicateValues" dxfId="729" priority="15457"/>
    <cfRule type="duplicateValues" dxfId="728" priority="15458"/>
    <cfRule type="duplicateValues" dxfId="727" priority="15459"/>
    <cfRule type="duplicateValues" dxfId="726" priority="15460"/>
    <cfRule type="duplicateValues" dxfId="725" priority="15461"/>
    <cfRule type="duplicateValues" dxfId="724" priority="15462"/>
    <cfRule type="duplicateValues" dxfId="723" priority="15463"/>
    <cfRule type="duplicateValues" dxfId="722" priority="15464"/>
    <cfRule type="duplicateValues" dxfId="721" priority="15465"/>
    <cfRule type="duplicateValues" dxfId="720" priority="15466"/>
    <cfRule type="duplicateValues" dxfId="719" priority="15467"/>
    <cfRule type="duplicateValues" dxfId="718" priority="15468"/>
    <cfRule type="duplicateValues" dxfId="717" priority="15469"/>
    <cfRule type="duplicateValues" dxfId="716" priority="15470"/>
    <cfRule type="duplicateValues" dxfId="715" priority="15471"/>
    <cfRule type="duplicateValues" dxfId="714" priority="15472"/>
    <cfRule type="duplicateValues" dxfId="713" priority="15473"/>
    <cfRule type="duplicateValues" dxfId="712" priority="15474"/>
    <cfRule type="duplicateValues" dxfId="711" priority="15475"/>
    <cfRule type="duplicateValues" dxfId="710" priority="15476"/>
    <cfRule type="duplicateValues" dxfId="709" priority="15477"/>
    <cfRule type="duplicateValues" dxfId="708" priority="15478"/>
    <cfRule type="duplicateValues" dxfId="707" priority="15479"/>
    <cfRule type="duplicateValues" dxfId="706" priority="15480"/>
    <cfRule type="duplicateValues" dxfId="705" priority="15481"/>
    <cfRule type="duplicateValues" dxfId="704" priority="15482"/>
    <cfRule type="duplicateValues" dxfId="703" priority="15483"/>
    <cfRule type="duplicateValues" dxfId="702" priority="15484"/>
    <cfRule type="duplicateValues" dxfId="701" priority="15485"/>
    <cfRule type="duplicateValues" dxfId="700" priority="15486"/>
    <cfRule type="duplicateValues" dxfId="699" priority="15487"/>
    <cfRule type="duplicateValues" dxfId="698" priority="15488"/>
    <cfRule type="duplicateValues" dxfId="697" priority="15489"/>
    <cfRule type="duplicateValues" dxfId="696" priority="15490"/>
    <cfRule type="duplicateValues" dxfId="695" priority="15491"/>
    <cfRule type="duplicateValues" dxfId="694" priority="15492"/>
    <cfRule type="duplicateValues" dxfId="693" priority="15493"/>
    <cfRule type="duplicateValues" dxfId="692" priority="15494"/>
    <cfRule type="duplicateValues" dxfId="691" priority="15495"/>
    <cfRule type="duplicateValues" dxfId="690" priority="15496"/>
    <cfRule type="duplicateValues" dxfId="689" priority="15497"/>
    <cfRule type="duplicateValues" dxfId="688" priority="15498"/>
    <cfRule type="duplicateValues" dxfId="687" priority="15499"/>
    <cfRule type="duplicateValues" dxfId="686" priority="15500"/>
    <cfRule type="duplicateValues" dxfId="685" priority="15501"/>
    <cfRule type="duplicateValues" dxfId="684" priority="15502"/>
    <cfRule type="duplicateValues" dxfId="683" priority="15503"/>
    <cfRule type="duplicateValues" dxfId="682" priority="15504"/>
    <cfRule type="duplicateValues" dxfId="681" priority="15505"/>
    <cfRule type="duplicateValues" dxfId="680" priority="15506"/>
    <cfRule type="duplicateValues" dxfId="679" priority="15507"/>
    <cfRule type="duplicateValues" dxfId="678" priority="15508"/>
    <cfRule type="duplicateValues" dxfId="677" priority="15509"/>
    <cfRule type="duplicateValues" dxfId="676" priority="15510"/>
    <cfRule type="duplicateValues" dxfId="675" priority="15511"/>
    <cfRule type="duplicateValues" dxfId="674" priority="15512"/>
    <cfRule type="duplicateValues" dxfId="673" priority="15513"/>
    <cfRule type="duplicateValues" dxfId="672" priority="15514"/>
    <cfRule type="duplicateValues" dxfId="671" priority="15515"/>
    <cfRule type="duplicateValues" dxfId="670" priority="15516"/>
    <cfRule type="duplicateValues" dxfId="669" priority="15517"/>
    <cfRule type="duplicateValues" dxfId="668" priority="15518"/>
    <cfRule type="duplicateValues" dxfId="667" priority="15519"/>
    <cfRule type="duplicateValues" dxfId="666" priority="15520"/>
    <cfRule type="duplicateValues" dxfId="665" priority="15521"/>
    <cfRule type="duplicateValues" dxfId="664" priority="15522"/>
    <cfRule type="duplicateValues" dxfId="663" priority="15523"/>
    <cfRule type="duplicateValues" dxfId="662" priority="15524"/>
    <cfRule type="duplicateValues" dxfId="661" priority="15525"/>
    <cfRule type="duplicateValues" dxfId="660" priority="15526"/>
    <cfRule type="duplicateValues" dxfId="659" priority="15527"/>
    <cfRule type="duplicateValues" dxfId="658" priority="15528"/>
    <cfRule type="duplicateValues" dxfId="657" priority="15529"/>
    <cfRule type="duplicateValues" dxfId="656" priority="15530"/>
    <cfRule type="duplicateValues" dxfId="655" priority="15531"/>
    <cfRule type="duplicateValues" dxfId="654" priority="15532"/>
    <cfRule type="duplicateValues" dxfId="653" priority="15533"/>
    <cfRule type="duplicateValues" dxfId="652" priority="15534"/>
    <cfRule type="duplicateValues" dxfId="651" priority="15535"/>
    <cfRule type="duplicateValues" dxfId="650" priority="15536"/>
    <cfRule type="duplicateValues" dxfId="649" priority="15537"/>
    <cfRule type="duplicateValues" dxfId="648" priority="15538"/>
    <cfRule type="duplicateValues" dxfId="647" priority="15539"/>
    <cfRule type="duplicateValues" dxfId="646" priority="15540"/>
    <cfRule type="duplicateValues" dxfId="645" priority="15541"/>
    <cfRule type="duplicateValues" dxfId="644" priority="15542"/>
    <cfRule type="duplicateValues" dxfId="643" priority="15543"/>
    <cfRule type="duplicateValues" dxfId="642" priority="15544"/>
    <cfRule type="duplicateValues" dxfId="641" priority="15545"/>
    <cfRule type="duplicateValues" dxfId="640" priority="15546"/>
    <cfRule type="duplicateValues" dxfId="639" priority="15547"/>
    <cfRule type="duplicateValues" dxfId="638" priority="15548"/>
    <cfRule type="duplicateValues" dxfId="637" priority="15549"/>
    <cfRule type="duplicateValues" dxfId="636" priority="15550"/>
    <cfRule type="duplicateValues" dxfId="635" priority="15551"/>
    <cfRule type="duplicateValues" dxfId="634" priority="15552"/>
    <cfRule type="duplicateValues" dxfId="633" priority="15553"/>
    <cfRule type="duplicateValues" dxfId="632" priority="15554"/>
    <cfRule type="duplicateValues" dxfId="631" priority="15555"/>
    <cfRule type="duplicateValues" dxfId="630" priority="15556"/>
    <cfRule type="duplicateValues" dxfId="629" priority="15557"/>
    <cfRule type="duplicateValues" dxfId="628" priority="15558"/>
    <cfRule type="duplicateValues" dxfId="627" priority="15559"/>
    <cfRule type="duplicateValues" dxfId="626" priority="15560"/>
    <cfRule type="duplicateValues" dxfId="625" priority="15561"/>
    <cfRule type="duplicateValues" dxfId="624" priority="15562"/>
    <cfRule type="duplicateValues" dxfId="623" priority="15563"/>
    <cfRule type="duplicateValues" dxfId="622" priority="15564"/>
    <cfRule type="duplicateValues" dxfId="621" priority="15565"/>
    <cfRule type="duplicateValues" dxfId="620" priority="15566"/>
    <cfRule type="duplicateValues" dxfId="619" priority="15567"/>
    <cfRule type="duplicateValues" dxfId="618" priority="15568"/>
    <cfRule type="duplicateValues" dxfId="617" priority="15569"/>
    <cfRule type="duplicateValues" dxfId="616" priority="15570"/>
    <cfRule type="duplicateValues" dxfId="615" priority="15571"/>
    <cfRule type="duplicateValues" dxfId="614" priority="15572"/>
    <cfRule type="duplicateValues" dxfId="613" priority="15573"/>
    <cfRule type="duplicateValues" dxfId="612" priority="15574"/>
    <cfRule type="duplicateValues" dxfId="611" priority="15575"/>
    <cfRule type="duplicateValues" dxfId="610" priority="15576"/>
    <cfRule type="duplicateValues" dxfId="609" priority="15577"/>
    <cfRule type="duplicateValues" dxfId="608" priority="15578"/>
    <cfRule type="duplicateValues" dxfId="607" priority="15579"/>
    <cfRule type="duplicateValues" dxfId="606" priority="15580"/>
    <cfRule type="duplicateValues" dxfId="605" priority="15581"/>
    <cfRule type="duplicateValues" dxfId="604" priority="15582"/>
    <cfRule type="duplicateValues" dxfId="603" priority="15583"/>
    <cfRule type="duplicateValues" dxfId="602" priority="15584"/>
    <cfRule type="duplicateValues" dxfId="601" priority="15585"/>
    <cfRule type="duplicateValues" dxfId="600" priority="15586"/>
    <cfRule type="duplicateValues" dxfId="599" priority="15587"/>
    <cfRule type="duplicateValues" dxfId="598" priority="15588"/>
    <cfRule type="duplicateValues" dxfId="597" priority="15589"/>
    <cfRule type="duplicateValues" dxfId="596" priority="15590"/>
    <cfRule type="duplicateValues" dxfId="595" priority="15591"/>
    <cfRule type="duplicateValues" dxfId="594" priority="15592"/>
    <cfRule type="duplicateValues" dxfId="593" priority="15593"/>
    <cfRule type="duplicateValues" dxfId="592" priority="15594"/>
    <cfRule type="duplicateValues" dxfId="591" priority="15595"/>
    <cfRule type="duplicateValues" dxfId="590" priority="15596"/>
    <cfRule type="duplicateValues" dxfId="589" priority="15597"/>
    <cfRule type="duplicateValues" dxfId="588" priority="15598"/>
    <cfRule type="duplicateValues" dxfId="587" priority="15599"/>
    <cfRule type="duplicateValues" dxfId="586" priority="15600"/>
    <cfRule type="duplicateValues" dxfId="585" priority="15601"/>
    <cfRule type="duplicateValues" dxfId="584" priority="15602"/>
    <cfRule type="duplicateValues" dxfId="583" priority="15603"/>
    <cfRule type="duplicateValues" dxfId="582" priority="15604"/>
    <cfRule type="duplicateValues" dxfId="581" priority="15605"/>
    <cfRule type="duplicateValues" dxfId="580" priority="15606"/>
    <cfRule type="duplicateValues" dxfId="579" priority="15607"/>
    <cfRule type="duplicateValues" dxfId="578" priority="15608"/>
    <cfRule type="duplicateValues" dxfId="577" priority="15609"/>
    <cfRule type="duplicateValues" dxfId="576" priority="15610"/>
    <cfRule type="duplicateValues" dxfId="575" priority="15611"/>
    <cfRule type="duplicateValues" dxfId="574" priority="15612"/>
    <cfRule type="duplicateValues" dxfId="573" priority="15613"/>
    <cfRule type="duplicateValues" dxfId="572" priority="15614"/>
    <cfRule type="duplicateValues" dxfId="571" priority="15615"/>
    <cfRule type="duplicateValues" dxfId="570" priority="15616"/>
    <cfRule type="duplicateValues" dxfId="569" priority="15617"/>
    <cfRule type="duplicateValues" dxfId="568" priority="15618"/>
    <cfRule type="duplicateValues" dxfId="567" priority="15619"/>
    <cfRule type="duplicateValues" dxfId="566" priority="15620"/>
    <cfRule type="duplicateValues" dxfId="565" priority="15621"/>
    <cfRule type="duplicateValues" dxfId="564" priority="15622"/>
    <cfRule type="duplicateValues" dxfId="563" priority="15623"/>
    <cfRule type="duplicateValues" dxfId="562" priority="15624"/>
    <cfRule type="duplicateValues" dxfId="561" priority="15625"/>
    <cfRule type="duplicateValues" dxfId="560" priority="15626"/>
    <cfRule type="duplicateValues" dxfId="559" priority="15627"/>
    <cfRule type="duplicateValues" dxfId="558" priority="15628"/>
    <cfRule type="duplicateValues" dxfId="557" priority="15629"/>
    <cfRule type="duplicateValues" dxfId="556" priority="15630"/>
    <cfRule type="duplicateValues" dxfId="555" priority="15631"/>
    <cfRule type="duplicateValues" dxfId="554" priority="15632"/>
    <cfRule type="duplicateValues" dxfId="553" priority="15633"/>
    <cfRule type="duplicateValues" dxfId="552" priority="15634"/>
    <cfRule type="duplicateValues" dxfId="551" priority="15635"/>
    <cfRule type="duplicateValues" dxfId="550" priority="15636"/>
    <cfRule type="duplicateValues" dxfId="549" priority="15637"/>
    <cfRule type="duplicateValues" dxfId="548" priority="15638"/>
    <cfRule type="duplicateValues" dxfId="547" priority="15639"/>
    <cfRule type="duplicateValues" dxfId="546" priority="15640"/>
    <cfRule type="duplicateValues" dxfId="545" priority="15641"/>
    <cfRule type="duplicateValues" dxfId="544" priority="15642"/>
    <cfRule type="duplicateValues" dxfId="543" priority="15643"/>
    <cfRule type="duplicateValues" dxfId="542" priority="15644"/>
    <cfRule type="duplicateValues" dxfId="541" priority="15645"/>
    <cfRule type="duplicateValues" dxfId="540" priority="15646"/>
    <cfRule type="duplicateValues" dxfId="539" priority="15647"/>
    <cfRule type="duplicateValues" dxfId="538" priority="15648"/>
    <cfRule type="duplicateValues" dxfId="537" priority="15649"/>
    <cfRule type="duplicateValues" dxfId="536" priority="15650"/>
    <cfRule type="duplicateValues" dxfId="535" priority="15651"/>
    <cfRule type="duplicateValues" dxfId="534" priority="15652"/>
    <cfRule type="duplicateValues" dxfId="533" priority="15653"/>
    <cfRule type="duplicateValues" dxfId="532" priority="15654"/>
    <cfRule type="duplicateValues" dxfId="531" priority="15655"/>
    <cfRule type="duplicateValues" dxfId="530" priority="15656"/>
    <cfRule type="duplicateValues" dxfId="529" priority="15657"/>
    <cfRule type="duplicateValues" dxfId="528" priority="15658"/>
    <cfRule type="duplicateValues" dxfId="527" priority="15659"/>
    <cfRule type="duplicateValues" dxfId="526" priority="15660"/>
    <cfRule type="duplicateValues" dxfId="525" priority="15661"/>
    <cfRule type="duplicateValues" dxfId="524" priority="15662"/>
    <cfRule type="duplicateValues" dxfId="523" priority="15663"/>
    <cfRule type="duplicateValues" dxfId="522" priority="15664"/>
    <cfRule type="duplicateValues" dxfId="521" priority="15665"/>
    <cfRule type="duplicateValues" dxfId="520" priority="15666"/>
    <cfRule type="duplicateValues" dxfId="519" priority="15667"/>
    <cfRule type="duplicateValues" dxfId="518" priority="15668"/>
    <cfRule type="duplicateValues" dxfId="517" priority="15669"/>
    <cfRule type="duplicateValues" dxfId="516" priority="15670"/>
    <cfRule type="duplicateValues" dxfId="515" priority="15671"/>
    <cfRule type="duplicateValues" dxfId="514" priority="15672"/>
    <cfRule type="duplicateValues" dxfId="513" priority="15673"/>
    <cfRule type="duplicateValues" dxfId="512" priority="15674"/>
    <cfRule type="duplicateValues" dxfId="511" priority="15675"/>
    <cfRule type="duplicateValues" dxfId="510" priority="15676"/>
    <cfRule type="duplicateValues" dxfId="509" priority="15677"/>
    <cfRule type="duplicateValues" dxfId="508" priority="15678"/>
    <cfRule type="duplicateValues" dxfId="507" priority="15679"/>
    <cfRule type="duplicateValues" dxfId="506" priority="15680"/>
    <cfRule type="duplicateValues" dxfId="505" priority="15681"/>
    <cfRule type="duplicateValues" dxfId="504" priority="15682"/>
    <cfRule type="duplicateValues" dxfId="503" priority="15683"/>
    <cfRule type="duplicateValues" dxfId="502" priority="15684"/>
    <cfRule type="duplicateValues" dxfId="501" priority="15685"/>
    <cfRule type="duplicateValues" dxfId="500" priority="15686"/>
    <cfRule type="duplicateValues" dxfId="499" priority="15687"/>
    <cfRule type="duplicateValues" dxfId="498" priority="15688"/>
    <cfRule type="duplicateValues" dxfId="497" priority="15689"/>
    <cfRule type="duplicateValues" dxfId="496" priority="15690"/>
    <cfRule type="duplicateValues" dxfId="495" priority="15691"/>
    <cfRule type="duplicateValues" dxfId="494" priority="15692"/>
    <cfRule type="duplicateValues" dxfId="493" priority="15693"/>
    <cfRule type="duplicateValues" dxfId="492" priority="15694"/>
    <cfRule type="duplicateValues" dxfId="491" priority="15695"/>
    <cfRule type="duplicateValues" dxfId="490" priority="15696"/>
    <cfRule type="duplicateValues" dxfId="489" priority="15697"/>
    <cfRule type="duplicateValues" dxfId="488" priority="15698"/>
    <cfRule type="duplicateValues" dxfId="487" priority="15699"/>
    <cfRule type="duplicateValues" dxfId="486" priority="15700"/>
    <cfRule type="duplicateValues" dxfId="485" priority="15701"/>
    <cfRule type="duplicateValues" dxfId="484" priority="15702"/>
    <cfRule type="duplicateValues" dxfId="483" priority="15703"/>
    <cfRule type="duplicateValues" dxfId="482" priority="15704"/>
    <cfRule type="duplicateValues" dxfId="481" priority="15705"/>
    <cfRule type="duplicateValues" dxfId="480" priority="15706"/>
    <cfRule type="duplicateValues" dxfId="479" priority="15707"/>
    <cfRule type="duplicateValues" dxfId="478" priority="15708"/>
    <cfRule type="duplicateValues" dxfId="477" priority="15709"/>
    <cfRule type="duplicateValues" dxfId="476" priority="15710"/>
    <cfRule type="duplicateValues" dxfId="475" priority="15711"/>
    <cfRule type="duplicateValues" dxfId="474" priority="15712"/>
    <cfRule type="duplicateValues" dxfId="473" priority="15713"/>
    <cfRule type="duplicateValues" dxfId="472" priority="15714"/>
    <cfRule type="duplicateValues" dxfId="471" priority="15715"/>
    <cfRule type="duplicateValues" dxfId="470" priority="15716"/>
    <cfRule type="duplicateValues" dxfId="469" priority="15717"/>
    <cfRule type="duplicateValues" dxfId="468" priority="15718"/>
    <cfRule type="duplicateValues" dxfId="467" priority="15719"/>
    <cfRule type="duplicateValues" dxfId="466" priority="15720"/>
    <cfRule type="duplicateValues" dxfId="465" priority="15721"/>
    <cfRule type="duplicateValues" dxfId="464" priority="15722"/>
    <cfRule type="duplicateValues" dxfId="463" priority="15723"/>
    <cfRule type="duplicateValues" dxfId="462" priority="15724"/>
    <cfRule type="duplicateValues" dxfId="461" priority="15725"/>
    <cfRule type="duplicateValues" dxfId="460" priority="15726"/>
    <cfRule type="duplicateValues" dxfId="459" priority="15727"/>
    <cfRule type="duplicateValues" dxfId="458" priority="15728"/>
    <cfRule type="duplicateValues" dxfId="457" priority="15729"/>
    <cfRule type="duplicateValues" dxfId="456" priority="15730"/>
    <cfRule type="duplicateValues" dxfId="455" priority="15731"/>
    <cfRule type="duplicateValues" dxfId="454" priority="15732"/>
    <cfRule type="duplicateValues" dxfId="453" priority="15733"/>
    <cfRule type="duplicateValues" dxfId="452" priority="15734"/>
    <cfRule type="duplicateValues" dxfId="451" priority="15735"/>
    <cfRule type="duplicateValues" dxfId="450" priority="15736"/>
    <cfRule type="duplicateValues" dxfId="449" priority="15737"/>
    <cfRule type="duplicateValues" dxfId="448" priority="15738"/>
    <cfRule type="duplicateValues" dxfId="447" priority="15739"/>
    <cfRule type="duplicateValues" dxfId="446" priority="15740"/>
    <cfRule type="duplicateValues" dxfId="445" priority="15741"/>
    <cfRule type="duplicateValues" dxfId="444" priority="15742"/>
    <cfRule type="duplicateValues" dxfId="443" priority="15743"/>
    <cfRule type="duplicateValues" dxfId="442" priority="15744"/>
    <cfRule type="duplicateValues" dxfId="441" priority="15745"/>
    <cfRule type="duplicateValues" dxfId="440" priority="15746"/>
    <cfRule type="duplicateValues" dxfId="439" priority="15747"/>
    <cfRule type="duplicateValues" dxfId="438" priority="15748"/>
    <cfRule type="duplicateValues" dxfId="437" priority="15749"/>
    <cfRule type="duplicateValues" dxfId="436" priority="15750"/>
    <cfRule type="duplicateValues" dxfId="435" priority="15751"/>
    <cfRule type="duplicateValues" dxfId="434" priority="15752"/>
    <cfRule type="duplicateValues" dxfId="433" priority="15753"/>
    <cfRule type="duplicateValues" dxfId="432" priority="15754"/>
    <cfRule type="duplicateValues" dxfId="431" priority="15755"/>
    <cfRule type="duplicateValues" dxfId="430" priority="15756"/>
    <cfRule type="duplicateValues" dxfId="429" priority="15757"/>
    <cfRule type="duplicateValues" dxfId="428" priority="15758"/>
    <cfRule type="duplicateValues" dxfId="427" priority="15759"/>
    <cfRule type="duplicateValues" dxfId="426" priority="15760"/>
    <cfRule type="duplicateValues" dxfId="425" priority="15761"/>
    <cfRule type="duplicateValues" dxfId="424" priority="15762"/>
    <cfRule type="duplicateValues" dxfId="423" priority="15763"/>
    <cfRule type="duplicateValues" dxfId="422" priority="15764"/>
    <cfRule type="duplicateValues" dxfId="421" priority="15765"/>
    <cfRule type="duplicateValues" dxfId="420" priority="15766"/>
    <cfRule type="duplicateValues" dxfId="419" priority="15767"/>
    <cfRule type="duplicateValues" dxfId="418" priority="15768"/>
    <cfRule type="duplicateValues" dxfId="417" priority="15769"/>
    <cfRule type="duplicateValues" dxfId="416" priority="15770"/>
    <cfRule type="duplicateValues" dxfId="415" priority="15771"/>
    <cfRule type="duplicateValues" dxfId="414" priority="15772"/>
    <cfRule type="duplicateValues" dxfId="413" priority="15773"/>
    <cfRule type="duplicateValues" dxfId="412" priority="15774"/>
    <cfRule type="duplicateValues" dxfId="411" priority="15775"/>
    <cfRule type="duplicateValues" dxfId="410" priority="15776"/>
    <cfRule type="duplicateValues" dxfId="409" priority="15777"/>
    <cfRule type="duplicateValues" dxfId="408" priority="15778"/>
    <cfRule type="duplicateValues" dxfId="407" priority="15779"/>
    <cfRule type="duplicateValues" dxfId="406" priority="15780"/>
    <cfRule type="duplicateValues" dxfId="405" priority="15781"/>
    <cfRule type="duplicateValues" dxfId="404" priority="15782"/>
    <cfRule type="duplicateValues" dxfId="403" priority="15783"/>
    <cfRule type="duplicateValues" dxfId="402" priority="15784"/>
    <cfRule type="duplicateValues" dxfId="401" priority="15785"/>
  </conditionalFormatting>
  <conditionalFormatting sqref="G2:G10 O2:O10">
    <cfRule type="duplicateValues" dxfId="400" priority="14631"/>
    <cfRule type="duplicateValues" dxfId="399" priority="14632"/>
    <cfRule type="duplicateValues" dxfId="398" priority="14633"/>
    <cfRule type="duplicateValues" dxfId="397" priority="14634"/>
    <cfRule type="duplicateValues" dxfId="396" priority="14635"/>
    <cfRule type="duplicateValues" dxfId="395" priority="14636"/>
    <cfRule type="duplicateValues" dxfId="394" priority="14637"/>
    <cfRule type="duplicateValues" dxfId="393" priority="14638"/>
    <cfRule type="duplicateValues" dxfId="392" priority="14639"/>
    <cfRule type="duplicateValues" dxfId="391" priority="14640"/>
    <cfRule type="duplicateValues" dxfId="390" priority="14641"/>
    <cfRule type="duplicateValues" dxfId="389" priority="14642"/>
    <cfRule type="duplicateValues" dxfId="388" priority="14643"/>
    <cfRule type="duplicateValues" dxfId="387" priority="14644"/>
    <cfRule type="duplicateValues" dxfId="386" priority="14645"/>
    <cfRule type="duplicateValues" dxfId="385" priority="14646"/>
    <cfRule type="duplicateValues" dxfId="384" priority="14647"/>
    <cfRule type="duplicateValues" dxfId="383" priority="14648"/>
    <cfRule type="duplicateValues" dxfId="382" priority="14649"/>
    <cfRule type="duplicateValues" dxfId="381" priority="14650"/>
    <cfRule type="duplicateValues" dxfId="380" priority="14651"/>
    <cfRule type="duplicateValues" dxfId="379" priority="14652"/>
    <cfRule type="duplicateValues" dxfId="378" priority="14653"/>
    <cfRule type="duplicateValues" dxfId="377" priority="14654"/>
    <cfRule type="duplicateValues" dxfId="376" priority="14655"/>
    <cfRule type="duplicateValues" dxfId="375" priority="14656"/>
    <cfRule type="duplicateValues" dxfId="374" priority="14657"/>
    <cfRule type="duplicateValues" dxfId="373" priority="14658"/>
    <cfRule type="duplicateValues" dxfId="372" priority="14659"/>
    <cfRule type="duplicateValues" dxfId="371" priority="14660"/>
    <cfRule type="duplicateValues" dxfId="370" priority="14661"/>
    <cfRule type="duplicateValues" dxfId="369" priority="14662"/>
    <cfRule type="duplicateValues" dxfId="368" priority="14663"/>
    <cfRule type="duplicateValues" dxfId="367" priority="14664"/>
    <cfRule type="duplicateValues" dxfId="366" priority="14665"/>
    <cfRule type="duplicateValues" dxfId="365" priority="14666"/>
    <cfRule type="duplicateValues" dxfId="364" priority="14667"/>
    <cfRule type="duplicateValues" dxfId="363" priority="14668"/>
    <cfRule type="duplicateValues" dxfId="362" priority="14669"/>
    <cfRule type="duplicateValues" dxfId="361" priority="14670"/>
    <cfRule type="duplicateValues" dxfId="360" priority="14671"/>
    <cfRule type="duplicateValues" dxfId="359" priority="14672"/>
    <cfRule type="duplicateValues" dxfId="358" priority="14673"/>
    <cfRule type="duplicateValues" dxfId="357" priority="14674"/>
    <cfRule type="duplicateValues" dxfId="356" priority="14675"/>
    <cfRule type="duplicateValues" dxfId="355" priority="14676"/>
    <cfRule type="duplicateValues" dxfId="354" priority="14677"/>
    <cfRule type="duplicateValues" dxfId="353" priority="14678"/>
    <cfRule type="duplicateValues" dxfId="352" priority="14679"/>
    <cfRule type="duplicateValues" dxfId="351" priority="14680"/>
    <cfRule type="duplicateValues" dxfId="350" priority="14681"/>
    <cfRule type="duplicateValues" dxfId="349" priority="14682"/>
    <cfRule type="duplicateValues" dxfId="348" priority="14683"/>
    <cfRule type="duplicateValues" dxfId="347" priority="14684"/>
    <cfRule type="duplicateValues" dxfId="346" priority="14685"/>
    <cfRule type="duplicateValues" dxfId="345" priority="14686"/>
    <cfRule type="duplicateValues" dxfId="344" priority="14687"/>
    <cfRule type="duplicateValues" dxfId="343" priority="14688"/>
    <cfRule type="duplicateValues" dxfId="342" priority="14689"/>
    <cfRule type="duplicateValues" dxfId="341" priority="14690"/>
    <cfRule type="duplicateValues" dxfId="340" priority="14691"/>
    <cfRule type="duplicateValues" dxfId="339" priority="14692"/>
    <cfRule type="duplicateValues" dxfId="338" priority="14693"/>
    <cfRule type="duplicateValues" dxfId="337" priority="14694"/>
    <cfRule type="duplicateValues" dxfId="336" priority="14695"/>
    <cfRule type="duplicateValues" dxfId="335" priority="14696"/>
    <cfRule type="duplicateValues" dxfId="334" priority="14697"/>
    <cfRule type="duplicateValues" dxfId="333" priority="14698"/>
    <cfRule type="duplicateValues" dxfId="332" priority="14699"/>
    <cfRule type="duplicateValues" dxfId="331" priority="14700"/>
    <cfRule type="duplicateValues" dxfId="330" priority="14701"/>
    <cfRule type="duplicateValues" dxfId="329" priority="14702"/>
    <cfRule type="duplicateValues" dxfId="328" priority="14703"/>
    <cfRule type="duplicateValues" dxfId="327" priority="14704"/>
    <cfRule type="duplicateValues" dxfId="326" priority="14705"/>
    <cfRule type="duplicateValues" dxfId="325" priority="14706"/>
    <cfRule type="duplicateValues" dxfId="324" priority="14707"/>
    <cfRule type="duplicateValues" dxfId="323" priority="14708"/>
    <cfRule type="duplicateValues" dxfId="322" priority="14709"/>
    <cfRule type="duplicateValues" dxfId="321" priority="14710"/>
    <cfRule type="duplicateValues" dxfId="320" priority="14711"/>
    <cfRule type="duplicateValues" dxfId="319" priority="14712"/>
    <cfRule type="duplicateValues" dxfId="318" priority="14713"/>
    <cfRule type="duplicateValues" dxfId="317" priority="14714"/>
    <cfRule type="duplicateValues" dxfId="316" priority="14715"/>
    <cfRule type="duplicateValues" dxfId="315" priority="14716"/>
    <cfRule type="duplicateValues" dxfId="314" priority="14717"/>
    <cfRule type="duplicateValues" dxfId="313" priority="14718"/>
    <cfRule type="duplicateValues" dxfId="312" priority="14719"/>
    <cfRule type="duplicateValues" dxfId="311" priority="14720"/>
    <cfRule type="duplicateValues" dxfId="310" priority="14721"/>
    <cfRule type="duplicateValues" dxfId="309" priority="14722"/>
    <cfRule type="duplicateValues" dxfId="308" priority="14723"/>
    <cfRule type="duplicateValues" dxfId="307" priority="14724"/>
    <cfRule type="duplicateValues" dxfId="306" priority="14725"/>
    <cfRule type="duplicateValues" dxfId="305" priority="14726"/>
    <cfRule type="duplicateValues" dxfId="304" priority="14727"/>
    <cfRule type="duplicateValues" dxfId="303" priority="14728"/>
    <cfRule type="duplicateValues" dxfId="302" priority="14729"/>
    <cfRule type="duplicateValues" dxfId="301" priority="14730"/>
    <cfRule type="duplicateValues" dxfId="300" priority="14731"/>
    <cfRule type="duplicateValues" dxfId="299" priority="14732"/>
    <cfRule type="duplicateValues" dxfId="298" priority="14733"/>
    <cfRule type="duplicateValues" dxfId="297" priority="14734"/>
    <cfRule type="duplicateValues" dxfId="296" priority="14735"/>
    <cfRule type="duplicateValues" dxfId="295" priority="14736"/>
    <cfRule type="duplicateValues" dxfId="294" priority="14737"/>
    <cfRule type="duplicateValues" dxfId="293" priority="14738"/>
    <cfRule type="duplicateValues" dxfId="292" priority="14739"/>
    <cfRule type="duplicateValues" dxfId="291" priority="14740"/>
    <cfRule type="duplicateValues" dxfId="290" priority="14741"/>
    <cfRule type="duplicateValues" dxfId="289" priority="14742"/>
    <cfRule type="duplicateValues" dxfId="288" priority="14743"/>
    <cfRule type="duplicateValues" dxfId="287" priority="14744"/>
    <cfRule type="duplicateValues" dxfId="286" priority="14745"/>
    <cfRule type="duplicateValues" dxfId="285" priority="14746"/>
    <cfRule type="duplicateValues" dxfId="284" priority="14747"/>
    <cfRule type="duplicateValues" dxfId="283" priority="14748"/>
    <cfRule type="duplicateValues" dxfId="282" priority="14749"/>
    <cfRule type="duplicateValues" dxfId="281" priority="14750"/>
    <cfRule type="duplicateValues" dxfId="280" priority="14751"/>
    <cfRule type="duplicateValues" dxfId="279" priority="14752"/>
    <cfRule type="duplicateValues" dxfId="278" priority="14753"/>
    <cfRule type="duplicateValues" dxfId="277" priority="14754"/>
    <cfRule type="duplicateValues" dxfId="276" priority="14755"/>
    <cfRule type="duplicateValues" dxfId="275" priority="14756"/>
    <cfRule type="duplicateValues" dxfId="274" priority="14757"/>
    <cfRule type="duplicateValues" dxfId="273" priority="14758"/>
    <cfRule type="duplicateValues" dxfId="272" priority="14759"/>
    <cfRule type="duplicateValues" dxfId="271" priority="14760"/>
    <cfRule type="duplicateValues" dxfId="270" priority="14761"/>
    <cfRule type="duplicateValues" dxfId="269" priority="14762"/>
    <cfRule type="duplicateValues" dxfId="268" priority="14763"/>
    <cfRule type="duplicateValues" dxfId="267" priority="14764"/>
    <cfRule type="duplicateValues" dxfId="266" priority="14765"/>
    <cfRule type="duplicateValues" dxfId="265" priority="14766"/>
    <cfRule type="duplicateValues" dxfId="264" priority="14767"/>
    <cfRule type="duplicateValues" dxfId="263" priority="14768"/>
    <cfRule type="duplicateValues" dxfId="262" priority="14769"/>
    <cfRule type="duplicateValues" dxfId="261" priority="14770"/>
    <cfRule type="duplicateValues" dxfId="260" priority="14771"/>
    <cfRule type="duplicateValues" dxfId="259" priority="14772"/>
    <cfRule type="duplicateValues" dxfId="258" priority="14773"/>
    <cfRule type="duplicateValues" dxfId="257" priority="14774"/>
    <cfRule type="duplicateValues" dxfId="256" priority="14775"/>
    <cfRule type="duplicateValues" dxfId="255" priority="14776"/>
    <cfRule type="duplicateValues" dxfId="254" priority="14777"/>
    <cfRule type="duplicateValues" dxfId="253" priority="14778"/>
    <cfRule type="duplicateValues" dxfId="252" priority="14779"/>
    <cfRule type="duplicateValues" dxfId="251" priority="14780"/>
    <cfRule type="duplicateValues" dxfId="250" priority="14781"/>
    <cfRule type="duplicateValues" dxfId="249" priority="14782"/>
    <cfRule type="duplicateValues" dxfId="248" priority="14783"/>
    <cfRule type="duplicateValues" dxfId="247" priority="14784"/>
    <cfRule type="duplicateValues" dxfId="246" priority="14785"/>
    <cfRule type="duplicateValues" dxfId="245" priority="14786"/>
    <cfRule type="duplicateValues" dxfId="244" priority="14787"/>
    <cfRule type="duplicateValues" dxfId="243" priority="14788"/>
    <cfRule type="duplicateValues" dxfId="242" priority="14789"/>
    <cfRule type="duplicateValues" dxfId="241" priority="14790"/>
    <cfRule type="duplicateValues" dxfId="240" priority="14791"/>
    <cfRule type="duplicateValues" dxfId="239" priority="14792"/>
    <cfRule type="duplicateValues" dxfId="238" priority="14793"/>
    <cfRule type="duplicateValues" dxfId="237" priority="14794"/>
    <cfRule type="duplicateValues" dxfId="236" priority="14795"/>
    <cfRule type="duplicateValues" dxfId="235" priority="14796"/>
    <cfRule type="duplicateValues" dxfId="234" priority="14797"/>
    <cfRule type="duplicateValues" dxfId="233" priority="14798"/>
    <cfRule type="duplicateValues" dxfId="232" priority="14799"/>
    <cfRule type="duplicateValues" dxfId="231" priority="14800"/>
    <cfRule type="duplicateValues" dxfId="230" priority="14801"/>
    <cfRule type="duplicateValues" dxfId="229" priority="14802"/>
    <cfRule type="duplicateValues" dxfId="228" priority="14803"/>
    <cfRule type="duplicateValues" dxfId="227" priority="14804"/>
    <cfRule type="duplicateValues" dxfId="226" priority="14805"/>
    <cfRule type="duplicateValues" dxfId="225" priority="14806"/>
    <cfRule type="duplicateValues" dxfId="224" priority="14807"/>
    <cfRule type="duplicateValues" dxfId="223" priority="14808"/>
    <cfRule type="duplicateValues" dxfId="222" priority="14809"/>
    <cfRule type="duplicateValues" dxfId="221" priority="14810"/>
    <cfRule type="duplicateValues" dxfId="220" priority="14811"/>
    <cfRule type="duplicateValues" dxfId="219" priority="14812"/>
    <cfRule type="duplicateValues" dxfId="218" priority="14813"/>
    <cfRule type="duplicateValues" dxfId="217" priority="14814"/>
    <cfRule type="duplicateValues" dxfId="216" priority="14815"/>
    <cfRule type="duplicateValues" dxfId="215" priority="14816"/>
    <cfRule type="duplicateValues" dxfId="214" priority="14817"/>
    <cfRule type="duplicateValues" dxfId="213" priority="14818"/>
    <cfRule type="duplicateValues" dxfId="212" priority="14819"/>
    <cfRule type="duplicateValues" dxfId="211" priority="14820"/>
    <cfRule type="duplicateValues" dxfId="210" priority="14821"/>
    <cfRule type="duplicateValues" dxfId="209" priority="14822"/>
    <cfRule type="duplicateValues" dxfId="208" priority="14823"/>
    <cfRule type="duplicateValues" dxfId="207" priority="14824"/>
    <cfRule type="duplicateValues" dxfId="206" priority="14825"/>
    <cfRule type="duplicateValues" dxfId="205" priority="14826"/>
    <cfRule type="duplicateValues" dxfId="204" priority="14827"/>
    <cfRule type="duplicateValues" dxfId="203" priority="14828"/>
    <cfRule type="duplicateValues" dxfId="202" priority="14829"/>
    <cfRule type="duplicateValues" dxfId="201" priority="14830"/>
    <cfRule type="duplicateValues" dxfId="200" priority="14831"/>
    <cfRule type="duplicateValues" dxfId="199" priority="14832"/>
    <cfRule type="duplicateValues" dxfId="198" priority="14833"/>
    <cfRule type="duplicateValues" dxfId="197" priority="14834"/>
    <cfRule type="duplicateValues" dxfId="196" priority="14835"/>
    <cfRule type="duplicateValues" dxfId="195" priority="14836"/>
    <cfRule type="duplicateValues" dxfId="194" priority="14837"/>
    <cfRule type="duplicateValues" dxfId="193" priority="14838"/>
    <cfRule type="duplicateValues" dxfId="192" priority="14839"/>
    <cfRule type="duplicateValues" dxfId="191" priority="14840"/>
    <cfRule type="duplicateValues" dxfId="190" priority="14841"/>
    <cfRule type="duplicateValues" dxfId="189" priority="14842"/>
    <cfRule type="duplicateValues" dxfId="188" priority="14843"/>
    <cfRule type="duplicateValues" dxfId="187" priority="14844"/>
    <cfRule type="duplicateValues" dxfId="186" priority="14845"/>
    <cfRule type="duplicateValues" dxfId="185" priority="14846"/>
    <cfRule type="duplicateValues" dxfId="184" priority="14847"/>
    <cfRule type="duplicateValues" dxfId="183" priority="14848"/>
    <cfRule type="duplicateValues" dxfId="182" priority="14849"/>
    <cfRule type="duplicateValues" dxfId="181" priority="14850"/>
    <cfRule type="duplicateValues" dxfId="180" priority="14851"/>
    <cfRule type="duplicateValues" dxfId="179" priority="14852"/>
    <cfRule type="duplicateValues" dxfId="178" priority="14853"/>
    <cfRule type="duplicateValues" dxfId="177" priority="14854"/>
    <cfRule type="duplicateValues" dxfId="176" priority="14855"/>
    <cfRule type="duplicateValues" dxfId="175" priority="14856"/>
    <cfRule type="duplicateValues" dxfId="174" priority="14857"/>
    <cfRule type="duplicateValues" dxfId="173" priority="14858"/>
    <cfRule type="duplicateValues" dxfId="172" priority="14859"/>
    <cfRule type="duplicateValues" dxfId="171" priority="14860"/>
    <cfRule type="duplicateValues" dxfId="170" priority="14861"/>
    <cfRule type="duplicateValues" dxfId="169" priority="14862"/>
    <cfRule type="duplicateValues" dxfId="168" priority="14863"/>
    <cfRule type="duplicateValues" dxfId="167" priority="14864"/>
    <cfRule type="duplicateValues" dxfId="166" priority="14865"/>
    <cfRule type="duplicateValues" dxfId="165" priority="14866"/>
    <cfRule type="duplicateValues" dxfId="164" priority="14867"/>
    <cfRule type="duplicateValues" dxfId="163" priority="14868"/>
    <cfRule type="duplicateValues" dxfId="162" priority="14869"/>
    <cfRule type="duplicateValues" dxfId="161" priority="14870"/>
    <cfRule type="duplicateValues" dxfId="160" priority="14871"/>
    <cfRule type="duplicateValues" dxfId="159" priority="14872"/>
    <cfRule type="duplicateValues" dxfId="158" priority="14873"/>
    <cfRule type="duplicateValues" dxfId="157" priority="14874"/>
    <cfRule type="duplicateValues" dxfId="156" priority="14875"/>
    <cfRule type="duplicateValues" dxfId="155" priority="14876"/>
    <cfRule type="duplicateValues" dxfId="154" priority="14877"/>
    <cfRule type="duplicateValues" dxfId="153" priority="14878"/>
    <cfRule type="duplicateValues" dxfId="152" priority="14879"/>
    <cfRule type="duplicateValues" dxfId="151" priority="14880"/>
    <cfRule type="duplicateValues" dxfId="150" priority="14881"/>
    <cfRule type="duplicateValues" dxfId="149" priority="14882"/>
    <cfRule type="duplicateValues" dxfId="148" priority="14883"/>
    <cfRule type="duplicateValues" dxfId="147" priority="14884"/>
    <cfRule type="duplicateValues" dxfId="146" priority="14885"/>
    <cfRule type="duplicateValues" dxfId="145" priority="14886"/>
    <cfRule type="duplicateValues" dxfId="144" priority="14887"/>
    <cfRule type="duplicateValues" dxfId="143" priority="14888"/>
    <cfRule type="duplicateValues" dxfId="142" priority="14889"/>
    <cfRule type="duplicateValues" dxfId="141" priority="14890"/>
    <cfRule type="duplicateValues" dxfId="140" priority="14891"/>
    <cfRule type="duplicateValues" dxfId="139" priority="14892"/>
    <cfRule type="duplicateValues" dxfId="138" priority="14893"/>
    <cfRule type="duplicateValues" dxfId="137" priority="14894"/>
    <cfRule type="duplicateValues" dxfId="136" priority="14895"/>
    <cfRule type="duplicateValues" dxfId="135" priority="14896"/>
    <cfRule type="duplicateValues" dxfId="134" priority="14897"/>
    <cfRule type="duplicateValues" dxfId="133" priority="14898"/>
    <cfRule type="duplicateValues" dxfId="132" priority="14899"/>
    <cfRule type="duplicateValues" dxfId="131" priority="14900"/>
    <cfRule type="duplicateValues" dxfId="130" priority="14901"/>
    <cfRule type="duplicateValues" dxfId="129" priority="14902"/>
    <cfRule type="duplicateValues" dxfId="128" priority="14903"/>
    <cfRule type="duplicateValues" dxfId="127" priority="14904"/>
    <cfRule type="duplicateValues" dxfId="126" priority="14905"/>
    <cfRule type="duplicateValues" dxfId="125" priority="14906"/>
    <cfRule type="duplicateValues" dxfId="124" priority="14907"/>
    <cfRule type="duplicateValues" dxfId="123" priority="14908"/>
    <cfRule type="duplicateValues" dxfId="122" priority="14909"/>
    <cfRule type="duplicateValues" dxfId="121" priority="14910"/>
    <cfRule type="duplicateValues" dxfId="120" priority="14911"/>
    <cfRule type="duplicateValues" dxfId="119" priority="14912"/>
    <cfRule type="duplicateValues" dxfId="118" priority="14913"/>
    <cfRule type="duplicateValues" dxfId="117" priority="14914"/>
    <cfRule type="duplicateValues" dxfId="116" priority="14915"/>
    <cfRule type="duplicateValues" dxfId="115" priority="14916"/>
    <cfRule type="duplicateValues" dxfId="114" priority="14917"/>
    <cfRule type="duplicateValues" dxfId="113" priority="14918"/>
    <cfRule type="duplicateValues" dxfId="112" priority="14919"/>
    <cfRule type="duplicateValues" dxfId="111" priority="14920"/>
    <cfRule type="duplicateValues" dxfId="110" priority="14921"/>
    <cfRule type="duplicateValues" dxfId="109" priority="14922"/>
    <cfRule type="duplicateValues" dxfId="108" priority="14923"/>
    <cfRule type="duplicateValues" dxfId="107" priority="14924"/>
    <cfRule type="duplicateValues" dxfId="106" priority="14925"/>
    <cfRule type="duplicateValues" dxfId="105" priority="14926"/>
    <cfRule type="duplicateValues" dxfId="104" priority="14927"/>
    <cfRule type="duplicateValues" dxfId="103" priority="14928"/>
    <cfRule type="duplicateValues" dxfId="102" priority="14929"/>
    <cfRule type="duplicateValues" dxfId="101" priority="14930"/>
    <cfRule type="duplicateValues" dxfId="100" priority="14931"/>
    <cfRule type="duplicateValues" dxfId="99" priority="14932"/>
    <cfRule type="duplicateValues" dxfId="98" priority="14933"/>
    <cfRule type="duplicateValues" dxfId="97" priority="14934"/>
    <cfRule type="duplicateValues" dxfId="96" priority="14935"/>
    <cfRule type="duplicateValues" dxfId="95" priority="14936"/>
    <cfRule type="duplicateValues" dxfId="94" priority="14937"/>
    <cfRule type="duplicateValues" dxfId="93" priority="14938"/>
    <cfRule type="duplicateValues" dxfId="92" priority="14939"/>
    <cfRule type="duplicateValues" dxfId="91" priority="14940"/>
    <cfRule type="duplicateValues" dxfId="90" priority="14941"/>
    <cfRule type="duplicateValues" dxfId="89" priority="14942"/>
    <cfRule type="duplicateValues" dxfId="88" priority="14943"/>
    <cfRule type="duplicateValues" dxfId="87" priority="14944"/>
    <cfRule type="duplicateValues" dxfId="86" priority="14945"/>
    <cfRule type="duplicateValues" dxfId="85" priority="14946"/>
    <cfRule type="duplicateValues" dxfId="84" priority="14947"/>
    <cfRule type="duplicateValues" dxfId="83" priority="14948"/>
    <cfRule type="duplicateValues" dxfId="82" priority="14949"/>
    <cfRule type="duplicateValues" dxfId="81" priority="14950"/>
    <cfRule type="duplicateValues" dxfId="80" priority="14951"/>
    <cfRule type="duplicateValues" dxfId="79" priority="14952"/>
    <cfRule type="duplicateValues" dxfId="78" priority="14953"/>
    <cfRule type="duplicateValues" dxfId="77" priority="14954"/>
    <cfRule type="duplicateValues" dxfId="76" priority="14955"/>
    <cfRule type="duplicateValues" dxfId="75" priority="14956"/>
    <cfRule type="duplicateValues" dxfId="74" priority="14957"/>
    <cfRule type="duplicateValues" dxfId="73" priority="14958"/>
    <cfRule type="duplicateValues" dxfId="72" priority="14959"/>
    <cfRule type="duplicateValues" dxfId="71" priority="14960"/>
    <cfRule type="duplicateValues" dxfId="70" priority="14961"/>
    <cfRule type="duplicateValues" dxfId="69" priority="14962"/>
    <cfRule type="duplicateValues" dxfId="68" priority="14963"/>
    <cfRule type="duplicateValues" dxfId="67" priority="14964"/>
    <cfRule type="duplicateValues" dxfId="66" priority="14965"/>
    <cfRule type="duplicateValues" dxfId="65" priority="14966"/>
    <cfRule type="duplicateValues" dxfId="64" priority="14967"/>
    <cfRule type="duplicateValues" dxfId="63" priority="14968"/>
    <cfRule type="duplicateValues" dxfId="62" priority="14969"/>
    <cfRule type="duplicateValues" dxfId="61" priority="14970"/>
    <cfRule type="duplicateValues" dxfId="60" priority="14971"/>
    <cfRule type="duplicateValues" dxfId="59" priority="14972"/>
    <cfRule type="duplicateValues" dxfId="58" priority="14973"/>
    <cfRule type="duplicateValues" dxfId="57" priority="14974"/>
    <cfRule type="duplicateValues" dxfId="56" priority="14975"/>
    <cfRule type="duplicateValues" dxfId="55" priority="14976"/>
    <cfRule type="duplicateValues" dxfId="54" priority="14977"/>
    <cfRule type="duplicateValues" dxfId="53" priority="14978"/>
    <cfRule type="duplicateValues" dxfId="52" priority="14979"/>
    <cfRule type="duplicateValues" dxfId="51" priority="14980"/>
    <cfRule type="duplicateValues" dxfId="50" priority="14981"/>
    <cfRule type="duplicateValues" dxfId="49" priority="14982"/>
    <cfRule type="duplicateValues" dxfId="48" priority="14983"/>
    <cfRule type="duplicateValues" dxfId="47" priority="14984"/>
    <cfRule type="duplicateValues" dxfId="46" priority="14985"/>
    <cfRule type="duplicateValues" dxfId="45" priority="14986"/>
    <cfRule type="duplicateValues" dxfId="44" priority="14987"/>
    <cfRule type="duplicateValues" dxfId="43" priority="14988"/>
    <cfRule type="duplicateValues" dxfId="42" priority="14989"/>
    <cfRule type="duplicateValues" dxfId="41" priority="14990"/>
    <cfRule type="duplicateValues" dxfId="40" priority="14991"/>
    <cfRule type="duplicateValues" dxfId="39" priority="14992"/>
    <cfRule type="duplicateValues" dxfId="38" priority="14993"/>
    <cfRule type="duplicateValues" dxfId="37" priority="14994"/>
    <cfRule type="duplicateValues" dxfId="36" priority="14995"/>
    <cfRule type="duplicateValues" dxfId="35" priority="14996"/>
    <cfRule type="duplicateValues" dxfId="34" priority="14997"/>
    <cfRule type="duplicateValues" dxfId="33" priority="14998"/>
    <cfRule type="duplicateValues" dxfId="32" priority="14999"/>
    <cfRule type="duplicateValues" dxfId="31" priority="15000"/>
    <cfRule type="duplicateValues" dxfId="30" priority="15001"/>
    <cfRule type="duplicateValues" dxfId="29" priority="15002"/>
    <cfRule type="duplicateValues" dxfId="28" priority="15003"/>
    <cfRule type="duplicateValues" dxfId="27" priority="15004"/>
    <cfRule type="duplicateValues" dxfId="26" priority="15005"/>
    <cfRule type="duplicateValues" dxfId="25" priority="15006"/>
    <cfRule type="duplicateValues" dxfId="24" priority="15007"/>
    <cfRule type="duplicateValues" dxfId="23" priority="15008"/>
    <cfRule type="duplicateValues" dxfId="22" priority="15009"/>
    <cfRule type="duplicateValues" dxfId="21" priority="15010"/>
    <cfRule type="duplicateValues" dxfId="20" priority="15011"/>
    <cfRule type="duplicateValues" dxfId="19" priority="15012"/>
    <cfRule type="duplicateValues" dxfId="18" priority="15013"/>
    <cfRule type="duplicateValues" dxfId="17" priority="15014"/>
    <cfRule type="duplicateValues" dxfId="16" priority="15015"/>
  </conditionalFormatting>
  <pageMargins left="0.511811024" right="0.511811024" top="0.78740157499999974" bottom="0.78740157499999974" header="0.31496061999999997" footer="0.31496061999999997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01"/>
  <dimension ref="A1:K6000"/>
  <sheetViews>
    <sheetView showGridLines="0" workbookViewId="0">
      <pane ySplit="1" topLeftCell="A2" activePane="bottomLeft" state="frozen"/>
      <selection activeCell="B1" sqref="B1"/>
      <selection pane="bottomLeft" sqref="A1:A1048576"/>
    </sheetView>
  </sheetViews>
  <sheetFormatPr defaultColWidth="9.140625" defaultRowHeight="12.75" x14ac:dyDescent="0.2"/>
  <cols>
    <col min="1" max="1" width="20.5703125" style="79" hidden="1" customWidth="1"/>
    <col min="2" max="2" width="7" bestFit="1" customWidth="1"/>
    <col min="3" max="3" width="5.7109375" bestFit="1" customWidth="1"/>
    <col min="4" max="4" width="7.42578125" bestFit="1" customWidth="1"/>
    <col min="5" max="5" width="10.7109375" bestFit="1" customWidth="1"/>
    <col min="6" max="6" width="10.5703125" bestFit="1" customWidth="1"/>
    <col min="7" max="7" width="32.7109375" customWidth="1"/>
    <col min="8" max="8" width="8.140625" bestFit="1" customWidth="1"/>
    <col min="9" max="9" width="6" bestFit="1" customWidth="1"/>
    <col min="10" max="10" width="16.5703125" bestFit="1" customWidth="1"/>
    <col min="11" max="11" width="21.140625" bestFit="1" customWidth="1"/>
    <col min="12" max="16384" width="9.140625" style="79"/>
  </cols>
  <sheetData>
    <row r="1" spans="1:11" x14ac:dyDescent="0.2">
      <c r="A1"/>
      <c r="B1" t="s">
        <v>103</v>
      </c>
      <c r="C1" t="s">
        <v>64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</row>
    <row r="2" spans="1:11" x14ac:dyDescent="0.2">
      <c r="A2" t="s">
        <v>837</v>
      </c>
      <c r="B2" t="s">
        <v>112</v>
      </c>
      <c r="C2" t="s">
        <v>74</v>
      </c>
      <c r="D2">
        <v>1</v>
      </c>
      <c r="E2" t="s">
        <v>815</v>
      </c>
      <c r="F2">
        <v>50063028</v>
      </c>
      <c r="G2" t="s">
        <v>185</v>
      </c>
      <c r="H2" t="s">
        <v>114</v>
      </c>
      <c r="I2">
        <v>60</v>
      </c>
      <c r="J2" t="s">
        <v>823</v>
      </c>
      <c r="K2">
        <v>6497832</v>
      </c>
    </row>
    <row r="3" spans="1:11" x14ac:dyDescent="0.2">
      <c r="A3" t="s">
        <v>837</v>
      </c>
      <c r="B3" t="s">
        <v>112</v>
      </c>
      <c r="C3" t="s">
        <v>74</v>
      </c>
      <c r="D3">
        <v>1</v>
      </c>
      <c r="E3" t="s">
        <v>815</v>
      </c>
      <c r="F3">
        <v>10224293</v>
      </c>
      <c r="G3" t="s">
        <v>113</v>
      </c>
      <c r="H3" t="s">
        <v>114</v>
      </c>
      <c r="I3">
        <v>10.199999999999999</v>
      </c>
      <c r="J3" t="s">
        <v>823</v>
      </c>
      <c r="K3">
        <v>6497832</v>
      </c>
    </row>
    <row r="4" spans="1:11" x14ac:dyDescent="0.2">
      <c r="A4" t="s">
        <v>837</v>
      </c>
      <c r="B4" t="s">
        <v>112</v>
      </c>
      <c r="C4" t="s">
        <v>74</v>
      </c>
      <c r="D4">
        <v>1</v>
      </c>
      <c r="E4" t="s">
        <v>815</v>
      </c>
      <c r="F4">
        <v>10226405</v>
      </c>
      <c r="G4" t="s">
        <v>115</v>
      </c>
      <c r="H4" t="s">
        <v>114</v>
      </c>
      <c r="I4">
        <v>7.6</v>
      </c>
      <c r="J4" t="s">
        <v>823</v>
      </c>
      <c r="K4">
        <v>6497832</v>
      </c>
    </row>
    <row r="5" spans="1:11" x14ac:dyDescent="0.2">
      <c r="A5" t="s">
        <v>837</v>
      </c>
      <c r="B5" t="s">
        <v>112</v>
      </c>
      <c r="C5" t="s">
        <v>74</v>
      </c>
      <c r="D5">
        <v>1</v>
      </c>
      <c r="E5" t="s">
        <v>815</v>
      </c>
      <c r="F5">
        <v>10223657</v>
      </c>
      <c r="G5" t="s">
        <v>116</v>
      </c>
      <c r="H5" t="s">
        <v>114</v>
      </c>
      <c r="I5">
        <v>4</v>
      </c>
      <c r="J5" t="s">
        <v>823</v>
      </c>
      <c r="K5">
        <v>6497832</v>
      </c>
    </row>
    <row r="6" spans="1:11" x14ac:dyDescent="0.2">
      <c r="A6" t="s">
        <v>837</v>
      </c>
      <c r="B6" t="s">
        <v>112</v>
      </c>
      <c r="C6" t="s">
        <v>74</v>
      </c>
      <c r="D6">
        <v>1</v>
      </c>
      <c r="E6" t="s">
        <v>815</v>
      </c>
      <c r="F6">
        <v>10198819</v>
      </c>
      <c r="G6" t="s">
        <v>117</v>
      </c>
      <c r="H6" t="s">
        <v>114</v>
      </c>
      <c r="I6">
        <v>0.2</v>
      </c>
      <c r="J6" t="s">
        <v>823</v>
      </c>
      <c r="K6">
        <v>6497832</v>
      </c>
    </row>
    <row r="7" spans="1:11" x14ac:dyDescent="0.2">
      <c r="A7" t="s">
        <v>837</v>
      </c>
      <c r="B7" t="s">
        <v>112</v>
      </c>
      <c r="C7" t="s">
        <v>74</v>
      </c>
      <c r="D7">
        <v>1</v>
      </c>
      <c r="E7" t="s">
        <v>815</v>
      </c>
      <c r="F7">
        <v>10226361</v>
      </c>
      <c r="G7" t="s">
        <v>118</v>
      </c>
      <c r="H7" t="s">
        <v>114</v>
      </c>
      <c r="I7">
        <v>3.6</v>
      </c>
      <c r="J7" t="s">
        <v>823</v>
      </c>
      <c r="K7">
        <v>6497832</v>
      </c>
    </row>
    <row r="8" spans="1:11" x14ac:dyDescent="0.2">
      <c r="A8" t="s">
        <v>837</v>
      </c>
      <c r="B8" t="s">
        <v>112</v>
      </c>
      <c r="C8" t="s">
        <v>74</v>
      </c>
      <c r="D8">
        <v>1</v>
      </c>
      <c r="E8" t="s">
        <v>815</v>
      </c>
      <c r="F8">
        <v>50066598</v>
      </c>
      <c r="G8" t="s">
        <v>795</v>
      </c>
      <c r="H8" t="s">
        <v>114</v>
      </c>
      <c r="I8">
        <v>2</v>
      </c>
      <c r="J8" t="s">
        <v>823</v>
      </c>
      <c r="K8">
        <v>6497832</v>
      </c>
    </row>
    <row r="9" spans="1:11" x14ac:dyDescent="0.2">
      <c r="A9" t="s">
        <v>837</v>
      </c>
      <c r="B9" t="s">
        <v>112</v>
      </c>
      <c r="C9" t="s">
        <v>74</v>
      </c>
      <c r="D9">
        <v>1</v>
      </c>
      <c r="E9" t="s">
        <v>815</v>
      </c>
      <c r="F9">
        <v>50066599</v>
      </c>
      <c r="G9" t="s">
        <v>796</v>
      </c>
      <c r="H9" t="s">
        <v>114</v>
      </c>
      <c r="I9">
        <v>3</v>
      </c>
      <c r="J9" t="s">
        <v>823</v>
      </c>
      <c r="K9">
        <v>6497832</v>
      </c>
    </row>
    <row r="10" spans="1:11" x14ac:dyDescent="0.2">
      <c r="A10" t="s">
        <v>837</v>
      </c>
      <c r="B10" t="s">
        <v>112</v>
      </c>
      <c r="C10" t="s">
        <v>74</v>
      </c>
      <c r="D10">
        <v>1</v>
      </c>
      <c r="E10" t="s">
        <v>815</v>
      </c>
      <c r="F10">
        <v>10226399</v>
      </c>
      <c r="G10" t="s">
        <v>120</v>
      </c>
      <c r="H10" t="s">
        <v>114</v>
      </c>
      <c r="I10">
        <v>0.2</v>
      </c>
      <c r="J10" t="s">
        <v>823</v>
      </c>
      <c r="K10">
        <v>6497832</v>
      </c>
    </row>
    <row r="11" spans="1:11" x14ac:dyDescent="0.2">
      <c r="A11" t="s">
        <v>837</v>
      </c>
      <c r="B11" t="s">
        <v>112</v>
      </c>
      <c r="C11" t="s">
        <v>74</v>
      </c>
      <c r="D11">
        <v>1</v>
      </c>
      <c r="E11" t="s">
        <v>815</v>
      </c>
      <c r="F11">
        <v>50994931</v>
      </c>
      <c r="G11" t="s">
        <v>121</v>
      </c>
      <c r="H11" t="s">
        <v>114</v>
      </c>
      <c r="I11">
        <v>408</v>
      </c>
      <c r="J11" t="s">
        <v>823</v>
      </c>
      <c r="K11">
        <v>6497832</v>
      </c>
    </row>
    <row r="12" spans="1:11" x14ac:dyDescent="0.2">
      <c r="A12" t="s">
        <v>837</v>
      </c>
      <c r="B12" t="s">
        <v>112</v>
      </c>
      <c r="C12" t="s">
        <v>74</v>
      </c>
      <c r="D12">
        <v>1</v>
      </c>
      <c r="E12" t="s">
        <v>815</v>
      </c>
      <c r="F12">
        <v>10242292</v>
      </c>
      <c r="G12" t="s">
        <v>122</v>
      </c>
      <c r="H12" t="s">
        <v>114</v>
      </c>
      <c r="I12">
        <v>8</v>
      </c>
      <c r="J12" t="s">
        <v>823</v>
      </c>
      <c r="K12">
        <v>6497832</v>
      </c>
    </row>
    <row r="13" spans="1:11" x14ac:dyDescent="0.2">
      <c r="A13" t="s">
        <v>837</v>
      </c>
      <c r="B13" t="s">
        <v>112</v>
      </c>
      <c r="C13" t="s">
        <v>74</v>
      </c>
      <c r="D13">
        <v>1</v>
      </c>
      <c r="E13" t="s">
        <v>815</v>
      </c>
      <c r="F13">
        <v>50994945</v>
      </c>
      <c r="G13" t="s">
        <v>124</v>
      </c>
      <c r="H13" t="s">
        <v>114</v>
      </c>
      <c r="I13">
        <v>396</v>
      </c>
      <c r="J13" t="s">
        <v>823</v>
      </c>
      <c r="K13">
        <v>6497832</v>
      </c>
    </row>
    <row r="14" spans="1:11" x14ac:dyDescent="0.2">
      <c r="A14" t="s">
        <v>837</v>
      </c>
      <c r="B14" t="s">
        <v>112</v>
      </c>
      <c r="C14" t="s">
        <v>74</v>
      </c>
      <c r="D14">
        <v>1</v>
      </c>
      <c r="E14" t="s">
        <v>815</v>
      </c>
      <c r="F14">
        <v>10247603</v>
      </c>
      <c r="G14" t="s">
        <v>125</v>
      </c>
      <c r="H14" t="s">
        <v>114</v>
      </c>
      <c r="I14">
        <v>1</v>
      </c>
      <c r="J14" t="s">
        <v>823</v>
      </c>
      <c r="K14">
        <v>6497832</v>
      </c>
    </row>
    <row r="15" spans="1:11" x14ac:dyDescent="0.2">
      <c r="A15" t="s">
        <v>837</v>
      </c>
      <c r="B15" t="s">
        <v>112</v>
      </c>
      <c r="C15" t="s">
        <v>74</v>
      </c>
      <c r="D15">
        <v>1</v>
      </c>
      <c r="E15" t="s">
        <v>815</v>
      </c>
      <c r="F15">
        <v>10208004</v>
      </c>
      <c r="G15" t="s">
        <v>126</v>
      </c>
      <c r="H15" t="s">
        <v>114</v>
      </c>
      <c r="I15">
        <v>3.2</v>
      </c>
      <c r="J15" t="s">
        <v>823</v>
      </c>
      <c r="K15">
        <v>6497832</v>
      </c>
    </row>
    <row r="16" spans="1:11" x14ac:dyDescent="0.2">
      <c r="A16" t="s">
        <v>837</v>
      </c>
      <c r="B16" t="s">
        <v>112</v>
      </c>
      <c r="C16" t="s">
        <v>74</v>
      </c>
      <c r="D16">
        <v>1</v>
      </c>
      <c r="E16" t="s">
        <v>815</v>
      </c>
      <c r="F16">
        <v>10208167</v>
      </c>
      <c r="G16" t="s">
        <v>127</v>
      </c>
      <c r="H16" t="s">
        <v>114</v>
      </c>
      <c r="I16">
        <v>1.6</v>
      </c>
      <c r="J16" t="s">
        <v>823</v>
      </c>
      <c r="K16">
        <v>6497832</v>
      </c>
    </row>
    <row r="17" spans="1:11" x14ac:dyDescent="0.2">
      <c r="A17" t="s">
        <v>837</v>
      </c>
      <c r="B17" t="s">
        <v>112</v>
      </c>
      <c r="C17" t="s">
        <v>74</v>
      </c>
      <c r="D17">
        <v>1</v>
      </c>
      <c r="E17" t="s">
        <v>815</v>
      </c>
      <c r="F17">
        <v>10215610</v>
      </c>
      <c r="G17" t="s">
        <v>128</v>
      </c>
      <c r="H17" t="s">
        <v>114</v>
      </c>
      <c r="I17">
        <v>74</v>
      </c>
      <c r="J17" t="s">
        <v>823</v>
      </c>
      <c r="K17">
        <v>6497832</v>
      </c>
    </row>
    <row r="18" spans="1:11" x14ac:dyDescent="0.2">
      <c r="A18" t="s">
        <v>837</v>
      </c>
      <c r="B18" t="s">
        <v>112</v>
      </c>
      <c r="C18" t="s">
        <v>74</v>
      </c>
      <c r="D18">
        <v>1</v>
      </c>
      <c r="E18" t="s">
        <v>815</v>
      </c>
      <c r="F18">
        <v>10215641</v>
      </c>
      <c r="G18" t="s">
        <v>129</v>
      </c>
      <c r="H18" t="s">
        <v>114</v>
      </c>
      <c r="I18">
        <v>20.8</v>
      </c>
      <c r="J18" t="s">
        <v>823</v>
      </c>
      <c r="K18">
        <v>6497832</v>
      </c>
    </row>
    <row r="19" spans="1:11" x14ac:dyDescent="0.2">
      <c r="A19" t="s">
        <v>837</v>
      </c>
      <c r="B19" t="s">
        <v>112</v>
      </c>
      <c r="C19" t="s">
        <v>74</v>
      </c>
      <c r="D19">
        <v>1</v>
      </c>
      <c r="E19" t="s">
        <v>815</v>
      </c>
      <c r="F19">
        <v>10223108</v>
      </c>
      <c r="G19" t="s">
        <v>130</v>
      </c>
      <c r="H19" t="s">
        <v>114</v>
      </c>
      <c r="I19">
        <v>2.8</v>
      </c>
      <c r="J19" t="s">
        <v>823</v>
      </c>
      <c r="K19">
        <v>6497832</v>
      </c>
    </row>
    <row r="20" spans="1:11" x14ac:dyDescent="0.2">
      <c r="A20" t="s">
        <v>837</v>
      </c>
      <c r="B20" t="s">
        <v>112</v>
      </c>
      <c r="C20" t="s">
        <v>74</v>
      </c>
      <c r="D20">
        <v>1</v>
      </c>
      <c r="E20" t="s">
        <v>815</v>
      </c>
      <c r="F20">
        <v>10226359</v>
      </c>
      <c r="G20" t="s">
        <v>132</v>
      </c>
      <c r="H20" t="s">
        <v>114</v>
      </c>
      <c r="I20">
        <v>0.6</v>
      </c>
      <c r="J20" t="s">
        <v>823</v>
      </c>
      <c r="K20">
        <v>6497832</v>
      </c>
    </row>
    <row r="21" spans="1:11" x14ac:dyDescent="0.2">
      <c r="A21" t="s">
        <v>837</v>
      </c>
      <c r="B21" t="s">
        <v>112</v>
      </c>
      <c r="C21" t="s">
        <v>74</v>
      </c>
      <c r="D21">
        <v>1</v>
      </c>
      <c r="E21" t="s">
        <v>815</v>
      </c>
      <c r="F21">
        <v>10226367</v>
      </c>
      <c r="G21" t="s">
        <v>133</v>
      </c>
      <c r="H21" t="s">
        <v>114</v>
      </c>
      <c r="I21">
        <v>2.4</v>
      </c>
      <c r="J21" t="s">
        <v>823</v>
      </c>
      <c r="K21">
        <v>6497832</v>
      </c>
    </row>
    <row r="22" spans="1:11" x14ac:dyDescent="0.2">
      <c r="A22" t="s">
        <v>837</v>
      </c>
      <c r="B22" t="s">
        <v>112</v>
      </c>
      <c r="C22" t="s">
        <v>74</v>
      </c>
      <c r="D22">
        <v>1</v>
      </c>
      <c r="E22" t="s">
        <v>815</v>
      </c>
      <c r="F22">
        <v>10226368</v>
      </c>
      <c r="G22" t="s">
        <v>134</v>
      </c>
      <c r="H22" t="s">
        <v>114</v>
      </c>
      <c r="I22">
        <v>9.1999999999999993</v>
      </c>
      <c r="J22" t="s">
        <v>823</v>
      </c>
      <c r="K22">
        <v>6497832</v>
      </c>
    </row>
    <row r="23" spans="1:11" x14ac:dyDescent="0.2">
      <c r="A23" t="s">
        <v>837</v>
      </c>
      <c r="B23" t="s">
        <v>112</v>
      </c>
      <c r="C23" t="s">
        <v>74</v>
      </c>
      <c r="D23">
        <v>1</v>
      </c>
      <c r="E23" t="s">
        <v>815</v>
      </c>
      <c r="F23">
        <v>10226373</v>
      </c>
      <c r="G23" t="s">
        <v>135</v>
      </c>
      <c r="H23" t="s">
        <v>114</v>
      </c>
      <c r="I23">
        <v>3.2</v>
      </c>
      <c r="J23" t="s">
        <v>823</v>
      </c>
      <c r="K23">
        <v>6497832</v>
      </c>
    </row>
    <row r="24" spans="1:11" x14ac:dyDescent="0.2">
      <c r="A24" t="s">
        <v>837</v>
      </c>
      <c r="B24" t="s">
        <v>112</v>
      </c>
      <c r="C24" t="s">
        <v>74</v>
      </c>
      <c r="D24">
        <v>1</v>
      </c>
      <c r="E24" t="s">
        <v>815</v>
      </c>
      <c r="F24">
        <v>10226377</v>
      </c>
      <c r="G24" t="s">
        <v>136</v>
      </c>
      <c r="H24" t="s">
        <v>114</v>
      </c>
      <c r="I24">
        <v>1.4</v>
      </c>
      <c r="J24" t="s">
        <v>823</v>
      </c>
      <c r="K24">
        <v>6497832</v>
      </c>
    </row>
    <row r="25" spans="1:11" x14ac:dyDescent="0.2">
      <c r="A25" t="s">
        <v>837</v>
      </c>
      <c r="B25" t="s">
        <v>112</v>
      </c>
      <c r="C25" t="s">
        <v>74</v>
      </c>
      <c r="D25">
        <v>1</v>
      </c>
      <c r="E25" t="s">
        <v>815</v>
      </c>
      <c r="F25">
        <v>10226385</v>
      </c>
      <c r="G25" t="s">
        <v>137</v>
      </c>
      <c r="H25" t="s">
        <v>114</v>
      </c>
      <c r="I25">
        <v>1.8</v>
      </c>
      <c r="J25" t="s">
        <v>823</v>
      </c>
      <c r="K25">
        <v>6497832</v>
      </c>
    </row>
    <row r="26" spans="1:11" x14ac:dyDescent="0.2">
      <c r="A26" t="s">
        <v>837</v>
      </c>
      <c r="B26" t="s">
        <v>112</v>
      </c>
      <c r="C26" t="s">
        <v>74</v>
      </c>
      <c r="D26">
        <v>1</v>
      </c>
      <c r="E26" t="s">
        <v>815</v>
      </c>
      <c r="F26">
        <v>10226388</v>
      </c>
      <c r="G26" t="s">
        <v>138</v>
      </c>
      <c r="H26" t="s">
        <v>114</v>
      </c>
      <c r="I26">
        <v>0.4</v>
      </c>
      <c r="J26" t="s">
        <v>823</v>
      </c>
      <c r="K26">
        <v>6497832</v>
      </c>
    </row>
    <row r="27" spans="1:11" x14ac:dyDescent="0.2">
      <c r="A27" t="s">
        <v>837</v>
      </c>
      <c r="B27" t="s">
        <v>112</v>
      </c>
      <c r="C27" t="s">
        <v>74</v>
      </c>
      <c r="D27">
        <v>1</v>
      </c>
      <c r="E27" t="s">
        <v>815</v>
      </c>
      <c r="F27">
        <v>10226398</v>
      </c>
      <c r="G27" t="s">
        <v>140</v>
      </c>
      <c r="H27" t="s">
        <v>114</v>
      </c>
      <c r="I27">
        <v>2</v>
      </c>
      <c r="J27" t="s">
        <v>823</v>
      </c>
      <c r="K27">
        <v>6497832</v>
      </c>
    </row>
    <row r="28" spans="1:11" x14ac:dyDescent="0.2">
      <c r="A28" t="s">
        <v>837</v>
      </c>
      <c r="B28" t="s">
        <v>112</v>
      </c>
      <c r="C28" t="s">
        <v>74</v>
      </c>
      <c r="D28">
        <v>1</v>
      </c>
      <c r="E28" t="s">
        <v>815</v>
      </c>
      <c r="F28">
        <v>10226403</v>
      </c>
      <c r="G28" t="s">
        <v>141</v>
      </c>
      <c r="H28" t="s">
        <v>114</v>
      </c>
      <c r="I28">
        <v>8.1</v>
      </c>
      <c r="J28" t="s">
        <v>823</v>
      </c>
      <c r="K28">
        <v>6497832</v>
      </c>
    </row>
    <row r="29" spans="1:11" x14ac:dyDescent="0.2">
      <c r="A29" t="s">
        <v>837</v>
      </c>
      <c r="B29" t="s">
        <v>112</v>
      </c>
      <c r="C29" t="s">
        <v>74</v>
      </c>
      <c r="D29">
        <v>1</v>
      </c>
      <c r="E29" t="s">
        <v>815</v>
      </c>
      <c r="F29">
        <v>10226410</v>
      </c>
      <c r="G29" t="s">
        <v>142</v>
      </c>
      <c r="H29" t="s">
        <v>114</v>
      </c>
      <c r="I29">
        <v>1.2</v>
      </c>
      <c r="J29" t="s">
        <v>823</v>
      </c>
      <c r="K29">
        <v>6497832</v>
      </c>
    </row>
    <row r="30" spans="1:11" x14ac:dyDescent="0.2">
      <c r="A30" t="s">
        <v>837</v>
      </c>
      <c r="B30" t="s">
        <v>112</v>
      </c>
      <c r="C30" t="s">
        <v>74</v>
      </c>
      <c r="D30">
        <v>1</v>
      </c>
      <c r="E30" t="s">
        <v>815</v>
      </c>
      <c r="F30">
        <v>10226417</v>
      </c>
      <c r="G30" t="s">
        <v>143</v>
      </c>
      <c r="H30" t="s">
        <v>114</v>
      </c>
      <c r="I30">
        <v>38.6</v>
      </c>
      <c r="J30" t="s">
        <v>823</v>
      </c>
      <c r="K30">
        <v>6497832</v>
      </c>
    </row>
    <row r="31" spans="1:11" x14ac:dyDescent="0.2">
      <c r="A31" t="s">
        <v>837</v>
      </c>
      <c r="B31" t="s">
        <v>112</v>
      </c>
      <c r="C31" t="s">
        <v>74</v>
      </c>
      <c r="D31">
        <v>1</v>
      </c>
      <c r="E31" t="s">
        <v>815</v>
      </c>
      <c r="F31">
        <v>10226418</v>
      </c>
      <c r="G31" t="s">
        <v>144</v>
      </c>
      <c r="H31" t="s">
        <v>114</v>
      </c>
      <c r="I31">
        <v>0.2</v>
      </c>
      <c r="J31" t="s">
        <v>823</v>
      </c>
      <c r="K31">
        <v>6497832</v>
      </c>
    </row>
    <row r="32" spans="1:11" x14ac:dyDescent="0.2">
      <c r="A32" t="s">
        <v>837</v>
      </c>
      <c r="B32" t="s">
        <v>112</v>
      </c>
      <c r="C32" t="s">
        <v>74</v>
      </c>
      <c r="D32">
        <v>1</v>
      </c>
      <c r="E32" t="s">
        <v>815</v>
      </c>
      <c r="F32">
        <v>10226422</v>
      </c>
      <c r="G32" t="s">
        <v>162</v>
      </c>
      <c r="H32" t="s">
        <v>114</v>
      </c>
      <c r="I32">
        <v>3</v>
      </c>
      <c r="J32" t="s">
        <v>823</v>
      </c>
      <c r="K32">
        <v>6497832</v>
      </c>
    </row>
    <row r="33" spans="1:11" x14ac:dyDescent="0.2">
      <c r="A33" t="s">
        <v>837</v>
      </c>
      <c r="B33" t="s">
        <v>112</v>
      </c>
      <c r="C33" t="s">
        <v>74</v>
      </c>
      <c r="D33">
        <v>1</v>
      </c>
      <c r="E33" t="s">
        <v>815</v>
      </c>
      <c r="F33">
        <v>10226425</v>
      </c>
      <c r="G33" t="s">
        <v>145</v>
      </c>
      <c r="H33" t="s">
        <v>114</v>
      </c>
      <c r="I33">
        <v>1.8</v>
      </c>
      <c r="J33" t="s">
        <v>823</v>
      </c>
      <c r="K33">
        <v>6497832</v>
      </c>
    </row>
    <row r="34" spans="1:11" x14ac:dyDescent="0.2">
      <c r="A34" t="s">
        <v>837</v>
      </c>
      <c r="B34" t="s">
        <v>112</v>
      </c>
      <c r="C34" t="s">
        <v>74</v>
      </c>
      <c r="D34">
        <v>1</v>
      </c>
      <c r="E34" t="s">
        <v>815</v>
      </c>
      <c r="F34">
        <v>10226428</v>
      </c>
      <c r="G34" t="s">
        <v>146</v>
      </c>
      <c r="H34" t="s">
        <v>114</v>
      </c>
      <c r="I34">
        <v>1</v>
      </c>
      <c r="J34" t="s">
        <v>823</v>
      </c>
      <c r="K34">
        <v>6497832</v>
      </c>
    </row>
    <row r="35" spans="1:11" x14ac:dyDescent="0.2">
      <c r="A35" t="s">
        <v>837</v>
      </c>
      <c r="B35" t="s">
        <v>112</v>
      </c>
      <c r="C35" t="s">
        <v>74</v>
      </c>
      <c r="D35">
        <v>1</v>
      </c>
      <c r="E35" t="s">
        <v>815</v>
      </c>
      <c r="F35">
        <v>10226429</v>
      </c>
      <c r="G35" t="s">
        <v>147</v>
      </c>
      <c r="H35" t="s">
        <v>114</v>
      </c>
      <c r="I35">
        <v>27.4</v>
      </c>
      <c r="J35" t="s">
        <v>823</v>
      </c>
      <c r="K35">
        <v>6497832</v>
      </c>
    </row>
    <row r="36" spans="1:11" x14ac:dyDescent="0.2">
      <c r="A36" t="s">
        <v>837</v>
      </c>
      <c r="B36" t="s">
        <v>112</v>
      </c>
      <c r="C36" t="s">
        <v>74</v>
      </c>
      <c r="D36">
        <v>1</v>
      </c>
      <c r="E36" t="s">
        <v>815</v>
      </c>
      <c r="F36">
        <v>10226435</v>
      </c>
      <c r="G36" t="s">
        <v>148</v>
      </c>
      <c r="H36" t="s">
        <v>114</v>
      </c>
      <c r="I36">
        <v>0.4</v>
      </c>
      <c r="J36" t="s">
        <v>823</v>
      </c>
      <c r="K36">
        <v>6497832</v>
      </c>
    </row>
    <row r="37" spans="1:11" x14ac:dyDescent="0.2">
      <c r="A37" t="s">
        <v>837</v>
      </c>
      <c r="B37" t="s">
        <v>112</v>
      </c>
      <c r="C37" t="s">
        <v>74</v>
      </c>
      <c r="D37">
        <v>1</v>
      </c>
      <c r="E37" t="s">
        <v>815</v>
      </c>
      <c r="F37">
        <v>10226442</v>
      </c>
      <c r="G37" t="s">
        <v>149</v>
      </c>
      <c r="H37" t="s">
        <v>114</v>
      </c>
      <c r="I37">
        <v>0.4</v>
      </c>
      <c r="J37" t="s">
        <v>823</v>
      </c>
      <c r="K37">
        <v>6497832</v>
      </c>
    </row>
    <row r="38" spans="1:11" x14ac:dyDescent="0.2">
      <c r="A38" t="s">
        <v>837</v>
      </c>
      <c r="B38" t="s">
        <v>112</v>
      </c>
      <c r="C38" t="s">
        <v>74</v>
      </c>
      <c r="D38">
        <v>1</v>
      </c>
      <c r="E38" t="s">
        <v>815</v>
      </c>
      <c r="F38">
        <v>10226452</v>
      </c>
      <c r="G38" t="s">
        <v>151</v>
      </c>
      <c r="H38" t="s">
        <v>114</v>
      </c>
      <c r="I38">
        <v>1.4</v>
      </c>
      <c r="J38" t="s">
        <v>823</v>
      </c>
      <c r="K38">
        <v>6497832</v>
      </c>
    </row>
    <row r="39" spans="1:11" x14ac:dyDescent="0.2">
      <c r="A39" t="s">
        <v>837</v>
      </c>
      <c r="B39" t="s">
        <v>112</v>
      </c>
      <c r="C39" t="s">
        <v>74</v>
      </c>
      <c r="D39">
        <v>1</v>
      </c>
      <c r="E39" t="s">
        <v>815</v>
      </c>
      <c r="F39">
        <v>10226454</v>
      </c>
      <c r="G39" t="s">
        <v>152</v>
      </c>
      <c r="H39" t="s">
        <v>114</v>
      </c>
      <c r="I39">
        <v>25.4</v>
      </c>
      <c r="J39" t="s">
        <v>823</v>
      </c>
      <c r="K39">
        <v>6497832</v>
      </c>
    </row>
    <row r="40" spans="1:11" x14ac:dyDescent="0.2">
      <c r="A40" t="s">
        <v>837</v>
      </c>
      <c r="B40" t="s">
        <v>112</v>
      </c>
      <c r="C40" t="s">
        <v>74</v>
      </c>
      <c r="D40">
        <v>1</v>
      </c>
      <c r="E40" t="s">
        <v>815</v>
      </c>
      <c r="F40">
        <v>50063026</v>
      </c>
      <c r="G40" t="s">
        <v>184</v>
      </c>
      <c r="H40" t="s">
        <v>114</v>
      </c>
      <c r="I40">
        <v>48</v>
      </c>
      <c r="J40" t="s">
        <v>823</v>
      </c>
      <c r="K40">
        <v>6497832</v>
      </c>
    </row>
    <row r="41" spans="1:11" x14ac:dyDescent="0.2">
      <c r="A41" t="s">
        <v>837</v>
      </c>
      <c r="B41" t="s">
        <v>112</v>
      </c>
      <c r="C41" t="s">
        <v>74</v>
      </c>
      <c r="D41">
        <v>1</v>
      </c>
      <c r="E41" t="s">
        <v>815</v>
      </c>
      <c r="F41">
        <v>10226402</v>
      </c>
      <c r="G41" t="s">
        <v>156</v>
      </c>
      <c r="H41" t="s">
        <v>114</v>
      </c>
      <c r="I41">
        <v>1.7</v>
      </c>
      <c r="J41" t="s">
        <v>823</v>
      </c>
      <c r="K41">
        <v>6497832</v>
      </c>
    </row>
    <row r="42" spans="1:11" x14ac:dyDescent="0.2">
      <c r="A42" t="s">
        <v>837</v>
      </c>
      <c r="B42" t="s">
        <v>112</v>
      </c>
      <c r="C42" t="s">
        <v>74</v>
      </c>
      <c r="D42">
        <v>1</v>
      </c>
      <c r="E42" t="s">
        <v>815</v>
      </c>
      <c r="F42">
        <v>50055233</v>
      </c>
      <c r="G42" t="s">
        <v>157</v>
      </c>
      <c r="H42" t="s">
        <v>114</v>
      </c>
      <c r="I42">
        <v>20</v>
      </c>
      <c r="J42" t="s">
        <v>823</v>
      </c>
      <c r="K42">
        <v>6497832</v>
      </c>
    </row>
    <row r="43" spans="1:11" x14ac:dyDescent="0.2">
      <c r="A43" t="s">
        <v>838</v>
      </c>
      <c r="B43" t="s">
        <v>112</v>
      </c>
      <c r="C43" t="s">
        <v>74</v>
      </c>
      <c r="D43">
        <v>1</v>
      </c>
      <c r="E43" t="s">
        <v>815</v>
      </c>
      <c r="F43">
        <v>50063028</v>
      </c>
      <c r="G43" t="s">
        <v>185</v>
      </c>
      <c r="H43" t="s">
        <v>170</v>
      </c>
      <c r="I43">
        <v>24</v>
      </c>
      <c r="J43" t="s">
        <v>823</v>
      </c>
      <c r="K43">
        <v>6497525</v>
      </c>
    </row>
    <row r="44" spans="1:11" x14ac:dyDescent="0.2">
      <c r="A44" t="s">
        <v>838</v>
      </c>
      <c r="B44" t="s">
        <v>112</v>
      </c>
      <c r="C44" t="s">
        <v>74</v>
      </c>
      <c r="D44">
        <v>1</v>
      </c>
      <c r="E44" t="s">
        <v>815</v>
      </c>
      <c r="F44">
        <v>50065260</v>
      </c>
      <c r="G44" t="s">
        <v>199</v>
      </c>
      <c r="H44" t="s">
        <v>170</v>
      </c>
      <c r="I44">
        <v>12</v>
      </c>
      <c r="J44" t="s">
        <v>823</v>
      </c>
      <c r="K44">
        <v>6497525</v>
      </c>
    </row>
    <row r="45" spans="1:11" x14ac:dyDescent="0.2">
      <c r="A45" t="s">
        <v>838</v>
      </c>
      <c r="B45" t="s">
        <v>112</v>
      </c>
      <c r="C45" t="s">
        <v>74</v>
      </c>
      <c r="D45">
        <v>1</v>
      </c>
      <c r="E45" t="s">
        <v>815</v>
      </c>
      <c r="F45">
        <v>10224293</v>
      </c>
      <c r="G45" t="s">
        <v>113</v>
      </c>
      <c r="H45" t="s">
        <v>170</v>
      </c>
      <c r="I45">
        <v>7.6</v>
      </c>
      <c r="J45" t="s">
        <v>823</v>
      </c>
      <c r="K45">
        <v>6497525</v>
      </c>
    </row>
    <row r="46" spans="1:11" x14ac:dyDescent="0.2">
      <c r="A46" t="s">
        <v>838</v>
      </c>
      <c r="B46" t="s">
        <v>112</v>
      </c>
      <c r="C46" t="s">
        <v>74</v>
      </c>
      <c r="D46">
        <v>1</v>
      </c>
      <c r="E46" t="s">
        <v>815</v>
      </c>
      <c r="F46">
        <v>10226405</v>
      </c>
      <c r="G46" t="s">
        <v>115</v>
      </c>
      <c r="H46" t="s">
        <v>170</v>
      </c>
      <c r="I46">
        <v>40.4</v>
      </c>
      <c r="J46" t="s">
        <v>823</v>
      </c>
      <c r="K46">
        <v>6497525</v>
      </c>
    </row>
    <row r="47" spans="1:11" x14ac:dyDescent="0.2">
      <c r="A47" t="s">
        <v>838</v>
      </c>
      <c r="B47" t="s">
        <v>112</v>
      </c>
      <c r="C47" t="s">
        <v>74</v>
      </c>
      <c r="D47">
        <v>1</v>
      </c>
      <c r="E47" t="s">
        <v>815</v>
      </c>
      <c r="F47">
        <v>10223657</v>
      </c>
      <c r="G47" t="s">
        <v>116</v>
      </c>
      <c r="H47" t="s">
        <v>170</v>
      </c>
      <c r="I47">
        <v>5.2</v>
      </c>
      <c r="J47" t="s">
        <v>823</v>
      </c>
      <c r="K47">
        <v>6497525</v>
      </c>
    </row>
    <row r="48" spans="1:11" x14ac:dyDescent="0.2">
      <c r="A48" t="s">
        <v>838</v>
      </c>
      <c r="B48" t="s">
        <v>112</v>
      </c>
      <c r="C48" t="s">
        <v>74</v>
      </c>
      <c r="D48">
        <v>1</v>
      </c>
      <c r="E48" t="s">
        <v>815</v>
      </c>
      <c r="F48">
        <v>10198819</v>
      </c>
      <c r="G48" t="s">
        <v>117</v>
      </c>
      <c r="H48" t="s">
        <v>170</v>
      </c>
      <c r="I48">
        <v>0.6</v>
      </c>
      <c r="J48" t="s">
        <v>823</v>
      </c>
      <c r="K48">
        <v>6497525</v>
      </c>
    </row>
    <row r="49" spans="1:11" x14ac:dyDescent="0.2">
      <c r="A49" t="s">
        <v>838</v>
      </c>
      <c r="B49" t="s">
        <v>112</v>
      </c>
      <c r="C49" t="s">
        <v>74</v>
      </c>
      <c r="D49">
        <v>1</v>
      </c>
      <c r="E49" t="s">
        <v>815</v>
      </c>
      <c r="F49">
        <v>10226361</v>
      </c>
      <c r="G49" t="s">
        <v>118</v>
      </c>
      <c r="H49" t="s">
        <v>170</v>
      </c>
      <c r="I49">
        <v>1.5</v>
      </c>
      <c r="J49" t="s">
        <v>823</v>
      </c>
      <c r="K49">
        <v>6497525</v>
      </c>
    </row>
    <row r="50" spans="1:11" x14ac:dyDescent="0.2">
      <c r="A50" t="s">
        <v>838</v>
      </c>
      <c r="B50" t="s">
        <v>112</v>
      </c>
      <c r="C50" t="s">
        <v>74</v>
      </c>
      <c r="D50">
        <v>1</v>
      </c>
      <c r="E50" t="s">
        <v>815</v>
      </c>
      <c r="F50">
        <v>10226415</v>
      </c>
      <c r="G50" t="s">
        <v>119</v>
      </c>
      <c r="H50" t="s">
        <v>170</v>
      </c>
      <c r="I50">
        <v>2.7</v>
      </c>
      <c r="J50" t="s">
        <v>823</v>
      </c>
      <c r="K50">
        <v>6497525</v>
      </c>
    </row>
    <row r="51" spans="1:11" x14ac:dyDescent="0.2">
      <c r="A51" t="s">
        <v>838</v>
      </c>
      <c r="B51" t="s">
        <v>112</v>
      </c>
      <c r="C51" t="s">
        <v>74</v>
      </c>
      <c r="D51">
        <v>1</v>
      </c>
      <c r="E51" t="s">
        <v>815</v>
      </c>
      <c r="F51">
        <v>10226441</v>
      </c>
      <c r="G51" t="s">
        <v>171</v>
      </c>
      <c r="H51" t="s">
        <v>170</v>
      </c>
      <c r="I51">
        <v>0.4</v>
      </c>
      <c r="J51" t="s">
        <v>823</v>
      </c>
      <c r="K51">
        <v>6497525</v>
      </c>
    </row>
    <row r="52" spans="1:11" x14ac:dyDescent="0.2">
      <c r="A52" t="s">
        <v>838</v>
      </c>
      <c r="B52" t="s">
        <v>112</v>
      </c>
      <c r="C52" t="s">
        <v>74</v>
      </c>
      <c r="D52">
        <v>1</v>
      </c>
      <c r="E52" t="s">
        <v>815</v>
      </c>
      <c r="F52">
        <v>50066588</v>
      </c>
      <c r="G52" t="s">
        <v>805</v>
      </c>
      <c r="H52" t="s">
        <v>170</v>
      </c>
      <c r="I52">
        <v>1</v>
      </c>
      <c r="J52" t="s">
        <v>823</v>
      </c>
      <c r="K52">
        <v>6497525</v>
      </c>
    </row>
    <row r="53" spans="1:11" x14ac:dyDescent="0.2">
      <c r="A53" t="s">
        <v>838</v>
      </c>
      <c r="B53" t="s">
        <v>112</v>
      </c>
      <c r="C53" t="s">
        <v>74</v>
      </c>
      <c r="D53">
        <v>1</v>
      </c>
      <c r="E53" t="s">
        <v>815</v>
      </c>
      <c r="F53">
        <v>50066589</v>
      </c>
      <c r="G53" t="s">
        <v>806</v>
      </c>
      <c r="H53" t="s">
        <v>170</v>
      </c>
      <c r="I53">
        <v>1</v>
      </c>
      <c r="J53" t="s">
        <v>823</v>
      </c>
      <c r="K53">
        <v>6497525</v>
      </c>
    </row>
    <row r="54" spans="1:11" x14ac:dyDescent="0.2">
      <c r="A54" t="s">
        <v>838</v>
      </c>
      <c r="B54" t="s">
        <v>112</v>
      </c>
      <c r="C54" t="s">
        <v>74</v>
      </c>
      <c r="D54">
        <v>1</v>
      </c>
      <c r="E54" t="s">
        <v>815</v>
      </c>
      <c r="F54">
        <v>50066590</v>
      </c>
      <c r="G54" t="s">
        <v>807</v>
      </c>
      <c r="H54" t="s">
        <v>170</v>
      </c>
      <c r="I54">
        <v>1</v>
      </c>
      <c r="J54" t="s">
        <v>823</v>
      </c>
      <c r="K54">
        <v>6497525</v>
      </c>
    </row>
    <row r="55" spans="1:11" x14ac:dyDescent="0.2">
      <c r="A55" t="s">
        <v>838</v>
      </c>
      <c r="B55" t="s">
        <v>112</v>
      </c>
      <c r="C55" t="s">
        <v>74</v>
      </c>
      <c r="D55">
        <v>1</v>
      </c>
      <c r="E55" t="s">
        <v>815</v>
      </c>
      <c r="F55">
        <v>50066598</v>
      </c>
      <c r="G55" t="s">
        <v>795</v>
      </c>
      <c r="H55" t="s">
        <v>170</v>
      </c>
      <c r="I55">
        <v>6</v>
      </c>
      <c r="J55" t="s">
        <v>823</v>
      </c>
      <c r="K55">
        <v>6497525</v>
      </c>
    </row>
    <row r="56" spans="1:11" x14ac:dyDescent="0.2">
      <c r="A56" t="s">
        <v>838</v>
      </c>
      <c r="B56" t="s">
        <v>112</v>
      </c>
      <c r="C56" t="s">
        <v>74</v>
      </c>
      <c r="D56">
        <v>1</v>
      </c>
      <c r="E56" t="s">
        <v>815</v>
      </c>
      <c r="F56">
        <v>50066599</v>
      </c>
      <c r="G56" t="s">
        <v>796</v>
      </c>
      <c r="H56" t="s">
        <v>170</v>
      </c>
      <c r="I56">
        <v>8</v>
      </c>
      <c r="J56" t="s">
        <v>823</v>
      </c>
      <c r="K56">
        <v>6497525</v>
      </c>
    </row>
    <row r="57" spans="1:11" x14ac:dyDescent="0.2">
      <c r="A57" t="s">
        <v>838</v>
      </c>
      <c r="B57" t="s">
        <v>112</v>
      </c>
      <c r="C57" t="s">
        <v>74</v>
      </c>
      <c r="D57">
        <v>1</v>
      </c>
      <c r="E57" t="s">
        <v>815</v>
      </c>
      <c r="F57">
        <v>50066622</v>
      </c>
      <c r="G57" t="s">
        <v>808</v>
      </c>
      <c r="H57" t="s">
        <v>170</v>
      </c>
      <c r="I57">
        <v>1</v>
      </c>
      <c r="J57" t="s">
        <v>823</v>
      </c>
      <c r="K57">
        <v>6497525</v>
      </c>
    </row>
    <row r="58" spans="1:11" x14ac:dyDescent="0.2">
      <c r="A58" t="s">
        <v>838</v>
      </c>
      <c r="B58" t="s">
        <v>112</v>
      </c>
      <c r="C58" t="s">
        <v>74</v>
      </c>
      <c r="D58">
        <v>1</v>
      </c>
      <c r="E58" t="s">
        <v>815</v>
      </c>
      <c r="F58">
        <v>10226399</v>
      </c>
      <c r="G58" t="s">
        <v>120</v>
      </c>
      <c r="H58" t="s">
        <v>170</v>
      </c>
      <c r="I58">
        <v>7</v>
      </c>
      <c r="J58" t="s">
        <v>823</v>
      </c>
      <c r="K58">
        <v>6497525</v>
      </c>
    </row>
    <row r="59" spans="1:11" x14ac:dyDescent="0.2">
      <c r="A59" t="s">
        <v>838</v>
      </c>
      <c r="B59" t="s">
        <v>112</v>
      </c>
      <c r="C59" t="s">
        <v>74</v>
      </c>
      <c r="D59">
        <v>1</v>
      </c>
      <c r="E59" t="s">
        <v>815</v>
      </c>
      <c r="F59">
        <v>50994931</v>
      </c>
      <c r="G59" t="s">
        <v>121</v>
      </c>
      <c r="H59" t="s">
        <v>170</v>
      </c>
      <c r="I59">
        <v>294</v>
      </c>
      <c r="J59" t="s">
        <v>823</v>
      </c>
      <c r="K59">
        <v>6497525</v>
      </c>
    </row>
    <row r="60" spans="1:11" x14ac:dyDescent="0.2">
      <c r="A60" t="s">
        <v>838</v>
      </c>
      <c r="B60" t="s">
        <v>112</v>
      </c>
      <c r="C60" t="s">
        <v>74</v>
      </c>
      <c r="D60">
        <v>1</v>
      </c>
      <c r="E60" t="s">
        <v>815</v>
      </c>
      <c r="F60">
        <v>50065408</v>
      </c>
      <c r="G60" t="s">
        <v>186</v>
      </c>
      <c r="H60" t="s">
        <v>170</v>
      </c>
      <c r="I60">
        <v>16</v>
      </c>
      <c r="J60" t="s">
        <v>823</v>
      </c>
      <c r="K60">
        <v>6497525</v>
      </c>
    </row>
    <row r="61" spans="1:11" x14ac:dyDescent="0.2">
      <c r="A61" t="s">
        <v>838</v>
      </c>
      <c r="B61" t="s">
        <v>112</v>
      </c>
      <c r="C61" t="s">
        <v>74</v>
      </c>
      <c r="D61">
        <v>1</v>
      </c>
      <c r="E61" t="s">
        <v>815</v>
      </c>
      <c r="F61">
        <v>50065406</v>
      </c>
      <c r="G61" t="s">
        <v>159</v>
      </c>
      <c r="H61" t="s">
        <v>170</v>
      </c>
      <c r="I61">
        <v>16</v>
      </c>
      <c r="J61" t="s">
        <v>823</v>
      </c>
      <c r="K61">
        <v>6497525</v>
      </c>
    </row>
    <row r="62" spans="1:11" x14ac:dyDescent="0.2">
      <c r="A62" t="s">
        <v>838</v>
      </c>
      <c r="B62" t="s">
        <v>112</v>
      </c>
      <c r="C62" t="s">
        <v>74</v>
      </c>
      <c r="D62">
        <v>1</v>
      </c>
      <c r="E62" t="s">
        <v>815</v>
      </c>
      <c r="F62">
        <v>10242292</v>
      </c>
      <c r="G62" t="s">
        <v>122</v>
      </c>
      <c r="H62" t="s">
        <v>170</v>
      </c>
      <c r="I62">
        <v>21.2</v>
      </c>
      <c r="J62" t="s">
        <v>823</v>
      </c>
      <c r="K62">
        <v>6497525</v>
      </c>
    </row>
    <row r="63" spans="1:11" x14ac:dyDescent="0.2">
      <c r="A63" t="s">
        <v>838</v>
      </c>
      <c r="B63" t="s">
        <v>112</v>
      </c>
      <c r="C63" t="s">
        <v>74</v>
      </c>
      <c r="D63">
        <v>1</v>
      </c>
      <c r="E63" t="s">
        <v>815</v>
      </c>
      <c r="F63">
        <v>10242293</v>
      </c>
      <c r="G63" t="s">
        <v>123</v>
      </c>
      <c r="H63" t="s">
        <v>170</v>
      </c>
      <c r="I63">
        <v>3.8</v>
      </c>
      <c r="J63" t="s">
        <v>823</v>
      </c>
      <c r="K63">
        <v>6497525</v>
      </c>
    </row>
    <row r="64" spans="1:11" x14ac:dyDescent="0.2">
      <c r="A64" t="s">
        <v>838</v>
      </c>
      <c r="B64" t="s">
        <v>112</v>
      </c>
      <c r="C64" t="s">
        <v>74</v>
      </c>
      <c r="D64">
        <v>1</v>
      </c>
      <c r="E64" t="s">
        <v>815</v>
      </c>
      <c r="F64">
        <v>50994945</v>
      </c>
      <c r="G64" t="s">
        <v>124</v>
      </c>
      <c r="H64" t="s">
        <v>170</v>
      </c>
      <c r="I64">
        <v>354</v>
      </c>
      <c r="J64" t="s">
        <v>823</v>
      </c>
      <c r="K64">
        <v>6497525</v>
      </c>
    </row>
    <row r="65" spans="1:11" x14ac:dyDescent="0.2">
      <c r="A65" t="s">
        <v>838</v>
      </c>
      <c r="B65" t="s">
        <v>112</v>
      </c>
      <c r="C65" t="s">
        <v>74</v>
      </c>
      <c r="D65">
        <v>1</v>
      </c>
      <c r="E65" t="s">
        <v>815</v>
      </c>
      <c r="F65">
        <v>10247603</v>
      </c>
      <c r="G65" t="s">
        <v>125</v>
      </c>
      <c r="H65" t="s">
        <v>170</v>
      </c>
      <c r="I65">
        <v>7.6</v>
      </c>
      <c r="J65" t="s">
        <v>823</v>
      </c>
      <c r="K65">
        <v>6497525</v>
      </c>
    </row>
    <row r="66" spans="1:11" x14ac:dyDescent="0.2">
      <c r="A66" t="s">
        <v>838</v>
      </c>
      <c r="B66" t="s">
        <v>112</v>
      </c>
      <c r="C66" t="s">
        <v>74</v>
      </c>
      <c r="D66">
        <v>1</v>
      </c>
      <c r="E66" t="s">
        <v>815</v>
      </c>
      <c r="F66">
        <v>10208167</v>
      </c>
      <c r="G66" t="s">
        <v>127</v>
      </c>
      <c r="H66" t="s">
        <v>170</v>
      </c>
      <c r="I66">
        <v>1.7</v>
      </c>
      <c r="J66" t="s">
        <v>823</v>
      </c>
      <c r="K66">
        <v>6497525</v>
      </c>
    </row>
    <row r="67" spans="1:11" x14ac:dyDescent="0.2">
      <c r="A67" t="s">
        <v>838</v>
      </c>
      <c r="B67" t="s">
        <v>112</v>
      </c>
      <c r="C67" t="s">
        <v>74</v>
      </c>
      <c r="D67">
        <v>1</v>
      </c>
      <c r="E67" t="s">
        <v>815</v>
      </c>
      <c r="F67">
        <v>10215610</v>
      </c>
      <c r="G67" t="s">
        <v>128</v>
      </c>
      <c r="H67" t="s">
        <v>170</v>
      </c>
      <c r="I67">
        <v>86.8</v>
      </c>
      <c r="J67" t="s">
        <v>823</v>
      </c>
      <c r="K67">
        <v>6497525</v>
      </c>
    </row>
    <row r="68" spans="1:11" x14ac:dyDescent="0.2">
      <c r="A68" t="s">
        <v>838</v>
      </c>
      <c r="B68" t="s">
        <v>112</v>
      </c>
      <c r="C68" t="s">
        <v>74</v>
      </c>
      <c r="D68">
        <v>1</v>
      </c>
      <c r="E68" t="s">
        <v>815</v>
      </c>
      <c r="F68">
        <v>10215641</v>
      </c>
      <c r="G68" t="s">
        <v>129</v>
      </c>
      <c r="H68" t="s">
        <v>170</v>
      </c>
      <c r="I68">
        <v>15.8</v>
      </c>
      <c r="J68" t="s">
        <v>823</v>
      </c>
      <c r="K68">
        <v>6497525</v>
      </c>
    </row>
    <row r="69" spans="1:11" x14ac:dyDescent="0.2">
      <c r="A69" t="s">
        <v>838</v>
      </c>
      <c r="B69" t="s">
        <v>112</v>
      </c>
      <c r="C69" t="s">
        <v>74</v>
      </c>
      <c r="D69">
        <v>1</v>
      </c>
      <c r="E69" t="s">
        <v>815</v>
      </c>
      <c r="F69">
        <v>10223108</v>
      </c>
      <c r="G69" t="s">
        <v>130</v>
      </c>
      <c r="H69" t="s">
        <v>170</v>
      </c>
      <c r="I69">
        <v>5</v>
      </c>
      <c r="J69" t="s">
        <v>823</v>
      </c>
      <c r="K69">
        <v>6497525</v>
      </c>
    </row>
    <row r="70" spans="1:11" x14ac:dyDescent="0.2">
      <c r="A70" t="s">
        <v>838</v>
      </c>
      <c r="B70" t="s">
        <v>112</v>
      </c>
      <c r="C70" t="s">
        <v>74</v>
      </c>
      <c r="D70">
        <v>1</v>
      </c>
      <c r="E70" t="s">
        <v>815</v>
      </c>
      <c r="F70">
        <v>10226363</v>
      </c>
      <c r="G70" t="s">
        <v>816</v>
      </c>
      <c r="H70" t="s">
        <v>170</v>
      </c>
      <c r="I70">
        <v>0.2</v>
      </c>
      <c r="J70" t="s">
        <v>823</v>
      </c>
      <c r="K70">
        <v>6497525</v>
      </c>
    </row>
    <row r="71" spans="1:11" x14ac:dyDescent="0.2">
      <c r="A71" t="s">
        <v>838</v>
      </c>
      <c r="B71" t="s">
        <v>112</v>
      </c>
      <c r="C71" t="s">
        <v>74</v>
      </c>
      <c r="D71">
        <v>1</v>
      </c>
      <c r="E71" t="s">
        <v>815</v>
      </c>
      <c r="F71">
        <v>10226367</v>
      </c>
      <c r="G71" t="s">
        <v>133</v>
      </c>
      <c r="H71" t="s">
        <v>170</v>
      </c>
      <c r="I71">
        <v>5.2</v>
      </c>
      <c r="J71" t="s">
        <v>823</v>
      </c>
      <c r="K71">
        <v>6497525</v>
      </c>
    </row>
    <row r="72" spans="1:11" x14ac:dyDescent="0.2">
      <c r="A72" t="s">
        <v>838</v>
      </c>
      <c r="B72" t="s">
        <v>112</v>
      </c>
      <c r="C72" t="s">
        <v>74</v>
      </c>
      <c r="D72">
        <v>1</v>
      </c>
      <c r="E72" t="s">
        <v>815</v>
      </c>
      <c r="F72">
        <v>10226368</v>
      </c>
      <c r="G72" t="s">
        <v>134</v>
      </c>
      <c r="H72" t="s">
        <v>170</v>
      </c>
      <c r="I72">
        <v>10.199999999999999</v>
      </c>
      <c r="J72" t="s">
        <v>823</v>
      </c>
      <c r="K72">
        <v>6497525</v>
      </c>
    </row>
    <row r="73" spans="1:11" x14ac:dyDescent="0.2">
      <c r="A73" t="s">
        <v>838</v>
      </c>
      <c r="B73" t="s">
        <v>112</v>
      </c>
      <c r="C73" t="s">
        <v>74</v>
      </c>
      <c r="D73">
        <v>1</v>
      </c>
      <c r="E73" t="s">
        <v>815</v>
      </c>
      <c r="F73">
        <v>10226373</v>
      </c>
      <c r="G73" t="s">
        <v>135</v>
      </c>
      <c r="H73" t="s">
        <v>170</v>
      </c>
      <c r="I73">
        <v>8.6</v>
      </c>
      <c r="J73" t="s">
        <v>823</v>
      </c>
      <c r="K73">
        <v>6497525</v>
      </c>
    </row>
    <row r="74" spans="1:11" x14ac:dyDescent="0.2">
      <c r="A74" t="s">
        <v>838</v>
      </c>
      <c r="B74" t="s">
        <v>112</v>
      </c>
      <c r="C74" t="s">
        <v>74</v>
      </c>
      <c r="D74">
        <v>1</v>
      </c>
      <c r="E74" t="s">
        <v>815</v>
      </c>
      <c r="F74">
        <v>10226377</v>
      </c>
      <c r="G74" t="s">
        <v>136</v>
      </c>
      <c r="H74" t="s">
        <v>170</v>
      </c>
      <c r="I74">
        <v>1.5</v>
      </c>
      <c r="J74" t="s">
        <v>823</v>
      </c>
      <c r="K74">
        <v>6497525</v>
      </c>
    </row>
    <row r="75" spans="1:11" x14ac:dyDescent="0.2">
      <c r="A75" t="s">
        <v>838</v>
      </c>
      <c r="B75" t="s">
        <v>112</v>
      </c>
      <c r="C75" t="s">
        <v>74</v>
      </c>
      <c r="D75">
        <v>1</v>
      </c>
      <c r="E75" t="s">
        <v>815</v>
      </c>
      <c r="F75">
        <v>10226385</v>
      </c>
      <c r="G75" t="s">
        <v>137</v>
      </c>
      <c r="H75" t="s">
        <v>170</v>
      </c>
      <c r="I75">
        <v>0.2</v>
      </c>
      <c r="J75" t="s">
        <v>823</v>
      </c>
      <c r="K75">
        <v>6497525</v>
      </c>
    </row>
    <row r="76" spans="1:11" x14ac:dyDescent="0.2">
      <c r="A76" t="s">
        <v>838</v>
      </c>
      <c r="B76" t="s">
        <v>112</v>
      </c>
      <c r="C76" t="s">
        <v>74</v>
      </c>
      <c r="D76">
        <v>1</v>
      </c>
      <c r="E76" t="s">
        <v>815</v>
      </c>
      <c r="F76">
        <v>10226387</v>
      </c>
      <c r="G76" t="s">
        <v>187</v>
      </c>
      <c r="H76" t="s">
        <v>170</v>
      </c>
      <c r="I76">
        <v>0.4</v>
      </c>
      <c r="J76" t="s">
        <v>823</v>
      </c>
      <c r="K76">
        <v>6497525</v>
      </c>
    </row>
    <row r="77" spans="1:11" x14ac:dyDescent="0.2">
      <c r="A77" t="s">
        <v>838</v>
      </c>
      <c r="B77" t="s">
        <v>112</v>
      </c>
      <c r="C77" t="s">
        <v>74</v>
      </c>
      <c r="D77">
        <v>1</v>
      </c>
      <c r="E77" t="s">
        <v>815</v>
      </c>
      <c r="F77">
        <v>10226388</v>
      </c>
      <c r="G77" t="s">
        <v>138</v>
      </c>
      <c r="H77" t="s">
        <v>170</v>
      </c>
      <c r="I77">
        <v>2.5</v>
      </c>
      <c r="J77" t="s">
        <v>823</v>
      </c>
      <c r="K77">
        <v>6497525</v>
      </c>
    </row>
    <row r="78" spans="1:11" x14ac:dyDescent="0.2">
      <c r="A78" t="s">
        <v>838</v>
      </c>
      <c r="B78" t="s">
        <v>112</v>
      </c>
      <c r="C78" t="s">
        <v>74</v>
      </c>
      <c r="D78">
        <v>1</v>
      </c>
      <c r="E78" t="s">
        <v>815</v>
      </c>
      <c r="F78">
        <v>10226392</v>
      </c>
      <c r="G78" t="s">
        <v>139</v>
      </c>
      <c r="H78" t="s">
        <v>170</v>
      </c>
      <c r="I78">
        <v>3.8</v>
      </c>
      <c r="J78" t="s">
        <v>823</v>
      </c>
      <c r="K78">
        <v>6497525</v>
      </c>
    </row>
    <row r="79" spans="1:11" x14ac:dyDescent="0.2">
      <c r="A79" t="s">
        <v>838</v>
      </c>
      <c r="B79" t="s">
        <v>112</v>
      </c>
      <c r="C79" t="s">
        <v>74</v>
      </c>
      <c r="D79">
        <v>1</v>
      </c>
      <c r="E79" t="s">
        <v>815</v>
      </c>
      <c r="F79">
        <v>10226398</v>
      </c>
      <c r="G79" t="s">
        <v>140</v>
      </c>
      <c r="H79" t="s">
        <v>170</v>
      </c>
      <c r="I79">
        <v>5.4</v>
      </c>
      <c r="J79" t="s">
        <v>823</v>
      </c>
      <c r="K79">
        <v>6497525</v>
      </c>
    </row>
    <row r="80" spans="1:11" x14ac:dyDescent="0.2">
      <c r="A80" t="s">
        <v>838</v>
      </c>
      <c r="B80" t="s">
        <v>112</v>
      </c>
      <c r="C80" t="s">
        <v>74</v>
      </c>
      <c r="D80">
        <v>1</v>
      </c>
      <c r="E80" t="s">
        <v>815</v>
      </c>
      <c r="F80">
        <v>10226403</v>
      </c>
      <c r="G80" t="s">
        <v>141</v>
      </c>
      <c r="H80" t="s">
        <v>170</v>
      </c>
      <c r="I80">
        <v>9.3000000000000007</v>
      </c>
      <c r="J80" t="s">
        <v>823</v>
      </c>
      <c r="K80">
        <v>6497525</v>
      </c>
    </row>
    <row r="81" spans="1:11" x14ac:dyDescent="0.2">
      <c r="A81" t="s">
        <v>838</v>
      </c>
      <c r="B81" t="s">
        <v>112</v>
      </c>
      <c r="C81" t="s">
        <v>74</v>
      </c>
      <c r="D81">
        <v>1</v>
      </c>
      <c r="E81" t="s">
        <v>815</v>
      </c>
      <c r="F81">
        <v>10226417</v>
      </c>
      <c r="G81" t="s">
        <v>143</v>
      </c>
      <c r="H81" t="s">
        <v>170</v>
      </c>
      <c r="I81">
        <v>49.4</v>
      </c>
      <c r="J81" t="s">
        <v>823</v>
      </c>
      <c r="K81">
        <v>6497525</v>
      </c>
    </row>
    <row r="82" spans="1:11" x14ac:dyDescent="0.2">
      <c r="A82" t="s">
        <v>838</v>
      </c>
      <c r="B82" t="s">
        <v>112</v>
      </c>
      <c r="C82" t="s">
        <v>74</v>
      </c>
      <c r="D82">
        <v>1</v>
      </c>
      <c r="E82" t="s">
        <v>815</v>
      </c>
      <c r="F82">
        <v>10226418</v>
      </c>
      <c r="G82" t="s">
        <v>144</v>
      </c>
      <c r="H82" t="s">
        <v>170</v>
      </c>
      <c r="I82">
        <v>0.6</v>
      </c>
      <c r="J82" t="s">
        <v>823</v>
      </c>
      <c r="K82">
        <v>6497525</v>
      </c>
    </row>
    <row r="83" spans="1:11" x14ac:dyDescent="0.2">
      <c r="A83" t="s">
        <v>838</v>
      </c>
      <c r="B83" t="s">
        <v>112</v>
      </c>
      <c r="C83" t="s">
        <v>74</v>
      </c>
      <c r="D83">
        <v>1</v>
      </c>
      <c r="E83" t="s">
        <v>815</v>
      </c>
      <c r="F83">
        <v>10226422</v>
      </c>
      <c r="G83" t="s">
        <v>162</v>
      </c>
      <c r="H83" t="s">
        <v>170</v>
      </c>
      <c r="I83">
        <v>0.6</v>
      </c>
      <c r="J83" t="s">
        <v>823</v>
      </c>
      <c r="K83">
        <v>6497525</v>
      </c>
    </row>
    <row r="84" spans="1:11" x14ac:dyDescent="0.2">
      <c r="A84" t="s">
        <v>838</v>
      </c>
      <c r="B84" t="s">
        <v>112</v>
      </c>
      <c r="C84" t="s">
        <v>74</v>
      </c>
      <c r="D84">
        <v>1</v>
      </c>
      <c r="E84" t="s">
        <v>815</v>
      </c>
      <c r="F84">
        <v>10226425</v>
      </c>
      <c r="G84" t="s">
        <v>145</v>
      </c>
      <c r="H84" t="s">
        <v>170</v>
      </c>
      <c r="I84">
        <v>3.3</v>
      </c>
      <c r="J84" t="s">
        <v>823</v>
      </c>
      <c r="K84">
        <v>6497525</v>
      </c>
    </row>
    <row r="85" spans="1:11" x14ac:dyDescent="0.2">
      <c r="A85" t="s">
        <v>838</v>
      </c>
      <c r="B85" t="s">
        <v>112</v>
      </c>
      <c r="C85" t="s">
        <v>74</v>
      </c>
      <c r="D85">
        <v>1</v>
      </c>
      <c r="E85" t="s">
        <v>815</v>
      </c>
      <c r="F85">
        <v>10226428</v>
      </c>
      <c r="G85" t="s">
        <v>146</v>
      </c>
      <c r="H85" t="s">
        <v>170</v>
      </c>
      <c r="I85">
        <v>3</v>
      </c>
      <c r="J85" t="s">
        <v>823</v>
      </c>
      <c r="K85">
        <v>6497525</v>
      </c>
    </row>
    <row r="86" spans="1:11" x14ac:dyDescent="0.2">
      <c r="A86" t="s">
        <v>838</v>
      </c>
      <c r="B86" t="s">
        <v>112</v>
      </c>
      <c r="C86" t="s">
        <v>74</v>
      </c>
      <c r="D86">
        <v>1</v>
      </c>
      <c r="E86" t="s">
        <v>815</v>
      </c>
      <c r="F86">
        <v>10226429</v>
      </c>
      <c r="G86" t="s">
        <v>147</v>
      </c>
      <c r="H86" t="s">
        <v>170</v>
      </c>
      <c r="I86">
        <v>40.4</v>
      </c>
      <c r="J86" t="s">
        <v>823</v>
      </c>
      <c r="K86">
        <v>6497525</v>
      </c>
    </row>
    <row r="87" spans="1:11" x14ac:dyDescent="0.2">
      <c r="A87" t="s">
        <v>838</v>
      </c>
      <c r="B87" t="s">
        <v>112</v>
      </c>
      <c r="C87" t="s">
        <v>74</v>
      </c>
      <c r="D87">
        <v>1</v>
      </c>
      <c r="E87" t="s">
        <v>815</v>
      </c>
      <c r="F87">
        <v>10226435</v>
      </c>
      <c r="G87" t="s">
        <v>148</v>
      </c>
      <c r="H87" t="s">
        <v>170</v>
      </c>
      <c r="I87">
        <v>1.2</v>
      </c>
      <c r="J87" t="s">
        <v>823</v>
      </c>
      <c r="K87">
        <v>6497525</v>
      </c>
    </row>
    <row r="88" spans="1:11" x14ac:dyDescent="0.2">
      <c r="A88" t="s">
        <v>838</v>
      </c>
      <c r="B88" t="s">
        <v>112</v>
      </c>
      <c r="C88" t="s">
        <v>74</v>
      </c>
      <c r="D88">
        <v>1</v>
      </c>
      <c r="E88" t="s">
        <v>815</v>
      </c>
      <c r="F88">
        <v>10226442</v>
      </c>
      <c r="G88" t="s">
        <v>149</v>
      </c>
      <c r="H88" t="s">
        <v>170</v>
      </c>
      <c r="I88">
        <v>1</v>
      </c>
      <c r="J88" t="s">
        <v>823</v>
      </c>
      <c r="K88">
        <v>6497525</v>
      </c>
    </row>
    <row r="89" spans="1:11" x14ac:dyDescent="0.2">
      <c r="A89" t="s">
        <v>838</v>
      </c>
      <c r="B89" t="s">
        <v>112</v>
      </c>
      <c r="C89" t="s">
        <v>74</v>
      </c>
      <c r="D89">
        <v>1</v>
      </c>
      <c r="E89" t="s">
        <v>815</v>
      </c>
      <c r="F89">
        <v>10226447</v>
      </c>
      <c r="G89" t="s">
        <v>150</v>
      </c>
      <c r="H89" t="s">
        <v>170</v>
      </c>
      <c r="I89">
        <v>0.5</v>
      </c>
      <c r="J89" t="s">
        <v>823</v>
      </c>
      <c r="K89">
        <v>6497525</v>
      </c>
    </row>
    <row r="90" spans="1:11" x14ac:dyDescent="0.2">
      <c r="A90" t="s">
        <v>838</v>
      </c>
      <c r="B90" t="s">
        <v>112</v>
      </c>
      <c r="C90" t="s">
        <v>74</v>
      </c>
      <c r="D90">
        <v>1</v>
      </c>
      <c r="E90" t="s">
        <v>815</v>
      </c>
      <c r="F90">
        <v>10226452</v>
      </c>
      <c r="G90" t="s">
        <v>151</v>
      </c>
      <c r="H90" t="s">
        <v>170</v>
      </c>
      <c r="I90">
        <v>4.0999999999999996</v>
      </c>
      <c r="J90" t="s">
        <v>823</v>
      </c>
      <c r="K90">
        <v>6497525</v>
      </c>
    </row>
    <row r="91" spans="1:11" x14ac:dyDescent="0.2">
      <c r="A91" t="s">
        <v>838</v>
      </c>
      <c r="B91" t="s">
        <v>112</v>
      </c>
      <c r="C91" t="s">
        <v>74</v>
      </c>
      <c r="D91">
        <v>1</v>
      </c>
      <c r="E91" t="s">
        <v>815</v>
      </c>
      <c r="F91">
        <v>10226454</v>
      </c>
      <c r="G91" t="s">
        <v>152</v>
      </c>
      <c r="H91" t="s">
        <v>170</v>
      </c>
      <c r="I91">
        <v>24</v>
      </c>
      <c r="J91" t="s">
        <v>823</v>
      </c>
      <c r="K91">
        <v>6497525</v>
      </c>
    </row>
    <row r="92" spans="1:11" x14ac:dyDescent="0.2">
      <c r="A92" t="s">
        <v>838</v>
      </c>
      <c r="B92" t="s">
        <v>112</v>
      </c>
      <c r="C92" t="s">
        <v>74</v>
      </c>
      <c r="D92">
        <v>1</v>
      </c>
      <c r="E92" t="s">
        <v>815</v>
      </c>
      <c r="F92">
        <v>10226455</v>
      </c>
      <c r="G92" t="s">
        <v>164</v>
      </c>
      <c r="H92" t="s">
        <v>170</v>
      </c>
      <c r="I92">
        <v>1</v>
      </c>
      <c r="J92" t="s">
        <v>823</v>
      </c>
      <c r="K92">
        <v>6497525</v>
      </c>
    </row>
    <row r="93" spans="1:11" x14ac:dyDescent="0.2">
      <c r="A93" t="s">
        <v>838</v>
      </c>
      <c r="B93" t="s">
        <v>112</v>
      </c>
      <c r="C93" t="s">
        <v>74</v>
      </c>
      <c r="D93">
        <v>1</v>
      </c>
      <c r="E93" t="s">
        <v>815</v>
      </c>
      <c r="F93">
        <v>50063026</v>
      </c>
      <c r="G93" t="s">
        <v>184</v>
      </c>
      <c r="H93" t="s">
        <v>170</v>
      </c>
      <c r="I93">
        <v>24</v>
      </c>
      <c r="J93" t="s">
        <v>823</v>
      </c>
      <c r="K93">
        <v>6497525</v>
      </c>
    </row>
    <row r="94" spans="1:11" x14ac:dyDescent="0.2">
      <c r="A94" t="s">
        <v>838</v>
      </c>
      <c r="B94" t="s">
        <v>112</v>
      </c>
      <c r="C94" t="s">
        <v>74</v>
      </c>
      <c r="D94">
        <v>1</v>
      </c>
      <c r="E94" t="s">
        <v>815</v>
      </c>
      <c r="F94">
        <v>50066153</v>
      </c>
      <c r="G94" t="s">
        <v>809</v>
      </c>
      <c r="H94" t="s">
        <v>170</v>
      </c>
      <c r="I94">
        <v>12</v>
      </c>
      <c r="J94" t="s">
        <v>823</v>
      </c>
      <c r="K94">
        <v>6497525</v>
      </c>
    </row>
    <row r="95" spans="1:11" x14ac:dyDescent="0.2">
      <c r="A95" t="s">
        <v>838</v>
      </c>
      <c r="B95" t="s">
        <v>112</v>
      </c>
      <c r="C95" t="s">
        <v>74</v>
      </c>
      <c r="D95">
        <v>1</v>
      </c>
      <c r="E95" t="s">
        <v>815</v>
      </c>
      <c r="F95">
        <v>50066417</v>
      </c>
      <c r="G95" t="s">
        <v>213</v>
      </c>
      <c r="H95" t="s">
        <v>170</v>
      </c>
      <c r="I95">
        <v>12</v>
      </c>
      <c r="J95" t="s">
        <v>823</v>
      </c>
      <c r="K95">
        <v>6497525</v>
      </c>
    </row>
    <row r="96" spans="1:11" x14ac:dyDescent="0.2">
      <c r="A96" t="s">
        <v>838</v>
      </c>
      <c r="B96" t="s">
        <v>112</v>
      </c>
      <c r="C96" t="s">
        <v>74</v>
      </c>
      <c r="D96">
        <v>1</v>
      </c>
      <c r="E96" t="s">
        <v>815</v>
      </c>
      <c r="F96">
        <v>50066514</v>
      </c>
      <c r="G96" t="s">
        <v>811</v>
      </c>
      <c r="H96" t="s">
        <v>170</v>
      </c>
      <c r="I96">
        <v>12</v>
      </c>
      <c r="J96" t="s">
        <v>823</v>
      </c>
      <c r="K96">
        <v>6497525</v>
      </c>
    </row>
    <row r="97" spans="1:11" x14ac:dyDescent="0.2">
      <c r="A97" t="s">
        <v>838</v>
      </c>
      <c r="B97" t="s">
        <v>112</v>
      </c>
      <c r="C97" t="s">
        <v>74</v>
      </c>
      <c r="D97">
        <v>1</v>
      </c>
      <c r="E97" t="s">
        <v>815</v>
      </c>
      <c r="F97">
        <v>50066803</v>
      </c>
      <c r="G97" t="s">
        <v>797</v>
      </c>
      <c r="H97" t="s">
        <v>170</v>
      </c>
      <c r="I97">
        <v>12</v>
      </c>
      <c r="J97" t="s">
        <v>823</v>
      </c>
      <c r="K97">
        <v>6497525</v>
      </c>
    </row>
    <row r="98" spans="1:11" x14ac:dyDescent="0.2">
      <c r="A98" t="s">
        <v>838</v>
      </c>
      <c r="B98" t="s">
        <v>112</v>
      </c>
      <c r="C98" t="s">
        <v>74</v>
      </c>
      <c r="D98">
        <v>1</v>
      </c>
      <c r="E98" t="s">
        <v>815</v>
      </c>
      <c r="F98">
        <v>50067083</v>
      </c>
      <c r="G98" t="s">
        <v>214</v>
      </c>
      <c r="H98" t="s">
        <v>170</v>
      </c>
      <c r="I98">
        <v>12</v>
      </c>
      <c r="J98" t="s">
        <v>823</v>
      </c>
      <c r="K98">
        <v>6497525</v>
      </c>
    </row>
    <row r="99" spans="1:11" x14ac:dyDescent="0.2">
      <c r="A99" t="s">
        <v>838</v>
      </c>
      <c r="B99" t="s">
        <v>112</v>
      </c>
      <c r="C99" t="s">
        <v>74</v>
      </c>
      <c r="D99">
        <v>1</v>
      </c>
      <c r="E99" t="s">
        <v>815</v>
      </c>
      <c r="F99">
        <v>50067094</v>
      </c>
      <c r="G99" t="s">
        <v>212</v>
      </c>
      <c r="H99" t="s">
        <v>170</v>
      </c>
      <c r="I99">
        <v>12</v>
      </c>
      <c r="J99" t="s">
        <v>823</v>
      </c>
      <c r="K99">
        <v>6497525</v>
      </c>
    </row>
    <row r="100" spans="1:11" x14ac:dyDescent="0.2">
      <c r="A100" t="s">
        <v>838</v>
      </c>
      <c r="B100" t="s">
        <v>112</v>
      </c>
      <c r="C100" t="s">
        <v>74</v>
      </c>
      <c r="D100">
        <v>1</v>
      </c>
      <c r="E100" t="s">
        <v>815</v>
      </c>
      <c r="F100">
        <v>50067206</v>
      </c>
      <c r="G100" t="s">
        <v>812</v>
      </c>
      <c r="H100" t="s">
        <v>170</v>
      </c>
      <c r="I100">
        <v>1</v>
      </c>
      <c r="J100" t="s">
        <v>823</v>
      </c>
      <c r="K100">
        <v>6497525</v>
      </c>
    </row>
    <row r="101" spans="1:11" x14ac:dyDescent="0.2">
      <c r="A101" t="s">
        <v>838</v>
      </c>
      <c r="B101" t="s">
        <v>112</v>
      </c>
      <c r="C101" t="s">
        <v>74</v>
      </c>
      <c r="D101">
        <v>1</v>
      </c>
      <c r="E101" t="s">
        <v>815</v>
      </c>
      <c r="F101">
        <v>50067282</v>
      </c>
      <c r="G101" t="s">
        <v>813</v>
      </c>
      <c r="H101" t="s">
        <v>170</v>
      </c>
      <c r="I101">
        <v>1</v>
      </c>
      <c r="J101" t="s">
        <v>823</v>
      </c>
      <c r="K101">
        <v>6497525</v>
      </c>
    </row>
    <row r="102" spans="1:11" x14ac:dyDescent="0.2">
      <c r="A102" t="s">
        <v>838</v>
      </c>
      <c r="B102" t="s">
        <v>112</v>
      </c>
      <c r="C102" t="s">
        <v>74</v>
      </c>
      <c r="D102">
        <v>1</v>
      </c>
      <c r="E102" t="s">
        <v>815</v>
      </c>
      <c r="F102">
        <v>50067522</v>
      </c>
      <c r="G102" t="s">
        <v>814</v>
      </c>
      <c r="H102" t="s">
        <v>170</v>
      </c>
      <c r="I102">
        <v>12</v>
      </c>
      <c r="J102" t="s">
        <v>823</v>
      </c>
      <c r="K102">
        <v>6497525</v>
      </c>
    </row>
    <row r="103" spans="1:11" x14ac:dyDescent="0.2">
      <c r="A103" t="s">
        <v>838</v>
      </c>
      <c r="B103" t="s">
        <v>112</v>
      </c>
      <c r="C103" t="s">
        <v>74</v>
      </c>
      <c r="D103">
        <v>1</v>
      </c>
      <c r="E103" t="s">
        <v>815</v>
      </c>
      <c r="F103">
        <v>50067531</v>
      </c>
      <c r="G103" t="s">
        <v>804</v>
      </c>
      <c r="H103" t="s">
        <v>170</v>
      </c>
      <c r="I103">
        <v>12</v>
      </c>
      <c r="J103" t="s">
        <v>823</v>
      </c>
      <c r="K103">
        <v>6497525</v>
      </c>
    </row>
    <row r="104" spans="1:11" x14ac:dyDescent="0.2">
      <c r="A104" t="s">
        <v>838</v>
      </c>
      <c r="B104" t="s">
        <v>112</v>
      </c>
      <c r="C104" t="s">
        <v>74</v>
      </c>
      <c r="D104">
        <v>1</v>
      </c>
      <c r="E104" t="s">
        <v>815</v>
      </c>
      <c r="F104">
        <v>10226402</v>
      </c>
      <c r="G104" t="s">
        <v>156</v>
      </c>
      <c r="H104" t="s">
        <v>170</v>
      </c>
      <c r="I104">
        <v>5.2</v>
      </c>
      <c r="J104" t="s">
        <v>823</v>
      </c>
      <c r="K104">
        <v>6497525</v>
      </c>
    </row>
    <row r="105" spans="1:11" x14ac:dyDescent="0.2">
      <c r="A105" t="s">
        <v>838</v>
      </c>
      <c r="B105" t="s">
        <v>112</v>
      </c>
      <c r="C105" t="s">
        <v>74</v>
      </c>
      <c r="D105">
        <v>1</v>
      </c>
      <c r="E105" t="s">
        <v>815</v>
      </c>
      <c r="F105">
        <v>50055233</v>
      </c>
      <c r="G105" t="s">
        <v>157</v>
      </c>
      <c r="H105" t="s">
        <v>170</v>
      </c>
      <c r="I105">
        <v>60</v>
      </c>
      <c r="J105" t="s">
        <v>823</v>
      </c>
      <c r="K105">
        <v>6497525</v>
      </c>
    </row>
    <row r="106" spans="1:11" x14ac:dyDescent="0.2">
      <c r="A106" t="s">
        <v>839</v>
      </c>
      <c r="B106" t="s">
        <v>112</v>
      </c>
      <c r="C106" t="s">
        <v>74</v>
      </c>
      <c r="D106">
        <v>1</v>
      </c>
      <c r="E106" t="s">
        <v>815</v>
      </c>
      <c r="F106">
        <v>10224293</v>
      </c>
      <c r="G106" t="s">
        <v>113</v>
      </c>
      <c r="H106" t="s">
        <v>181</v>
      </c>
      <c r="I106">
        <v>2.4</v>
      </c>
      <c r="J106" t="s">
        <v>823</v>
      </c>
      <c r="K106">
        <v>6497537</v>
      </c>
    </row>
    <row r="107" spans="1:11" x14ac:dyDescent="0.2">
      <c r="A107" t="s">
        <v>839</v>
      </c>
      <c r="B107" t="s">
        <v>112</v>
      </c>
      <c r="C107" t="s">
        <v>74</v>
      </c>
      <c r="D107">
        <v>1</v>
      </c>
      <c r="E107" t="s">
        <v>815</v>
      </c>
      <c r="F107">
        <v>10226405</v>
      </c>
      <c r="G107" t="s">
        <v>115</v>
      </c>
      <c r="H107" t="s">
        <v>181</v>
      </c>
      <c r="I107">
        <v>1.4</v>
      </c>
      <c r="J107" t="s">
        <v>823</v>
      </c>
      <c r="K107">
        <v>6497537</v>
      </c>
    </row>
    <row r="108" spans="1:11" x14ac:dyDescent="0.2">
      <c r="A108" t="s">
        <v>839</v>
      </c>
      <c r="B108" t="s">
        <v>112</v>
      </c>
      <c r="C108" t="s">
        <v>74</v>
      </c>
      <c r="D108">
        <v>1</v>
      </c>
      <c r="E108" t="s">
        <v>815</v>
      </c>
      <c r="F108">
        <v>10223657</v>
      </c>
      <c r="G108" t="s">
        <v>116</v>
      </c>
      <c r="H108" t="s">
        <v>181</v>
      </c>
      <c r="I108">
        <v>2.9</v>
      </c>
      <c r="J108" t="s">
        <v>823</v>
      </c>
      <c r="K108">
        <v>6497537</v>
      </c>
    </row>
    <row r="109" spans="1:11" x14ac:dyDescent="0.2">
      <c r="A109" t="s">
        <v>839</v>
      </c>
      <c r="B109" t="s">
        <v>112</v>
      </c>
      <c r="C109" t="s">
        <v>74</v>
      </c>
      <c r="D109">
        <v>1</v>
      </c>
      <c r="E109" t="s">
        <v>815</v>
      </c>
      <c r="F109">
        <v>10198819</v>
      </c>
      <c r="G109" t="s">
        <v>117</v>
      </c>
      <c r="H109" t="s">
        <v>181</v>
      </c>
      <c r="I109">
        <v>0.2</v>
      </c>
      <c r="J109" t="s">
        <v>823</v>
      </c>
      <c r="K109">
        <v>6497537</v>
      </c>
    </row>
    <row r="110" spans="1:11" x14ac:dyDescent="0.2">
      <c r="A110" t="s">
        <v>839</v>
      </c>
      <c r="B110" t="s">
        <v>112</v>
      </c>
      <c r="C110" t="s">
        <v>74</v>
      </c>
      <c r="D110">
        <v>1</v>
      </c>
      <c r="E110" t="s">
        <v>815</v>
      </c>
      <c r="F110">
        <v>10226361</v>
      </c>
      <c r="G110" t="s">
        <v>118</v>
      </c>
      <c r="H110" t="s">
        <v>181</v>
      </c>
      <c r="I110">
        <v>0.4</v>
      </c>
      <c r="J110" t="s">
        <v>823</v>
      </c>
      <c r="K110">
        <v>6497537</v>
      </c>
    </row>
    <row r="111" spans="1:11" x14ac:dyDescent="0.2">
      <c r="A111" t="s">
        <v>839</v>
      </c>
      <c r="B111" t="s">
        <v>112</v>
      </c>
      <c r="C111" t="s">
        <v>74</v>
      </c>
      <c r="D111">
        <v>1</v>
      </c>
      <c r="E111" t="s">
        <v>815</v>
      </c>
      <c r="F111">
        <v>10226415</v>
      </c>
      <c r="G111" t="s">
        <v>119</v>
      </c>
      <c r="H111" t="s">
        <v>181</v>
      </c>
      <c r="I111">
        <v>0.1</v>
      </c>
      <c r="J111" t="s">
        <v>823</v>
      </c>
      <c r="K111">
        <v>6497537</v>
      </c>
    </row>
    <row r="112" spans="1:11" x14ac:dyDescent="0.2">
      <c r="A112" t="s">
        <v>839</v>
      </c>
      <c r="B112" t="s">
        <v>112</v>
      </c>
      <c r="C112" t="s">
        <v>74</v>
      </c>
      <c r="D112">
        <v>1</v>
      </c>
      <c r="E112" t="s">
        <v>815</v>
      </c>
      <c r="F112">
        <v>10226441</v>
      </c>
      <c r="G112" t="s">
        <v>171</v>
      </c>
      <c r="H112" t="s">
        <v>181</v>
      </c>
      <c r="I112">
        <v>0.4</v>
      </c>
      <c r="J112" t="s">
        <v>823</v>
      </c>
      <c r="K112">
        <v>6497537</v>
      </c>
    </row>
    <row r="113" spans="1:11" x14ac:dyDescent="0.2">
      <c r="A113" t="s">
        <v>839</v>
      </c>
      <c r="B113" t="s">
        <v>112</v>
      </c>
      <c r="C113" t="s">
        <v>74</v>
      </c>
      <c r="D113">
        <v>1</v>
      </c>
      <c r="E113" t="s">
        <v>815</v>
      </c>
      <c r="F113">
        <v>10242292</v>
      </c>
      <c r="G113" t="s">
        <v>122</v>
      </c>
      <c r="H113" t="s">
        <v>181</v>
      </c>
      <c r="I113">
        <v>1.2</v>
      </c>
      <c r="J113" t="s">
        <v>823</v>
      </c>
      <c r="K113">
        <v>6497537</v>
      </c>
    </row>
    <row r="114" spans="1:11" x14ac:dyDescent="0.2">
      <c r="A114" t="s">
        <v>839</v>
      </c>
      <c r="B114" t="s">
        <v>112</v>
      </c>
      <c r="C114" t="s">
        <v>74</v>
      </c>
      <c r="D114">
        <v>1</v>
      </c>
      <c r="E114" t="s">
        <v>815</v>
      </c>
      <c r="F114">
        <v>10242293</v>
      </c>
      <c r="G114" t="s">
        <v>123</v>
      </c>
      <c r="H114" t="s">
        <v>181</v>
      </c>
      <c r="I114">
        <v>0.8</v>
      </c>
      <c r="J114" t="s">
        <v>823</v>
      </c>
      <c r="K114">
        <v>6497537</v>
      </c>
    </row>
    <row r="115" spans="1:11" x14ac:dyDescent="0.2">
      <c r="A115" t="s">
        <v>839</v>
      </c>
      <c r="B115" t="s">
        <v>112</v>
      </c>
      <c r="C115" t="s">
        <v>74</v>
      </c>
      <c r="D115">
        <v>1</v>
      </c>
      <c r="E115" t="s">
        <v>815</v>
      </c>
      <c r="F115">
        <v>10215610</v>
      </c>
      <c r="G115" t="s">
        <v>128</v>
      </c>
      <c r="H115" t="s">
        <v>181</v>
      </c>
      <c r="I115">
        <v>23.4</v>
      </c>
      <c r="J115" t="s">
        <v>823</v>
      </c>
      <c r="K115">
        <v>6497537</v>
      </c>
    </row>
    <row r="116" spans="1:11" x14ac:dyDescent="0.2">
      <c r="A116" t="s">
        <v>839</v>
      </c>
      <c r="B116" t="s">
        <v>112</v>
      </c>
      <c r="C116" t="s">
        <v>74</v>
      </c>
      <c r="D116">
        <v>1</v>
      </c>
      <c r="E116" t="s">
        <v>815</v>
      </c>
      <c r="F116">
        <v>10215641</v>
      </c>
      <c r="G116" t="s">
        <v>129</v>
      </c>
      <c r="H116" t="s">
        <v>181</v>
      </c>
      <c r="I116">
        <v>5</v>
      </c>
      <c r="J116" t="s">
        <v>823</v>
      </c>
      <c r="K116">
        <v>6497537</v>
      </c>
    </row>
    <row r="117" spans="1:11" x14ac:dyDescent="0.2">
      <c r="A117" t="s">
        <v>839</v>
      </c>
      <c r="B117" t="s">
        <v>112</v>
      </c>
      <c r="C117" t="s">
        <v>74</v>
      </c>
      <c r="D117">
        <v>1</v>
      </c>
      <c r="E117" t="s">
        <v>815</v>
      </c>
      <c r="F117">
        <v>10223108</v>
      </c>
      <c r="G117" t="s">
        <v>130</v>
      </c>
      <c r="H117" t="s">
        <v>181</v>
      </c>
      <c r="I117">
        <v>1.6</v>
      </c>
      <c r="J117" t="s">
        <v>823</v>
      </c>
      <c r="K117">
        <v>6497537</v>
      </c>
    </row>
    <row r="118" spans="1:11" x14ac:dyDescent="0.2">
      <c r="A118" t="s">
        <v>839</v>
      </c>
      <c r="B118" t="s">
        <v>112</v>
      </c>
      <c r="C118" t="s">
        <v>74</v>
      </c>
      <c r="D118">
        <v>1</v>
      </c>
      <c r="E118" t="s">
        <v>815</v>
      </c>
      <c r="F118">
        <v>10226373</v>
      </c>
      <c r="G118" t="s">
        <v>135</v>
      </c>
      <c r="H118" t="s">
        <v>181</v>
      </c>
      <c r="I118">
        <v>2.2000000000000002</v>
      </c>
      <c r="J118" t="s">
        <v>823</v>
      </c>
      <c r="K118">
        <v>6497537</v>
      </c>
    </row>
    <row r="119" spans="1:11" x14ac:dyDescent="0.2">
      <c r="A119" t="s">
        <v>839</v>
      </c>
      <c r="B119" t="s">
        <v>112</v>
      </c>
      <c r="C119" t="s">
        <v>74</v>
      </c>
      <c r="D119">
        <v>1</v>
      </c>
      <c r="E119" t="s">
        <v>815</v>
      </c>
      <c r="F119">
        <v>10226392</v>
      </c>
      <c r="G119" t="s">
        <v>139</v>
      </c>
      <c r="H119" t="s">
        <v>181</v>
      </c>
      <c r="I119">
        <v>0.2</v>
      </c>
      <c r="J119" t="s">
        <v>823</v>
      </c>
      <c r="K119">
        <v>6497537</v>
      </c>
    </row>
    <row r="120" spans="1:11" x14ac:dyDescent="0.2">
      <c r="A120" t="s">
        <v>839</v>
      </c>
      <c r="B120" t="s">
        <v>112</v>
      </c>
      <c r="C120" t="s">
        <v>74</v>
      </c>
      <c r="D120">
        <v>1</v>
      </c>
      <c r="E120" t="s">
        <v>815</v>
      </c>
      <c r="F120">
        <v>10226403</v>
      </c>
      <c r="G120" t="s">
        <v>141</v>
      </c>
      <c r="H120" t="s">
        <v>181</v>
      </c>
      <c r="I120">
        <v>1.2</v>
      </c>
      <c r="J120" t="s">
        <v>823</v>
      </c>
      <c r="K120">
        <v>6497537</v>
      </c>
    </row>
    <row r="121" spans="1:11" x14ac:dyDescent="0.2">
      <c r="A121" t="s">
        <v>839</v>
      </c>
      <c r="B121" t="s">
        <v>112</v>
      </c>
      <c r="C121" t="s">
        <v>74</v>
      </c>
      <c r="D121">
        <v>1</v>
      </c>
      <c r="E121" t="s">
        <v>815</v>
      </c>
      <c r="F121">
        <v>10226417</v>
      </c>
      <c r="G121" t="s">
        <v>143</v>
      </c>
      <c r="H121" t="s">
        <v>181</v>
      </c>
      <c r="I121">
        <v>9.1999999999999993</v>
      </c>
      <c r="J121" t="s">
        <v>823</v>
      </c>
      <c r="K121">
        <v>6497537</v>
      </c>
    </row>
    <row r="122" spans="1:11" x14ac:dyDescent="0.2">
      <c r="A122" t="s">
        <v>839</v>
      </c>
      <c r="B122" t="s">
        <v>112</v>
      </c>
      <c r="C122" t="s">
        <v>74</v>
      </c>
      <c r="D122">
        <v>1</v>
      </c>
      <c r="E122" t="s">
        <v>815</v>
      </c>
      <c r="F122">
        <v>10226420</v>
      </c>
      <c r="G122" t="s">
        <v>188</v>
      </c>
      <c r="H122" t="s">
        <v>181</v>
      </c>
      <c r="I122">
        <v>0.4</v>
      </c>
      <c r="J122" t="s">
        <v>823</v>
      </c>
      <c r="K122">
        <v>6497537</v>
      </c>
    </row>
    <row r="123" spans="1:11" x14ac:dyDescent="0.2">
      <c r="A123" t="s">
        <v>839</v>
      </c>
      <c r="B123" t="s">
        <v>112</v>
      </c>
      <c r="C123" t="s">
        <v>74</v>
      </c>
      <c r="D123">
        <v>1</v>
      </c>
      <c r="E123" t="s">
        <v>815</v>
      </c>
      <c r="F123">
        <v>10226429</v>
      </c>
      <c r="G123" t="s">
        <v>147</v>
      </c>
      <c r="H123" t="s">
        <v>181</v>
      </c>
      <c r="I123">
        <v>7.6</v>
      </c>
      <c r="J123" t="s">
        <v>823</v>
      </c>
      <c r="K123">
        <v>6497537</v>
      </c>
    </row>
    <row r="124" spans="1:11" x14ac:dyDescent="0.2">
      <c r="A124" t="s">
        <v>839</v>
      </c>
      <c r="B124" t="s">
        <v>112</v>
      </c>
      <c r="C124" t="s">
        <v>74</v>
      </c>
      <c r="D124">
        <v>1</v>
      </c>
      <c r="E124" t="s">
        <v>815</v>
      </c>
      <c r="F124">
        <v>10226435</v>
      </c>
      <c r="G124" t="s">
        <v>148</v>
      </c>
      <c r="H124" t="s">
        <v>181</v>
      </c>
      <c r="I124">
        <v>0.1</v>
      </c>
      <c r="J124" t="s">
        <v>823</v>
      </c>
      <c r="K124">
        <v>6497537</v>
      </c>
    </row>
    <row r="125" spans="1:11" x14ac:dyDescent="0.2">
      <c r="A125" t="s">
        <v>839</v>
      </c>
      <c r="B125" t="s">
        <v>112</v>
      </c>
      <c r="C125" t="s">
        <v>74</v>
      </c>
      <c r="D125">
        <v>1</v>
      </c>
      <c r="E125" t="s">
        <v>815</v>
      </c>
      <c r="F125">
        <v>10226439</v>
      </c>
      <c r="G125" t="s">
        <v>163</v>
      </c>
      <c r="H125" t="s">
        <v>181</v>
      </c>
      <c r="I125">
        <v>0.2</v>
      </c>
      <c r="J125" t="s">
        <v>823</v>
      </c>
      <c r="K125">
        <v>6497537</v>
      </c>
    </row>
    <row r="126" spans="1:11" x14ac:dyDescent="0.2">
      <c r="A126" t="s">
        <v>839</v>
      </c>
      <c r="B126" t="s">
        <v>112</v>
      </c>
      <c r="C126" t="s">
        <v>74</v>
      </c>
      <c r="D126">
        <v>1</v>
      </c>
      <c r="E126" t="s">
        <v>815</v>
      </c>
      <c r="F126">
        <v>10226442</v>
      </c>
      <c r="G126" t="s">
        <v>149</v>
      </c>
      <c r="H126" t="s">
        <v>181</v>
      </c>
      <c r="I126">
        <v>0.2</v>
      </c>
      <c r="J126" t="s">
        <v>823</v>
      </c>
      <c r="K126">
        <v>6497537</v>
      </c>
    </row>
    <row r="127" spans="1:11" x14ac:dyDescent="0.2">
      <c r="A127" t="s">
        <v>839</v>
      </c>
      <c r="B127" t="s">
        <v>112</v>
      </c>
      <c r="C127" t="s">
        <v>74</v>
      </c>
      <c r="D127">
        <v>1</v>
      </c>
      <c r="E127" t="s">
        <v>815</v>
      </c>
      <c r="F127">
        <v>10226445</v>
      </c>
      <c r="G127" t="s">
        <v>183</v>
      </c>
      <c r="H127" t="s">
        <v>181</v>
      </c>
      <c r="I127">
        <v>1</v>
      </c>
      <c r="J127" t="s">
        <v>823</v>
      </c>
      <c r="K127">
        <v>6497537</v>
      </c>
    </row>
    <row r="128" spans="1:11" x14ac:dyDescent="0.2">
      <c r="A128" t="s">
        <v>839</v>
      </c>
      <c r="B128" t="s">
        <v>112</v>
      </c>
      <c r="C128" t="s">
        <v>74</v>
      </c>
      <c r="D128">
        <v>1</v>
      </c>
      <c r="E128" t="s">
        <v>815</v>
      </c>
      <c r="F128">
        <v>10226452</v>
      </c>
      <c r="G128" t="s">
        <v>151</v>
      </c>
      <c r="H128" t="s">
        <v>181</v>
      </c>
      <c r="I128">
        <v>0.2</v>
      </c>
      <c r="J128" t="s">
        <v>823</v>
      </c>
      <c r="K128">
        <v>6497537</v>
      </c>
    </row>
    <row r="129" spans="1:11" x14ac:dyDescent="0.2">
      <c r="A129" t="s">
        <v>839</v>
      </c>
      <c r="B129" t="s">
        <v>112</v>
      </c>
      <c r="C129" t="s">
        <v>74</v>
      </c>
      <c r="D129">
        <v>1</v>
      </c>
      <c r="E129" t="s">
        <v>815</v>
      </c>
      <c r="F129">
        <v>10226454</v>
      </c>
      <c r="G129" t="s">
        <v>152</v>
      </c>
      <c r="H129" t="s">
        <v>181</v>
      </c>
      <c r="I129">
        <v>4.2</v>
      </c>
      <c r="J129" t="s">
        <v>823</v>
      </c>
      <c r="K129">
        <v>6497537</v>
      </c>
    </row>
    <row r="130" spans="1:11" x14ac:dyDescent="0.2">
      <c r="A130" t="s">
        <v>839</v>
      </c>
      <c r="B130" t="s">
        <v>112</v>
      </c>
      <c r="C130" t="s">
        <v>74</v>
      </c>
      <c r="D130">
        <v>1</v>
      </c>
      <c r="E130" t="s">
        <v>815</v>
      </c>
      <c r="F130">
        <v>10226402</v>
      </c>
      <c r="G130" t="s">
        <v>156</v>
      </c>
      <c r="H130" t="s">
        <v>181</v>
      </c>
      <c r="I130">
        <v>0.1</v>
      </c>
      <c r="J130" t="s">
        <v>823</v>
      </c>
      <c r="K130">
        <v>6497537</v>
      </c>
    </row>
    <row r="131" spans="1:11" x14ac:dyDescent="0.2">
      <c r="A131" t="s">
        <v>839</v>
      </c>
      <c r="B131" t="s">
        <v>112</v>
      </c>
      <c r="C131" t="s">
        <v>74</v>
      </c>
      <c r="D131">
        <v>1</v>
      </c>
      <c r="E131" t="s">
        <v>815</v>
      </c>
      <c r="F131">
        <v>50063718</v>
      </c>
      <c r="G131" t="s">
        <v>201</v>
      </c>
      <c r="H131" t="s">
        <v>181</v>
      </c>
      <c r="I131">
        <v>672</v>
      </c>
      <c r="J131" t="s">
        <v>823</v>
      </c>
      <c r="K131">
        <v>6497537</v>
      </c>
    </row>
    <row r="132" spans="1:11" x14ac:dyDescent="0.2">
      <c r="A132" t="s">
        <v>839</v>
      </c>
      <c r="B132" t="s">
        <v>112</v>
      </c>
      <c r="C132" t="s">
        <v>74</v>
      </c>
      <c r="D132">
        <v>1</v>
      </c>
      <c r="E132" t="s">
        <v>815</v>
      </c>
      <c r="F132">
        <v>50055233</v>
      </c>
      <c r="G132" t="s">
        <v>157</v>
      </c>
      <c r="H132" t="s">
        <v>181</v>
      </c>
      <c r="I132">
        <v>960</v>
      </c>
      <c r="J132" t="s">
        <v>823</v>
      </c>
      <c r="K132">
        <v>6497537</v>
      </c>
    </row>
    <row r="133" spans="1:11" x14ac:dyDescent="0.2">
      <c r="A133" t="s">
        <v>840</v>
      </c>
      <c r="B133" t="s">
        <v>112</v>
      </c>
      <c r="C133" t="s">
        <v>74</v>
      </c>
      <c r="D133">
        <v>1</v>
      </c>
      <c r="E133" t="s">
        <v>815</v>
      </c>
      <c r="F133">
        <v>10224293</v>
      </c>
      <c r="G133" t="s">
        <v>113</v>
      </c>
      <c r="H133" t="s">
        <v>189</v>
      </c>
      <c r="I133">
        <v>0.6</v>
      </c>
      <c r="J133" t="s">
        <v>823</v>
      </c>
      <c r="K133">
        <v>6497843</v>
      </c>
    </row>
    <row r="134" spans="1:11" x14ac:dyDescent="0.2">
      <c r="A134" t="s">
        <v>840</v>
      </c>
      <c r="B134" t="s">
        <v>112</v>
      </c>
      <c r="C134" t="s">
        <v>74</v>
      </c>
      <c r="D134">
        <v>1</v>
      </c>
      <c r="E134" t="s">
        <v>815</v>
      </c>
      <c r="F134">
        <v>10226405</v>
      </c>
      <c r="G134" t="s">
        <v>115</v>
      </c>
      <c r="H134" t="s">
        <v>189</v>
      </c>
      <c r="I134">
        <v>8.8000000000000007</v>
      </c>
      <c r="J134" t="s">
        <v>823</v>
      </c>
      <c r="K134">
        <v>6497843</v>
      </c>
    </row>
    <row r="135" spans="1:11" x14ac:dyDescent="0.2">
      <c r="A135" t="s">
        <v>840</v>
      </c>
      <c r="B135" t="s">
        <v>112</v>
      </c>
      <c r="C135" t="s">
        <v>74</v>
      </c>
      <c r="D135">
        <v>1</v>
      </c>
      <c r="E135" t="s">
        <v>815</v>
      </c>
      <c r="F135">
        <v>10223657</v>
      </c>
      <c r="G135" t="s">
        <v>116</v>
      </c>
      <c r="H135" t="s">
        <v>189</v>
      </c>
      <c r="I135">
        <v>1.2</v>
      </c>
      <c r="J135" t="s">
        <v>823</v>
      </c>
      <c r="K135">
        <v>6497843</v>
      </c>
    </row>
    <row r="136" spans="1:11" x14ac:dyDescent="0.2">
      <c r="A136" t="s">
        <v>840</v>
      </c>
      <c r="B136" t="s">
        <v>112</v>
      </c>
      <c r="C136" t="s">
        <v>74</v>
      </c>
      <c r="D136">
        <v>1</v>
      </c>
      <c r="E136" t="s">
        <v>815</v>
      </c>
      <c r="F136">
        <v>10226399</v>
      </c>
      <c r="G136" t="s">
        <v>120</v>
      </c>
      <c r="H136" t="s">
        <v>189</v>
      </c>
      <c r="I136">
        <v>1.6</v>
      </c>
      <c r="J136" t="s">
        <v>823</v>
      </c>
      <c r="K136">
        <v>6497843</v>
      </c>
    </row>
    <row r="137" spans="1:11" x14ac:dyDescent="0.2">
      <c r="A137" t="s">
        <v>840</v>
      </c>
      <c r="B137" t="s">
        <v>112</v>
      </c>
      <c r="C137" t="s">
        <v>74</v>
      </c>
      <c r="D137">
        <v>1</v>
      </c>
      <c r="E137" t="s">
        <v>815</v>
      </c>
      <c r="F137">
        <v>50994931</v>
      </c>
      <c r="G137" t="s">
        <v>121</v>
      </c>
      <c r="H137" t="s">
        <v>189</v>
      </c>
      <c r="I137">
        <v>24</v>
      </c>
      <c r="J137" t="s">
        <v>823</v>
      </c>
      <c r="K137">
        <v>6497843</v>
      </c>
    </row>
    <row r="138" spans="1:11" x14ac:dyDescent="0.2">
      <c r="A138" t="s">
        <v>840</v>
      </c>
      <c r="B138" t="s">
        <v>112</v>
      </c>
      <c r="C138" t="s">
        <v>74</v>
      </c>
      <c r="D138">
        <v>1</v>
      </c>
      <c r="E138" t="s">
        <v>815</v>
      </c>
      <c r="F138">
        <v>10242292</v>
      </c>
      <c r="G138" t="s">
        <v>122</v>
      </c>
      <c r="H138" t="s">
        <v>189</v>
      </c>
      <c r="I138">
        <v>4</v>
      </c>
      <c r="J138" t="s">
        <v>823</v>
      </c>
      <c r="K138">
        <v>6497843</v>
      </c>
    </row>
    <row r="139" spans="1:11" x14ac:dyDescent="0.2">
      <c r="A139" t="s">
        <v>840</v>
      </c>
      <c r="B139" t="s">
        <v>112</v>
      </c>
      <c r="C139" t="s">
        <v>74</v>
      </c>
      <c r="D139">
        <v>1</v>
      </c>
      <c r="E139" t="s">
        <v>815</v>
      </c>
      <c r="F139">
        <v>10242293</v>
      </c>
      <c r="G139" t="s">
        <v>123</v>
      </c>
      <c r="H139" t="s">
        <v>189</v>
      </c>
      <c r="I139">
        <v>0.8</v>
      </c>
      <c r="J139" t="s">
        <v>823</v>
      </c>
      <c r="K139">
        <v>6497843</v>
      </c>
    </row>
    <row r="140" spans="1:11" x14ac:dyDescent="0.2">
      <c r="A140" t="s">
        <v>840</v>
      </c>
      <c r="B140" t="s">
        <v>112</v>
      </c>
      <c r="C140" t="s">
        <v>74</v>
      </c>
      <c r="D140">
        <v>1</v>
      </c>
      <c r="E140" t="s">
        <v>815</v>
      </c>
      <c r="F140">
        <v>10247603</v>
      </c>
      <c r="G140" t="s">
        <v>125</v>
      </c>
      <c r="H140" t="s">
        <v>189</v>
      </c>
      <c r="I140">
        <v>4</v>
      </c>
      <c r="J140" t="s">
        <v>823</v>
      </c>
      <c r="K140">
        <v>6497843</v>
      </c>
    </row>
    <row r="141" spans="1:11" x14ac:dyDescent="0.2">
      <c r="A141" t="s">
        <v>840</v>
      </c>
      <c r="B141" t="s">
        <v>112</v>
      </c>
      <c r="C141" t="s">
        <v>74</v>
      </c>
      <c r="D141">
        <v>1</v>
      </c>
      <c r="E141" t="s">
        <v>815</v>
      </c>
      <c r="F141">
        <v>10215610</v>
      </c>
      <c r="G141" t="s">
        <v>128</v>
      </c>
      <c r="H141" t="s">
        <v>189</v>
      </c>
      <c r="I141">
        <v>15.2</v>
      </c>
      <c r="J141" t="s">
        <v>823</v>
      </c>
      <c r="K141">
        <v>6497843</v>
      </c>
    </row>
    <row r="142" spans="1:11" x14ac:dyDescent="0.2">
      <c r="A142" t="s">
        <v>840</v>
      </c>
      <c r="B142" t="s">
        <v>112</v>
      </c>
      <c r="C142" t="s">
        <v>74</v>
      </c>
      <c r="D142">
        <v>1</v>
      </c>
      <c r="E142" t="s">
        <v>815</v>
      </c>
      <c r="F142">
        <v>10215641</v>
      </c>
      <c r="G142" t="s">
        <v>129</v>
      </c>
      <c r="H142" t="s">
        <v>189</v>
      </c>
      <c r="I142">
        <v>0.8</v>
      </c>
      <c r="J142" t="s">
        <v>823</v>
      </c>
      <c r="K142">
        <v>6497843</v>
      </c>
    </row>
    <row r="143" spans="1:11" x14ac:dyDescent="0.2">
      <c r="A143" t="s">
        <v>840</v>
      </c>
      <c r="B143" t="s">
        <v>112</v>
      </c>
      <c r="C143" t="s">
        <v>74</v>
      </c>
      <c r="D143">
        <v>1</v>
      </c>
      <c r="E143" t="s">
        <v>815</v>
      </c>
      <c r="F143">
        <v>10223108</v>
      </c>
      <c r="G143" t="s">
        <v>130</v>
      </c>
      <c r="H143" t="s">
        <v>189</v>
      </c>
      <c r="I143">
        <v>1.8</v>
      </c>
      <c r="J143" t="s">
        <v>823</v>
      </c>
      <c r="K143">
        <v>6497843</v>
      </c>
    </row>
    <row r="144" spans="1:11" x14ac:dyDescent="0.2">
      <c r="A144" t="s">
        <v>840</v>
      </c>
      <c r="B144" t="s">
        <v>112</v>
      </c>
      <c r="C144" t="s">
        <v>74</v>
      </c>
      <c r="D144">
        <v>1</v>
      </c>
      <c r="E144" t="s">
        <v>815</v>
      </c>
      <c r="F144">
        <v>10226367</v>
      </c>
      <c r="G144" t="s">
        <v>133</v>
      </c>
      <c r="H144" t="s">
        <v>189</v>
      </c>
      <c r="I144">
        <v>1.8</v>
      </c>
      <c r="J144" t="s">
        <v>823</v>
      </c>
      <c r="K144">
        <v>6497843</v>
      </c>
    </row>
    <row r="145" spans="1:11" x14ac:dyDescent="0.2">
      <c r="A145" t="s">
        <v>840</v>
      </c>
      <c r="B145" t="s">
        <v>112</v>
      </c>
      <c r="C145" t="s">
        <v>74</v>
      </c>
      <c r="D145">
        <v>1</v>
      </c>
      <c r="E145" t="s">
        <v>815</v>
      </c>
      <c r="F145">
        <v>10226368</v>
      </c>
      <c r="G145" t="s">
        <v>134</v>
      </c>
      <c r="H145" t="s">
        <v>189</v>
      </c>
      <c r="I145">
        <v>4</v>
      </c>
      <c r="J145" t="s">
        <v>823</v>
      </c>
      <c r="K145">
        <v>6497843</v>
      </c>
    </row>
    <row r="146" spans="1:11" x14ac:dyDescent="0.2">
      <c r="A146" t="s">
        <v>840</v>
      </c>
      <c r="B146" t="s">
        <v>112</v>
      </c>
      <c r="C146" t="s">
        <v>74</v>
      </c>
      <c r="D146">
        <v>1</v>
      </c>
      <c r="E146" t="s">
        <v>815</v>
      </c>
      <c r="F146">
        <v>10226373</v>
      </c>
      <c r="G146" t="s">
        <v>135</v>
      </c>
      <c r="H146" t="s">
        <v>189</v>
      </c>
      <c r="I146">
        <v>6.8</v>
      </c>
      <c r="J146" t="s">
        <v>823</v>
      </c>
      <c r="K146">
        <v>6497843</v>
      </c>
    </row>
    <row r="147" spans="1:11" x14ac:dyDescent="0.2">
      <c r="A147" t="s">
        <v>840</v>
      </c>
      <c r="B147" t="s">
        <v>112</v>
      </c>
      <c r="C147" t="s">
        <v>74</v>
      </c>
      <c r="D147">
        <v>1</v>
      </c>
      <c r="E147" t="s">
        <v>815</v>
      </c>
      <c r="F147">
        <v>10226388</v>
      </c>
      <c r="G147" t="s">
        <v>138</v>
      </c>
      <c r="H147" t="s">
        <v>189</v>
      </c>
      <c r="I147">
        <v>2.6</v>
      </c>
      <c r="J147" t="s">
        <v>823</v>
      </c>
      <c r="K147">
        <v>6497843</v>
      </c>
    </row>
    <row r="148" spans="1:11" x14ac:dyDescent="0.2">
      <c r="A148" t="s">
        <v>840</v>
      </c>
      <c r="B148" t="s">
        <v>112</v>
      </c>
      <c r="C148" t="s">
        <v>74</v>
      </c>
      <c r="D148">
        <v>1</v>
      </c>
      <c r="E148" t="s">
        <v>815</v>
      </c>
      <c r="F148">
        <v>10226392</v>
      </c>
      <c r="G148" t="s">
        <v>139</v>
      </c>
      <c r="H148" t="s">
        <v>189</v>
      </c>
      <c r="I148">
        <v>0.6</v>
      </c>
      <c r="J148" t="s">
        <v>823</v>
      </c>
      <c r="K148">
        <v>6497843</v>
      </c>
    </row>
    <row r="149" spans="1:11" x14ac:dyDescent="0.2">
      <c r="A149" t="s">
        <v>840</v>
      </c>
      <c r="B149" t="s">
        <v>112</v>
      </c>
      <c r="C149" t="s">
        <v>74</v>
      </c>
      <c r="D149">
        <v>1</v>
      </c>
      <c r="E149" t="s">
        <v>815</v>
      </c>
      <c r="F149">
        <v>10226398</v>
      </c>
      <c r="G149" t="s">
        <v>140</v>
      </c>
      <c r="H149" t="s">
        <v>189</v>
      </c>
      <c r="I149">
        <v>2</v>
      </c>
      <c r="J149" t="s">
        <v>823</v>
      </c>
      <c r="K149">
        <v>6497843</v>
      </c>
    </row>
    <row r="150" spans="1:11" x14ac:dyDescent="0.2">
      <c r="A150" t="s">
        <v>840</v>
      </c>
      <c r="B150" t="s">
        <v>112</v>
      </c>
      <c r="C150" t="s">
        <v>74</v>
      </c>
      <c r="D150">
        <v>1</v>
      </c>
      <c r="E150" t="s">
        <v>815</v>
      </c>
      <c r="F150">
        <v>10226403</v>
      </c>
      <c r="G150" t="s">
        <v>141</v>
      </c>
      <c r="H150" t="s">
        <v>189</v>
      </c>
      <c r="I150">
        <v>2.8</v>
      </c>
      <c r="J150" t="s">
        <v>823</v>
      </c>
      <c r="K150">
        <v>6497843</v>
      </c>
    </row>
    <row r="151" spans="1:11" x14ac:dyDescent="0.2">
      <c r="A151" t="s">
        <v>840</v>
      </c>
      <c r="B151" t="s">
        <v>112</v>
      </c>
      <c r="C151" t="s">
        <v>74</v>
      </c>
      <c r="D151">
        <v>1</v>
      </c>
      <c r="E151" t="s">
        <v>815</v>
      </c>
      <c r="F151">
        <v>10226417</v>
      </c>
      <c r="G151" t="s">
        <v>143</v>
      </c>
      <c r="H151" t="s">
        <v>189</v>
      </c>
      <c r="I151">
        <v>28</v>
      </c>
      <c r="J151" t="s">
        <v>823</v>
      </c>
      <c r="K151">
        <v>6497843</v>
      </c>
    </row>
    <row r="152" spans="1:11" x14ac:dyDescent="0.2">
      <c r="A152" t="s">
        <v>840</v>
      </c>
      <c r="B152" t="s">
        <v>112</v>
      </c>
      <c r="C152" t="s">
        <v>74</v>
      </c>
      <c r="D152">
        <v>1</v>
      </c>
      <c r="E152" t="s">
        <v>815</v>
      </c>
      <c r="F152">
        <v>10226422</v>
      </c>
      <c r="G152" t="s">
        <v>162</v>
      </c>
      <c r="H152" t="s">
        <v>189</v>
      </c>
      <c r="I152">
        <v>1</v>
      </c>
      <c r="J152" t="s">
        <v>823</v>
      </c>
      <c r="K152">
        <v>6497843</v>
      </c>
    </row>
    <row r="153" spans="1:11" x14ac:dyDescent="0.2">
      <c r="A153" t="s">
        <v>840</v>
      </c>
      <c r="B153" t="s">
        <v>112</v>
      </c>
      <c r="C153" t="s">
        <v>74</v>
      </c>
      <c r="D153">
        <v>1</v>
      </c>
      <c r="E153" t="s">
        <v>815</v>
      </c>
      <c r="F153">
        <v>10226425</v>
      </c>
      <c r="G153" t="s">
        <v>145</v>
      </c>
      <c r="H153" t="s">
        <v>189</v>
      </c>
      <c r="I153">
        <v>1</v>
      </c>
      <c r="J153" t="s">
        <v>823</v>
      </c>
      <c r="K153">
        <v>6497843</v>
      </c>
    </row>
    <row r="154" spans="1:11" x14ac:dyDescent="0.2">
      <c r="A154" t="s">
        <v>840</v>
      </c>
      <c r="B154" t="s">
        <v>112</v>
      </c>
      <c r="C154" t="s">
        <v>74</v>
      </c>
      <c r="D154">
        <v>1</v>
      </c>
      <c r="E154" t="s">
        <v>815</v>
      </c>
      <c r="F154">
        <v>10226429</v>
      </c>
      <c r="G154" t="s">
        <v>147</v>
      </c>
      <c r="H154" t="s">
        <v>189</v>
      </c>
      <c r="I154">
        <v>18</v>
      </c>
      <c r="J154" t="s">
        <v>823</v>
      </c>
      <c r="K154">
        <v>6497843</v>
      </c>
    </row>
    <row r="155" spans="1:11" x14ac:dyDescent="0.2">
      <c r="A155" t="s">
        <v>840</v>
      </c>
      <c r="B155" t="s">
        <v>112</v>
      </c>
      <c r="C155" t="s">
        <v>74</v>
      </c>
      <c r="D155">
        <v>1</v>
      </c>
      <c r="E155" t="s">
        <v>815</v>
      </c>
      <c r="F155">
        <v>10226435</v>
      </c>
      <c r="G155" t="s">
        <v>148</v>
      </c>
      <c r="H155" t="s">
        <v>189</v>
      </c>
      <c r="I155">
        <v>0.4</v>
      </c>
      <c r="J155" t="s">
        <v>823</v>
      </c>
      <c r="K155">
        <v>6497843</v>
      </c>
    </row>
    <row r="156" spans="1:11" x14ac:dyDescent="0.2">
      <c r="A156" t="s">
        <v>840</v>
      </c>
      <c r="B156" t="s">
        <v>112</v>
      </c>
      <c r="C156" t="s">
        <v>74</v>
      </c>
      <c r="D156">
        <v>1</v>
      </c>
      <c r="E156" t="s">
        <v>815</v>
      </c>
      <c r="F156">
        <v>10226439</v>
      </c>
      <c r="G156" t="s">
        <v>163</v>
      </c>
      <c r="H156" t="s">
        <v>189</v>
      </c>
      <c r="I156">
        <v>0.2</v>
      </c>
      <c r="J156" t="s">
        <v>823</v>
      </c>
      <c r="K156">
        <v>6497843</v>
      </c>
    </row>
    <row r="157" spans="1:11" x14ac:dyDescent="0.2">
      <c r="A157" t="s">
        <v>840</v>
      </c>
      <c r="B157" t="s">
        <v>112</v>
      </c>
      <c r="C157" t="s">
        <v>74</v>
      </c>
      <c r="D157">
        <v>1</v>
      </c>
      <c r="E157" t="s">
        <v>815</v>
      </c>
      <c r="F157">
        <v>10226447</v>
      </c>
      <c r="G157" t="s">
        <v>150</v>
      </c>
      <c r="H157" t="s">
        <v>189</v>
      </c>
      <c r="I157">
        <v>0.4</v>
      </c>
      <c r="J157" t="s">
        <v>823</v>
      </c>
      <c r="K157">
        <v>6497843</v>
      </c>
    </row>
    <row r="158" spans="1:11" x14ac:dyDescent="0.2">
      <c r="A158" t="s">
        <v>840</v>
      </c>
      <c r="B158" t="s">
        <v>112</v>
      </c>
      <c r="C158" t="s">
        <v>74</v>
      </c>
      <c r="D158">
        <v>1</v>
      </c>
      <c r="E158" t="s">
        <v>815</v>
      </c>
      <c r="F158">
        <v>10226452</v>
      </c>
      <c r="G158" t="s">
        <v>151</v>
      </c>
      <c r="H158" t="s">
        <v>189</v>
      </c>
      <c r="I158">
        <v>2.4</v>
      </c>
      <c r="J158" t="s">
        <v>823</v>
      </c>
      <c r="K158">
        <v>6497843</v>
      </c>
    </row>
    <row r="159" spans="1:11" x14ac:dyDescent="0.2">
      <c r="A159" t="s">
        <v>840</v>
      </c>
      <c r="B159" t="s">
        <v>112</v>
      </c>
      <c r="C159" t="s">
        <v>74</v>
      </c>
      <c r="D159">
        <v>1</v>
      </c>
      <c r="E159" t="s">
        <v>815</v>
      </c>
      <c r="F159">
        <v>10226454</v>
      </c>
      <c r="G159" t="s">
        <v>152</v>
      </c>
      <c r="H159" t="s">
        <v>189</v>
      </c>
      <c r="I159">
        <v>11.4</v>
      </c>
      <c r="J159" t="s">
        <v>823</v>
      </c>
      <c r="K159">
        <v>6497843</v>
      </c>
    </row>
    <row r="160" spans="1:11" x14ac:dyDescent="0.2">
      <c r="A160" t="s">
        <v>840</v>
      </c>
      <c r="B160" t="s">
        <v>112</v>
      </c>
      <c r="C160" t="s">
        <v>74</v>
      </c>
      <c r="D160">
        <v>1</v>
      </c>
      <c r="E160" t="s">
        <v>815</v>
      </c>
      <c r="F160">
        <v>10226455</v>
      </c>
      <c r="G160" t="s">
        <v>164</v>
      </c>
      <c r="H160" t="s">
        <v>189</v>
      </c>
      <c r="I160">
        <v>0.6</v>
      </c>
      <c r="J160" t="s">
        <v>823</v>
      </c>
      <c r="K160">
        <v>6497843</v>
      </c>
    </row>
    <row r="161" spans="1:11" x14ac:dyDescent="0.2">
      <c r="A161" t="s">
        <v>840</v>
      </c>
      <c r="B161" t="s">
        <v>112</v>
      </c>
      <c r="C161" t="s">
        <v>74</v>
      </c>
      <c r="D161">
        <v>1</v>
      </c>
      <c r="E161" t="s">
        <v>815</v>
      </c>
      <c r="F161">
        <v>10242291</v>
      </c>
      <c r="G161" t="s">
        <v>155</v>
      </c>
      <c r="H161" t="s">
        <v>189</v>
      </c>
      <c r="I161">
        <v>1</v>
      </c>
      <c r="J161" t="s">
        <v>823</v>
      </c>
      <c r="K161">
        <v>6497843</v>
      </c>
    </row>
    <row r="162" spans="1:11" x14ac:dyDescent="0.2">
      <c r="A162" t="s">
        <v>840</v>
      </c>
      <c r="B162" t="s">
        <v>112</v>
      </c>
      <c r="C162" t="s">
        <v>74</v>
      </c>
      <c r="D162">
        <v>1</v>
      </c>
      <c r="E162" t="s">
        <v>815</v>
      </c>
      <c r="F162">
        <v>10226402</v>
      </c>
      <c r="G162" t="s">
        <v>156</v>
      </c>
      <c r="H162" t="s">
        <v>189</v>
      </c>
      <c r="I162">
        <v>0.4</v>
      </c>
      <c r="J162" t="s">
        <v>823</v>
      </c>
      <c r="K162">
        <v>6497843</v>
      </c>
    </row>
    <row r="163" spans="1:11" x14ac:dyDescent="0.2">
      <c r="A163" t="s">
        <v>841</v>
      </c>
      <c r="B163" t="s">
        <v>112</v>
      </c>
      <c r="C163" t="s">
        <v>74</v>
      </c>
      <c r="D163">
        <v>1</v>
      </c>
      <c r="E163" t="s">
        <v>815</v>
      </c>
      <c r="F163">
        <v>10224293</v>
      </c>
      <c r="G163" t="s">
        <v>113</v>
      </c>
      <c r="H163" t="s">
        <v>191</v>
      </c>
      <c r="I163">
        <v>4.5</v>
      </c>
      <c r="J163" t="s">
        <v>823</v>
      </c>
      <c r="K163">
        <v>6497188</v>
      </c>
    </row>
    <row r="164" spans="1:11" x14ac:dyDescent="0.2">
      <c r="A164" t="s">
        <v>841</v>
      </c>
      <c r="B164" t="s">
        <v>112</v>
      </c>
      <c r="C164" t="s">
        <v>74</v>
      </c>
      <c r="D164">
        <v>1</v>
      </c>
      <c r="E164" t="s">
        <v>815</v>
      </c>
      <c r="F164">
        <v>10226405</v>
      </c>
      <c r="G164" t="s">
        <v>115</v>
      </c>
      <c r="H164" t="s">
        <v>191</v>
      </c>
      <c r="I164">
        <v>65.400000000000006</v>
      </c>
      <c r="J164" t="s">
        <v>823</v>
      </c>
      <c r="K164">
        <v>6497188</v>
      </c>
    </row>
    <row r="165" spans="1:11" x14ac:dyDescent="0.2">
      <c r="A165" t="s">
        <v>841</v>
      </c>
      <c r="B165" t="s">
        <v>112</v>
      </c>
      <c r="C165" t="s">
        <v>74</v>
      </c>
      <c r="D165">
        <v>1</v>
      </c>
      <c r="E165" t="s">
        <v>815</v>
      </c>
      <c r="F165">
        <v>10223657</v>
      </c>
      <c r="G165" t="s">
        <v>116</v>
      </c>
      <c r="H165" t="s">
        <v>191</v>
      </c>
      <c r="I165">
        <v>5</v>
      </c>
      <c r="J165" t="s">
        <v>823</v>
      </c>
      <c r="K165">
        <v>6497188</v>
      </c>
    </row>
    <row r="166" spans="1:11" x14ac:dyDescent="0.2">
      <c r="A166" t="s">
        <v>841</v>
      </c>
      <c r="B166" t="s">
        <v>112</v>
      </c>
      <c r="C166" t="s">
        <v>74</v>
      </c>
      <c r="D166">
        <v>1</v>
      </c>
      <c r="E166" t="s">
        <v>815</v>
      </c>
      <c r="F166">
        <v>10198819</v>
      </c>
      <c r="G166" t="s">
        <v>117</v>
      </c>
      <c r="H166" t="s">
        <v>191</v>
      </c>
      <c r="I166">
        <v>0.8</v>
      </c>
      <c r="J166" t="s">
        <v>823</v>
      </c>
      <c r="K166">
        <v>6497188</v>
      </c>
    </row>
    <row r="167" spans="1:11" x14ac:dyDescent="0.2">
      <c r="A167" t="s">
        <v>841</v>
      </c>
      <c r="B167" t="s">
        <v>112</v>
      </c>
      <c r="C167" t="s">
        <v>74</v>
      </c>
      <c r="D167">
        <v>1</v>
      </c>
      <c r="E167" t="s">
        <v>815</v>
      </c>
      <c r="F167">
        <v>10226361</v>
      </c>
      <c r="G167" t="s">
        <v>118</v>
      </c>
      <c r="H167" t="s">
        <v>191</v>
      </c>
      <c r="I167">
        <v>0.6</v>
      </c>
      <c r="J167" t="s">
        <v>823</v>
      </c>
      <c r="K167">
        <v>6497188</v>
      </c>
    </row>
    <row r="168" spans="1:11" x14ac:dyDescent="0.2">
      <c r="A168" t="s">
        <v>841</v>
      </c>
      <c r="B168" t="s">
        <v>112</v>
      </c>
      <c r="C168" t="s">
        <v>74</v>
      </c>
      <c r="D168">
        <v>1</v>
      </c>
      <c r="E168" t="s">
        <v>815</v>
      </c>
      <c r="F168">
        <v>10226415</v>
      </c>
      <c r="G168" t="s">
        <v>119</v>
      </c>
      <c r="H168" t="s">
        <v>191</v>
      </c>
      <c r="I168">
        <v>3.8</v>
      </c>
      <c r="J168" t="s">
        <v>823</v>
      </c>
      <c r="K168">
        <v>6497188</v>
      </c>
    </row>
    <row r="169" spans="1:11" x14ac:dyDescent="0.2">
      <c r="A169" t="s">
        <v>841</v>
      </c>
      <c r="B169" t="s">
        <v>112</v>
      </c>
      <c r="C169" t="s">
        <v>74</v>
      </c>
      <c r="D169">
        <v>1</v>
      </c>
      <c r="E169" t="s">
        <v>815</v>
      </c>
      <c r="F169">
        <v>10226399</v>
      </c>
      <c r="G169" t="s">
        <v>120</v>
      </c>
      <c r="H169" t="s">
        <v>191</v>
      </c>
      <c r="I169">
        <v>18.399999999999999</v>
      </c>
      <c r="J169" t="s">
        <v>823</v>
      </c>
      <c r="K169">
        <v>6497188</v>
      </c>
    </row>
    <row r="170" spans="1:11" x14ac:dyDescent="0.2">
      <c r="A170" t="s">
        <v>841</v>
      </c>
      <c r="B170" t="s">
        <v>112</v>
      </c>
      <c r="C170" t="s">
        <v>74</v>
      </c>
      <c r="D170">
        <v>1</v>
      </c>
      <c r="E170" t="s">
        <v>815</v>
      </c>
      <c r="F170">
        <v>10100280</v>
      </c>
      <c r="G170" t="s">
        <v>824</v>
      </c>
      <c r="H170" t="s">
        <v>191</v>
      </c>
      <c r="I170">
        <v>2</v>
      </c>
      <c r="J170" t="s">
        <v>823</v>
      </c>
      <c r="K170">
        <v>6497188</v>
      </c>
    </row>
    <row r="171" spans="1:11" x14ac:dyDescent="0.2">
      <c r="A171" t="s">
        <v>841</v>
      </c>
      <c r="B171" t="s">
        <v>112</v>
      </c>
      <c r="C171" t="s">
        <v>74</v>
      </c>
      <c r="D171">
        <v>1</v>
      </c>
      <c r="E171" t="s">
        <v>815</v>
      </c>
      <c r="F171">
        <v>50994931</v>
      </c>
      <c r="G171" t="s">
        <v>121</v>
      </c>
      <c r="H171" t="s">
        <v>191</v>
      </c>
      <c r="I171">
        <v>12</v>
      </c>
      <c r="J171" t="s">
        <v>823</v>
      </c>
      <c r="K171">
        <v>6497188</v>
      </c>
    </row>
    <row r="172" spans="1:11" x14ac:dyDescent="0.2">
      <c r="A172" t="s">
        <v>841</v>
      </c>
      <c r="B172" t="s">
        <v>112</v>
      </c>
      <c r="C172" t="s">
        <v>74</v>
      </c>
      <c r="D172">
        <v>1</v>
      </c>
      <c r="E172" t="s">
        <v>815</v>
      </c>
      <c r="F172">
        <v>50065408</v>
      </c>
      <c r="G172" t="s">
        <v>186</v>
      </c>
      <c r="H172" t="s">
        <v>191</v>
      </c>
      <c r="I172">
        <v>16</v>
      </c>
      <c r="J172" t="s">
        <v>823</v>
      </c>
      <c r="K172">
        <v>6497188</v>
      </c>
    </row>
    <row r="173" spans="1:11" x14ac:dyDescent="0.2">
      <c r="A173" t="s">
        <v>841</v>
      </c>
      <c r="B173" t="s">
        <v>112</v>
      </c>
      <c r="C173" t="s">
        <v>74</v>
      </c>
      <c r="D173">
        <v>1</v>
      </c>
      <c r="E173" t="s">
        <v>815</v>
      </c>
      <c r="F173">
        <v>10242292</v>
      </c>
      <c r="G173" t="s">
        <v>122</v>
      </c>
      <c r="H173" t="s">
        <v>191</v>
      </c>
      <c r="I173">
        <v>17.600000000000001</v>
      </c>
      <c r="J173" t="s">
        <v>823</v>
      </c>
      <c r="K173">
        <v>6497188</v>
      </c>
    </row>
    <row r="174" spans="1:11" x14ac:dyDescent="0.2">
      <c r="A174" t="s">
        <v>841</v>
      </c>
      <c r="B174" t="s">
        <v>112</v>
      </c>
      <c r="C174" t="s">
        <v>74</v>
      </c>
      <c r="D174">
        <v>1</v>
      </c>
      <c r="E174" t="s">
        <v>815</v>
      </c>
      <c r="F174">
        <v>10242293</v>
      </c>
      <c r="G174" t="s">
        <v>123</v>
      </c>
      <c r="H174" t="s">
        <v>191</v>
      </c>
      <c r="I174">
        <v>4.2</v>
      </c>
      <c r="J174" t="s">
        <v>823</v>
      </c>
      <c r="K174">
        <v>6497188</v>
      </c>
    </row>
    <row r="175" spans="1:11" x14ac:dyDescent="0.2">
      <c r="A175" t="s">
        <v>841</v>
      </c>
      <c r="B175" t="s">
        <v>112</v>
      </c>
      <c r="C175" t="s">
        <v>74</v>
      </c>
      <c r="D175">
        <v>1</v>
      </c>
      <c r="E175" t="s">
        <v>815</v>
      </c>
      <c r="F175">
        <v>50994945</v>
      </c>
      <c r="G175" t="s">
        <v>124</v>
      </c>
      <c r="H175" t="s">
        <v>191</v>
      </c>
      <c r="I175">
        <v>18</v>
      </c>
      <c r="J175" t="s">
        <v>823</v>
      </c>
      <c r="K175">
        <v>6497188</v>
      </c>
    </row>
    <row r="176" spans="1:11" x14ac:dyDescent="0.2">
      <c r="A176" t="s">
        <v>841</v>
      </c>
      <c r="B176" t="s">
        <v>112</v>
      </c>
      <c r="C176" t="s">
        <v>74</v>
      </c>
      <c r="D176">
        <v>1</v>
      </c>
      <c r="E176" t="s">
        <v>815</v>
      </c>
      <c r="F176">
        <v>10247603</v>
      </c>
      <c r="G176" t="s">
        <v>125</v>
      </c>
      <c r="H176" t="s">
        <v>191</v>
      </c>
      <c r="I176">
        <v>15.7</v>
      </c>
      <c r="J176" t="s">
        <v>823</v>
      </c>
      <c r="K176">
        <v>6497188</v>
      </c>
    </row>
    <row r="177" spans="1:11" x14ac:dyDescent="0.2">
      <c r="A177" t="s">
        <v>841</v>
      </c>
      <c r="B177" t="s">
        <v>112</v>
      </c>
      <c r="C177" t="s">
        <v>74</v>
      </c>
      <c r="D177">
        <v>1</v>
      </c>
      <c r="E177" t="s">
        <v>815</v>
      </c>
      <c r="F177">
        <v>50065430</v>
      </c>
      <c r="G177" t="s">
        <v>193</v>
      </c>
      <c r="H177" t="s">
        <v>191</v>
      </c>
      <c r="I177">
        <v>1</v>
      </c>
      <c r="J177" t="s">
        <v>823</v>
      </c>
      <c r="K177">
        <v>6497188</v>
      </c>
    </row>
    <row r="178" spans="1:11" x14ac:dyDescent="0.2">
      <c r="A178" t="s">
        <v>841</v>
      </c>
      <c r="B178" t="s">
        <v>112</v>
      </c>
      <c r="C178" t="s">
        <v>74</v>
      </c>
      <c r="D178">
        <v>1</v>
      </c>
      <c r="E178" t="s">
        <v>815</v>
      </c>
      <c r="F178">
        <v>50065431</v>
      </c>
      <c r="G178" t="s">
        <v>204</v>
      </c>
      <c r="H178" t="s">
        <v>191</v>
      </c>
      <c r="I178">
        <v>1</v>
      </c>
      <c r="J178" t="s">
        <v>823</v>
      </c>
      <c r="K178">
        <v>6497188</v>
      </c>
    </row>
    <row r="179" spans="1:11" x14ac:dyDescent="0.2">
      <c r="A179" t="s">
        <v>841</v>
      </c>
      <c r="B179" t="s">
        <v>112</v>
      </c>
      <c r="C179" t="s">
        <v>74</v>
      </c>
      <c r="D179">
        <v>1</v>
      </c>
      <c r="E179" t="s">
        <v>815</v>
      </c>
      <c r="F179">
        <v>10208004</v>
      </c>
      <c r="G179" t="s">
        <v>126</v>
      </c>
      <c r="H179" t="s">
        <v>191</v>
      </c>
      <c r="I179">
        <v>15.6</v>
      </c>
      <c r="J179" t="s">
        <v>823</v>
      </c>
      <c r="K179">
        <v>6497188</v>
      </c>
    </row>
    <row r="180" spans="1:11" x14ac:dyDescent="0.2">
      <c r="A180" t="s">
        <v>841</v>
      </c>
      <c r="B180" t="s">
        <v>112</v>
      </c>
      <c r="C180" t="s">
        <v>74</v>
      </c>
      <c r="D180">
        <v>1</v>
      </c>
      <c r="E180" t="s">
        <v>815</v>
      </c>
      <c r="F180">
        <v>10208167</v>
      </c>
      <c r="G180" t="s">
        <v>127</v>
      </c>
      <c r="H180" t="s">
        <v>191</v>
      </c>
      <c r="I180">
        <v>0.2</v>
      </c>
      <c r="J180" t="s">
        <v>823</v>
      </c>
      <c r="K180">
        <v>6497188</v>
      </c>
    </row>
    <row r="181" spans="1:11" x14ac:dyDescent="0.2">
      <c r="A181" t="s">
        <v>841</v>
      </c>
      <c r="B181" t="s">
        <v>112</v>
      </c>
      <c r="C181" t="s">
        <v>74</v>
      </c>
      <c r="D181">
        <v>1</v>
      </c>
      <c r="E181" t="s">
        <v>815</v>
      </c>
      <c r="F181">
        <v>10215610</v>
      </c>
      <c r="G181" t="s">
        <v>128</v>
      </c>
      <c r="H181" t="s">
        <v>191</v>
      </c>
      <c r="I181">
        <v>109.6</v>
      </c>
      <c r="J181" t="s">
        <v>823</v>
      </c>
      <c r="K181">
        <v>6497188</v>
      </c>
    </row>
    <row r="182" spans="1:11" x14ac:dyDescent="0.2">
      <c r="A182" t="s">
        <v>841</v>
      </c>
      <c r="B182" t="s">
        <v>112</v>
      </c>
      <c r="C182" t="s">
        <v>74</v>
      </c>
      <c r="D182">
        <v>1</v>
      </c>
      <c r="E182" t="s">
        <v>815</v>
      </c>
      <c r="F182">
        <v>10215641</v>
      </c>
      <c r="G182" t="s">
        <v>129</v>
      </c>
      <c r="H182" t="s">
        <v>191</v>
      </c>
      <c r="I182">
        <v>16.399999999999999</v>
      </c>
      <c r="J182" t="s">
        <v>823</v>
      </c>
      <c r="K182">
        <v>6497188</v>
      </c>
    </row>
    <row r="183" spans="1:11" x14ac:dyDescent="0.2">
      <c r="A183" t="s">
        <v>841</v>
      </c>
      <c r="B183" t="s">
        <v>112</v>
      </c>
      <c r="C183" t="s">
        <v>74</v>
      </c>
      <c r="D183">
        <v>1</v>
      </c>
      <c r="E183" t="s">
        <v>815</v>
      </c>
      <c r="F183">
        <v>10223108</v>
      </c>
      <c r="G183" t="s">
        <v>130</v>
      </c>
      <c r="H183" t="s">
        <v>191</v>
      </c>
      <c r="I183">
        <v>5.9</v>
      </c>
      <c r="J183" t="s">
        <v>823</v>
      </c>
      <c r="K183">
        <v>6497188</v>
      </c>
    </row>
    <row r="184" spans="1:11" x14ac:dyDescent="0.2">
      <c r="A184" t="s">
        <v>841</v>
      </c>
      <c r="B184" t="s">
        <v>112</v>
      </c>
      <c r="C184" t="s">
        <v>74</v>
      </c>
      <c r="D184">
        <v>1</v>
      </c>
      <c r="E184" t="s">
        <v>815</v>
      </c>
      <c r="F184">
        <v>10226339</v>
      </c>
      <c r="G184" t="s">
        <v>173</v>
      </c>
      <c r="H184" t="s">
        <v>191</v>
      </c>
      <c r="I184">
        <v>1</v>
      </c>
      <c r="J184" t="s">
        <v>823</v>
      </c>
      <c r="K184">
        <v>6497188</v>
      </c>
    </row>
    <row r="185" spans="1:11" x14ac:dyDescent="0.2">
      <c r="A185" t="s">
        <v>841</v>
      </c>
      <c r="B185" t="s">
        <v>112</v>
      </c>
      <c r="C185" t="s">
        <v>74</v>
      </c>
      <c r="D185">
        <v>1</v>
      </c>
      <c r="E185" t="s">
        <v>815</v>
      </c>
      <c r="F185">
        <v>10226359</v>
      </c>
      <c r="G185" t="s">
        <v>132</v>
      </c>
      <c r="H185" t="s">
        <v>191</v>
      </c>
      <c r="I185">
        <v>0.4</v>
      </c>
      <c r="J185" t="s">
        <v>823</v>
      </c>
      <c r="K185">
        <v>6497188</v>
      </c>
    </row>
    <row r="186" spans="1:11" x14ac:dyDescent="0.2">
      <c r="A186" t="s">
        <v>841</v>
      </c>
      <c r="B186" t="s">
        <v>112</v>
      </c>
      <c r="C186" t="s">
        <v>74</v>
      </c>
      <c r="D186">
        <v>1</v>
      </c>
      <c r="E186" t="s">
        <v>815</v>
      </c>
      <c r="F186">
        <v>10226363</v>
      </c>
      <c r="G186" t="s">
        <v>816</v>
      </c>
      <c r="H186" t="s">
        <v>191</v>
      </c>
      <c r="I186">
        <v>0.2</v>
      </c>
      <c r="J186" t="s">
        <v>823</v>
      </c>
      <c r="K186">
        <v>6497188</v>
      </c>
    </row>
    <row r="187" spans="1:11" x14ac:dyDescent="0.2">
      <c r="A187" t="s">
        <v>841</v>
      </c>
      <c r="B187" t="s">
        <v>112</v>
      </c>
      <c r="C187" t="s">
        <v>74</v>
      </c>
      <c r="D187">
        <v>1</v>
      </c>
      <c r="E187" t="s">
        <v>815</v>
      </c>
      <c r="F187">
        <v>10226367</v>
      </c>
      <c r="G187" t="s">
        <v>133</v>
      </c>
      <c r="H187" t="s">
        <v>191</v>
      </c>
      <c r="I187">
        <v>17.2</v>
      </c>
      <c r="J187" t="s">
        <v>823</v>
      </c>
      <c r="K187">
        <v>6497188</v>
      </c>
    </row>
    <row r="188" spans="1:11" x14ac:dyDescent="0.2">
      <c r="A188" t="s">
        <v>841</v>
      </c>
      <c r="B188" t="s">
        <v>112</v>
      </c>
      <c r="C188" t="s">
        <v>74</v>
      </c>
      <c r="D188">
        <v>1</v>
      </c>
      <c r="E188" t="s">
        <v>815</v>
      </c>
      <c r="F188">
        <v>10226368</v>
      </c>
      <c r="G188" t="s">
        <v>134</v>
      </c>
      <c r="H188" t="s">
        <v>191</v>
      </c>
      <c r="I188">
        <v>11.6</v>
      </c>
      <c r="J188" t="s">
        <v>823</v>
      </c>
      <c r="K188">
        <v>6497188</v>
      </c>
    </row>
    <row r="189" spans="1:11" x14ac:dyDescent="0.2">
      <c r="A189" t="s">
        <v>841</v>
      </c>
      <c r="B189" t="s">
        <v>112</v>
      </c>
      <c r="C189" t="s">
        <v>74</v>
      </c>
      <c r="D189">
        <v>1</v>
      </c>
      <c r="E189" t="s">
        <v>815</v>
      </c>
      <c r="F189">
        <v>10226373</v>
      </c>
      <c r="G189" t="s">
        <v>135</v>
      </c>
      <c r="H189" t="s">
        <v>191</v>
      </c>
      <c r="I189">
        <v>19.399999999999999</v>
      </c>
      <c r="J189" t="s">
        <v>823</v>
      </c>
      <c r="K189">
        <v>6497188</v>
      </c>
    </row>
    <row r="190" spans="1:11" x14ac:dyDescent="0.2">
      <c r="A190" t="s">
        <v>841</v>
      </c>
      <c r="B190" t="s">
        <v>112</v>
      </c>
      <c r="C190" t="s">
        <v>74</v>
      </c>
      <c r="D190">
        <v>1</v>
      </c>
      <c r="E190" t="s">
        <v>815</v>
      </c>
      <c r="F190">
        <v>10226377</v>
      </c>
      <c r="G190" t="s">
        <v>136</v>
      </c>
      <c r="H190" t="s">
        <v>191</v>
      </c>
      <c r="I190">
        <v>3.4</v>
      </c>
      <c r="J190" t="s">
        <v>823</v>
      </c>
      <c r="K190">
        <v>6497188</v>
      </c>
    </row>
    <row r="191" spans="1:11" x14ac:dyDescent="0.2">
      <c r="A191" t="s">
        <v>841</v>
      </c>
      <c r="B191" t="s">
        <v>112</v>
      </c>
      <c r="C191" t="s">
        <v>74</v>
      </c>
      <c r="D191">
        <v>1</v>
      </c>
      <c r="E191" t="s">
        <v>815</v>
      </c>
      <c r="F191">
        <v>10226385</v>
      </c>
      <c r="G191" t="s">
        <v>137</v>
      </c>
      <c r="H191" t="s">
        <v>191</v>
      </c>
      <c r="I191">
        <v>1</v>
      </c>
      <c r="J191" t="s">
        <v>823</v>
      </c>
      <c r="K191">
        <v>6497188</v>
      </c>
    </row>
    <row r="192" spans="1:11" x14ac:dyDescent="0.2">
      <c r="A192" t="s">
        <v>841</v>
      </c>
      <c r="B192" t="s">
        <v>112</v>
      </c>
      <c r="C192" t="s">
        <v>74</v>
      </c>
      <c r="D192">
        <v>1</v>
      </c>
      <c r="E192" t="s">
        <v>815</v>
      </c>
      <c r="F192">
        <v>10226388</v>
      </c>
      <c r="G192" t="s">
        <v>138</v>
      </c>
      <c r="H192" t="s">
        <v>191</v>
      </c>
      <c r="I192">
        <v>6.4</v>
      </c>
      <c r="J192" t="s">
        <v>823</v>
      </c>
      <c r="K192">
        <v>6497188</v>
      </c>
    </row>
    <row r="193" spans="1:11" x14ac:dyDescent="0.2">
      <c r="A193" t="s">
        <v>841</v>
      </c>
      <c r="B193" t="s">
        <v>112</v>
      </c>
      <c r="C193" t="s">
        <v>74</v>
      </c>
      <c r="D193">
        <v>1</v>
      </c>
      <c r="E193" t="s">
        <v>815</v>
      </c>
      <c r="F193">
        <v>10226390</v>
      </c>
      <c r="G193" t="s">
        <v>174</v>
      </c>
      <c r="H193" t="s">
        <v>191</v>
      </c>
      <c r="I193">
        <v>0.6</v>
      </c>
      <c r="J193" t="s">
        <v>823</v>
      </c>
      <c r="K193">
        <v>6497188</v>
      </c>
    </row>
    <row r="194" spans="1:11" x14ac:dyDescent="0.2">
      <c r="A194" t="s">
        <v>841</v>
      </c>
      <c r="B194" t="s">
        <v>112</v>
      </c>
      <c r="C194" t="s">
        <v>74</v>
      </c>
      <c r="D194">
        <v>1</v>
      </c>
      <c r="E194" t="s">
        <v>815</v>
      </c>
      <c r="F194">
        <v>10226392</v>
      </c>
      <c r="G194" t="s">
        <v>139</v>
      </c>
      <c r="H194" t="s">
        <v>191</v>
      </c>
      <c r="I194">
        <v>4</v>
      </c>
      <c r="J194" t="s">
        <v>823</v>
      </c>
      <c r="K194">
        <v>6497188</v>
      </c>
    </row>
    <row r="195" spans="1:11" x14ac:dyDescent="0.2">
      <c r="A195" t="s">
        <v>841</v>
      </c>
      <c r="B195" t="s">
        <v>112</v>
      </c>
      <c r="C195" t="s">
        <v>74</v>
      </c>
      <c r="D195">
        <v>1</v>
      </c>
      <c r="E195" t="s">
        <v>815</v>
      </c>
      <c r="F195">
        <v>10226398</v>
      </c>
      <c r="G195" t="s">
        <v>140</v>
      </c>
      <c r="H195" t="s">
        <v>191</v>
      </c>
      <c r="I195">
        <v>15.6</v>
      </c>
      <c r="J195" t="s">
        <v>823</v>
      </c>
      <c r="K195">
        <v>6497188</v>
      </c>
    </row>
    <row r="196" spans="1:11" x14ac:dyDescent="0.2">
      <c r="A196" t="s">
        <v>841</v>
      </c>
      <c r="B196" t="s">
        <v>112</v>
      </c>
      <c r="C196" t="s">
        <v>74</v>
      </c>
      <c r="D196">
        <v>1</v>
      </c>
      <c r="E196" t="s">
        <v>815</v>
      </c>
      <c r="F196">
        <v>10226403</v>
      </c>
      <c r="G196" t="s">
        <v>141</v>
      </c>
      <c r="H196" t="s">
        <v>191</v>
      </c>
      <c r="I196">
        <v>14.3</v>
      </c>
      <c r="J196" t="s">
        <v>823</v>
      </c>
      <c r="K196">
        <v>6497188</v>
      </c>
    </row>
    <row r="197" spans="1:11" x14ac:dyDescent="0.2">
      <c r="A197" t="s">
        <v>841</v>
      </c>
      <c r="B197" t="s">
        <v>112</v>
      </c>
      <c r="C197" t="s">
        <v>74</v>
      </c>
      <c r="D197">
        <v>1</v>
      </c>
      <c r="E197" t="s">
        <v>815</v>
      </c>
      <c r="F197">
        <v>10226413</v>
      </c>
      <c r="G197" t="s">
        <v>175</v>
      </c>
      <c r="H197" t="s">
        <v>191</v>
      </c>
      <c r="I197">
        <v>0.2</v>
      </c>
      <c r="J197" t="s">
        <v>823</v>
      </c>
      <c r="K197">
        <v>6497188</v>
      </c>
    </row>
    <row r="198" spans="1:11" x14ac:dyDescent="0.2">
      <c r="A198" t="s">
        <v>841</v>
      </c>
      <c r="B198" t="s">
        <v>112</v>
      </c>
      <c r="C198" t="s">
        <v>74</v>
      </c>
      <c r="D198">
        <v>1</v>
      </c>
      <c r="E198" t="s">
        <v>815</v>
      </c>
      <c r="F198">
        <v>10226417</v>
      </c>
      <c r="G198" t="s">
        <v>143</v>
      </c>
      <c r="H198" t="s">
        <v>191</v>
      </c>
      <c r="I198">
        <v>55.8</v>
      </c>
      <c r="J198" t="s">
        <v>823</v>
      </c>
      <c r="K198">
        <v>6497188</v>
      </c>
    </row>
    <row r="199" spans="1:11" x14ac:dyDescent="0.2">
      <c r="A199" t="s">
        <v>841</v>
      </c>
      <c r="B199" t="s">
        <v>112</v>
      </c>
      <c r="C199" t="s">
        <v>74</v>
      </c>
      <c r="D199">
        <v>1</v>
      </c>
      <c r="E199" t="s">
        <v>815</v>
      </c>
      <c r="F199">
        <v>10226418</v>
      </c>
      <c r="G199" t="s">
        <v>144</v>
      </c>
      <c r="H199" t="s">
        <v>191</v>
      </c>
      <c r="I199">
        <v>0.2</v>
      </c>
      <c r="J199" t="s">
        <v>823</v>
      </c>
      <c r="K199">
        <v>6497188</v>
      </c>
    </row>
    <row r="200" spans="1:11" x14ac:dyDescent="0.2">
      <c r="A200" t="s">
        <v>841</v>
      </c>
      <c r="B200" t="s">
        <v>112</v>
      </c>
      <c r="C200" t="s">
        <v>74</v>
      </c>
      <c r="D200">
        <v>1</v>
      </c>
      <c r="E200" t="s">
        <v>815</v>
      </c>
      <c r="F200">
        <v>10226420</v>
      </c>
      <c r="G200" t="s">
        <v>188</v>
      </c>
      <c r="H200" t="s">
        <v>191</v>
      </c>
      <c r="I200">
        <v>0.2</v>
      </c>
      <c r="J200" t="s">
        <v>823</v>
      </c>
      <c r="K200">
        <v>6497188</v>
      </c>
    </row>
    <row r="201" spans="1:11" x14ac:dyDescent="0.2">
      <c r="A201" t="s">
        <v>841</v>
      </c>
      <c r="B201" t="s">
        <v>112</v>
      </c>
      <c r="C201" t="s">
        <v>74</v>
      </c>
      <c r="D201">
        <v>1</v>
      </c>
      <c r="E201" t="s">
        <v>815</v>
      </c>
      <c r="F201">
        <v>10226422</v>
      </c>
      <c r="G201" t="s">
        <v>162</v>
      </c>
      <c r="H201" t="s">
        <v>191</v>
      </c>
      <c r="I201">
        <v>2.6</v>
      </c>
      <c r="J201" t="s">
        <v>823</v>
      </c>
      <c r="K201">
        <v>6497188</v>
      </c>
    </row>
    <row r="202" spans="1:11" x14ac:dyDescent="0.2">
      <c r="A202" t="s">
        <v>841</v>
      </c>
      <c r="B202" t="s">
        <v>112</v>
      </c>
      <c r="C202" t="s">
        <v>74</v>
      </c>
      <c r="D202">
        <v>1</v>
      </c>
      <c r="E202" t="s">
        <v>815</v>
      </c>
      <c r="F202">
        <v>10226425</v>
      </c>
      <c r="G202" t="s">
        <v>145</v>
      </c>
      <c r="H202" t="s">
        <v>191</v>
      </c>
      <c r="I202">
        <v>7.8</v>
      </c>
      <c r="J202" t="s">
        <v>823</v>
      </c>
      <c r="K202">
        <v>6497188</v>
      </c>
    </row>
    <row r="203" spans="1:11" x14ac:dyDescent="0.2">
      <c r="A203" t="s">
        <v>841</v>
      </c>
      <c r="B203" t="s">
        <v>112</v>
      </c>
      <c r="C203" t="s">
        <v>74</v>
      </c>
      <c r="D203">
        <v>1</v>
      </c>
      <c r="E203" t="s">
        <v>815</v>
      </c>
      <c r="F203">
        <v>10226428</v>
      </c>
      <c r="G203" t="s">
        <v>146</v>
      </c>
      <c r="H203" t="s">
        <v>191</v>
      </c>
      <c r="I203">
        <v>3.2</v>
      </c>
      <c r="J203" t="s">
        <v>823</v>
      </c>
      <c r="K203">
        <v>6497188</v>
      </c>
    </row>
    <row r="204" spans="1:11" x14ac:dyDescent="0.2">
      <c r="A204" t="s">
        <v>841</v>
      </c>
      <c r="B204" t="s">
        <v>112</v>
      </c>
      <c r="C204" t="s">
        <v>74</v>
      </c>
      <c r="D204">
        <v>1</v>
      </c>
      <c r="E204" t="s">
        <v>815</v>
      </c>
      <c r="F204">
        <v>10226429</v>
      </c>
      <c r="G204" t="s">
        <v>147</v>
      </c>
      <c r="H204" t="s">
        <v>191</v>
      </c>
      <c r="I204">
        <v>63.8</v>
      </c>
      <c r="J204" t="s">
        <v>823</v>
      </c>
      <c r="K204">
        <v>6497188</v>
      </c>
    </row>
    <row r="205" spans="1:11" x14ac:dyDescent="0.2">
      <c r="A205" t="s">
        <v>841</v>
      </c>
      <c r="B205" t="s">
        <v>112</v>
      </c>
      <c r="C205" t="s">
        <v>74</v>
      </c>
      <c r="D205">
        <v>1</v>
      </c>
      <c r="E205" t="s">
        <v>815</v>
      </c>
      <c r="F205">
        <v>10226435</v>
      </c>
      <c r="G205" t="s">
        <v>148</v>
      </c>
      <c r="H205" t="s">
        <v>191</v>
      </c>
      <c r="I205">
        <v>0.4</v>
      </c>
      <c r="J205" t="s">
        <v>823</v>
      </c>
      <c r="K205">
        <v>6497188</v>
      </c>
    </row>
    <row r="206" spans="1:11" x14ac:dyDescent="0.2">
      <c r="A206" t="s">
        <v>841</v>
      </c>
      <c r="B206" t="s">
        <v>112</v>
      </c>
      <c r="C206" t="s">
        <v>74</v>
      </c>
      <c r="D206">
        <v>1</v>
      </c>
      <c r="E206" t="s">
        <v>815</v>
      </c>
      <c r="F206">
        <v>10226439</v>
      </c>
      <c r="G206" t="s">
        <v>163</v>
      </c>
      <c r="H206" t="s">
        <v>191</v>
      </c>
      <c r="I206">
        <v>0.4</v>
      </c>
      <c r="J206" t="s">
        <v>823</v>
      </c>
      <c r="K206">
        <v>6497188</v>
      </c>
    </row>
    <row r="207" spans="1:11" x14ac:dyDescent="0.2">
      <c r="A207" t="s">
        <v>841</v>
      </c>
      <c r="B207" t="s">
        <v>112</v>
      </c>
      <c r="C207" t="s">
        <v>74</v>
      </c>
      <c r="D207">
        <v>1</v>
      </c>
      <c r="E207" t="s">
        <v>815</v>
      </c>
      <c r="F207">
        <v>10226442</v>
      </c>
      <c r="G207" t="s">
        <v>149</v>
      </c>
      <c r="H207" t="s">
        <v>191</v>
      </c>
      <c r="I207">
        <v>14.2</v>
      </c>
      <c r="J207" t="s">
        <v>823</v>
      </c>
      <c r="K207">
        <v>6497188</v>
      </c>
    </row>
    <row r="208" spans="1:11" x14ac:dyDescent="0.2">
      <c r="A208" t="s">
        <v>841</v>
      </c>
      <c r="B208" t="s">
        <v>112</v>
      </c>
      <c r="C208" t="s">
        <v>74</v>
      </c>
      <c r="D208">
        <v>1</v>
      </c>
      <c r="E208" t="s">
        <v>815</v>
      </c>
      <c r="F208">
        <v>10226447</v>
      </c>
      <c r="G208" t="s">
        <v>150</v>
      </c>
      <c r="H208" t="s">
        <v>191</v>
      </c>
      <c r="I208">
        <v>4</v>
      </c>
      <c r="J208" t="s">
        <v>823</v>
      </c>
      <c r="K208">
        <v>6497188</v>
      </c>
    </row>
    <row r="209" spans="1:11" x14ac:dyDescent="0.2">
      <c r="A209" t="s">
        <v>841</v>
      </c>
      <c r="B209" t="s">
        <v>112</v>
      </c>
      <c r="C209" t="s">
        <v>74</v>
      </c>
      <c r="D209">
        <v>1</v>
      </c>
      <c r="E209" t="s">
        <v>815</v>
      </c>
      <c r="F209">
        <v>10226452</v>
      </c>
      <c r="G209" t="s">
        <v>151</v>
      </c>
      <c r="H209" t="s">
        <v>191</v>
      </c>
      <c r="I209">
        <v>6.4</v>
      </c>
      <c r="J209" t="s">
        <v>823</v>
      </c>
      <c r="K209">
        <v>6497188</v>
      </c>
    </row>
    <row r="210" spans="1:11" x14ac:dyDescent="0.2">
      <c r="A210" t="s">
        <v>841</v>
      </c>
      <c r="B210" t="s">
        <v>112</v>
      </c>
      <c r="C210" t="s">
        <v>74</v>
      </c>
      <c r="D210">
        <v>1</v>
      </c>
      <c r="E210" t="s">
        <v>815</v>
      </c>
      <c r="F210">
        <v>10226454</v>
      </c>
      <c r="G210" t="s">
        <v>152</v>
      </c>
      <c r="H210" t="s">
        <v>191</v>
      </c>
      <c r="I210">
        <v>33.4</v>
      </c>
      <c r="J210" t="s">
        <v>823</v>
      </c>
      <c r="K210">
        <v>6497188</v>
      </c>
    </row>
    <row r="211" spans="1:11" x14ac:dyDescent="0.2">
      <c r="A211" t="s">
        <v>841</v>
      </c>
      <c r="B211" t="s">
        <v>112</v>
      </c>
      <c r="C211" t="s">
        <v>74</v>
      </c>
      <c r="D211">
        <v>1</v>
      </c>
      <c r="E211" t="s">
        <v>815</v>
      </c>
      <c r="F211">
        <v>10226455</v>
      </c>
      <c r="G211" t="s">
        <v>164</v>
      </c>
      <c r="H211" t="s">
        <v>191</v>
      </c>
      <c r="I211">
        <v>0.8</v>
      </c>
      <c r="J211" t="s">
        <v>823</v>
      </c>
      <c r="K211">
        <v>6497188</v>
      </c>
    </row>
    <row r="212" spans="1:11" x14ac:dyDescent="0.2">
      <c r="A212" t="s">
        <v>841</v>
      </c>
      <c r="B212" t="s">
        <v>112</v>
      </c>
      <c r="C212" t="s">
        <v>74</v>
      </c>
      <c r="D212">
        <v>1</v>
      </c>
      <c r="E212" t="s">
        <v>815</v>
      </c>
      <c r="F212">
        <v>10231474</v>
      </c>
      <c r="G212" t="s">
        <v>176</v>
      </c>
      <c r="H212" t="s">
        <v>191</v>
      </c>
      <c r="I212">
        <v>0.1</v>
      </c>
      <c r="J212" t="s">
        <v>823</v>
      </c>
      <c r="K212">
        <v>6497188</v>
      </c>
    </row>
    <row r="213" spans="1:11" x14ac:dyDescent="0.2">
      <c r="A213" t="s">
        <v>841</v>
      </c>
      <c r="B213" t="s">
        <v>112</v>
      </c>
      <c r="C213" t="s">
        <v>74</v>
      </c>
      <c r="D213">
        <v>1</v>
      </c>
      <c r="E213" t="s">
        <v>815</v>
      </c>
      <c r="F213">
        <v>10231475</v>
      </c>
      <c r="G213" t="s">
        <v>177</v>
      </c>
      <c r="H213" t="s">
        <v>191</v>
      </c>
      <c r="I213">
        <v>0.1</v>
      </c>
      <c r="J213" t="s">
        <v>823</v>
      </c>
      <c r="K213">
        <v>6497188</v>
      </c>
    </row>
    <row r="214" spans="1:11" x14ac:dyDescent="0.2">
      <c r="A214" t="s">
        <v>841</v>
      </c>
      <c r="B214" t="s">
        <v>112</v>
      </c>
      <c r="C214" t="s">
        <v>74</v>
      </c>
      <c r="D214">
        <v>1</v>
      </c>
      <c r="E214" t="s">
        <v>815</v>
      </c>
      <c r="F214">
        <v>10231484</v>
      </c>
      <c r="G214" t="s">
        <v>166</v>
      </c>
      <c r="H214" t="s">
        <v>191</v>
      </c>
      <c r="I214">
        <v>0.1</v>
      </c>
      <c r="J214" t="s">
        <v>823</v>
      </c>
      <c r="K214">
        <v>6497188</v>
      </c>
    </row>
    <row r="215" spans="1:11" x14ac:dyDescent="0.2">
      <c r="A215" t="s">
        <v>841</v>
      </c>
      <c r="B215" t="s">
        <v>112</v>
      </c>
      <c r="C215" t="s">
        <v>74</v>
      </c>
      <c r="D215">
        <v>1</v>
      </c>
      <c r="E215" t="s">
        <v>815</v>
      </c>
      <c r="F215">
        <v>10242280</v>
      </c>
      <c r="G215" t="s">
        <v>154</v>
      </c>
      <c r="H215" t="s">
        <v>191</v>
      </c>
      <c r="I215">
        <v>0.2</v>
      </c>
      <c r="J215" t="s">
        <v>823</v>
      </c>
      <c r="K215">
        <v>6497188</v>
      </c>
    </row>
    <row r="216" spans="1:11" x14ac:dyDescent="0.2">
      <c r="A216" t="s">
        <v>841</v>
      </c>
      <c r="B216" t="s">
        <v>112</v>
      </c>
      <c r="C216" t="s">
        <v>74</v>
      </c>
      <c r="D216">
        <v>1</v>
      </c>
      <c r="E216" t="s">
        <v>815</v>
      </c>
      <c r="F216">
        <v>50066125</v>
      </c>
      <c r="G216" t="s">
        <v>167</v>
      </c>
      <c r="H216" t="s">
        <v>191</v>
      </c>
      <c r="I216">
        <v>1</v>
      </c>
      <c r="J216" t="s">
        <v>823</v>
      </c>
      <c r="K216">
        <v>6497188</v>
      </c>
    </row>
    <row r="217" spans="1:11" x14ac:dyDescent="0.2">
      <c r="A217" t="s">
        <v>841</v>
      </c>
      <c r="B217" t="s">
        <v>112</v>
      </c>
      <c r="C217" t="s">
        <v>74</v>
      </c>
      <c r="D217">
        <v>1</v>
      </c>
      <c r="E217" t="s">
        <v>815</v>
      </c>
      <c r="F217">
        <v>50066133</v>
      </c>
      <c r="G217" t="s">
        <v>168</v>
      </c>
      <c r="H217" t="s">
        <v>191</v>
      </c>
      <c r="I217">
        <v>1</v>
      </c>
      <c r="J217" t="s">
        <v>823</v>
      </c>
      <c r="K217">
        <v>6497188</v>
      </c>
    </row>
    <row r="218" spans="1:11" x14ac:dyDescent="0.2">
      <c r="A218" t="s">
        <v>841</v>
      </c>
      <c r="B218" t="s">
        <v>112</v>
      </c>
      <c r="C218" t="s">
        <v>74</v>
      </c>
      <c r="D218">
        <v>1</v>
      </c>
      <c r="E218" t="s">
        <v>815</v>
      </c>
      <c r="F218">
        <v>50066135</v>
      </c>
      <c r="G218" t="s">
        <v>178</v>
      </c>
      <c r="H218" t="s">
        <v>191</v>
      </c>
      <c r="I218">
        <v>1</v>
      </c>
      <c r="J218" t="s">
        <v>823</v>
      </c>
      <c r="K218">
        <v>6497188</v>
      </c>
    </row>
    <row r="219" spans="1:11" x14ac:dyDescent="0.2">
      <c r="A219" t="s">
        <v>841</v>
      </c>
      <c r="B219" t="s">
        <v>112</v>
      </c>
      <c r="C219" t="s">
        <v>74</v>
      </c>
      <c r="D219">
        <v>1</v>
      </c>
      <c r="E219" t="s">
        <v>815</v>
      </c>
      <c r="F219">
        <v>50066417</v>
      </c>
      <c r="G219" t="s">
        <v>213</v>
      </c>
      <c r="H219" t="s">
        <v>191</v>
      </c>
      <c r="I219">
        <v>12</v>
      </c>
      <c r="J219" t="s">
        <v>823</v>
      </c>
      <c r="K219">
        <v>6497188</v>
      </c>
    </row>
    <row r="220" spans="1:11" x14ac:dyDescent="0.2">
      <c r="A220" t="s">
        <v>841</v>
      </c>
      <c r="B220" t="s">
        <v>112</v>
      </c>
      <c r="C220" t="s">
        <v>74</v>
      </c>
      <c r="D220">
        <v>1</v>
      </c>
      <c r="E220" t="s">
        <v>815</v>
      </c>
      <c r="F220">
        <v>50066514</v>
      </c>
      <c r="G220" t="s">
        <v>811</v>
      </c>
      <c r="H220" t="s">
        <v>191</v>
      </c>
      <c r="I220">
        <v>12</v>
      </c>
      <c r="J220" t="s">
        <v>823</v>
      </c>
      <c r="K220">
        <v>6497188</v>
      </c>
    </row>
    <row r="221" spans="1:11" x14ac:dyDescent="0.2">
      <c r="A221" t="s">
        <v>841</v>
      </c>
      <c r="B221" t="s">
        <v>112</v>
      </c>
      <c r="C221" t="s">
        <v>74</v>
      </c>
      <c r="D221">
        <v>1</v>
      </c>
      <c r="E221" t="s">
        <v>815</v>
      </c>
      <c r="F221">
        <v>10226402</v>
      </c>
      <c r="G221" t="s">
        <v>156</v>
      </c>
      <c r="H221" t="s">
        <v>191</v>
      </c>
      <c r="I221">
        <v>6.7</v>
      </c>
      <c r="J221" t="s">
        <v>823</v>
      </c>
      <c r="K221">
        <v>6497188</v>
      </c>
    </row>
    <row r="222" spans="1:11" x14ac:dyDescent="0.2">
      <c r="A222" t="s">
        <v>842</v>
      </c>
      <c r="B222" t="s">
        <v>112</v>
      </c>
      <c r="C222" t="s">
        <v>74</v>
      </c>
      <c r="D222">
        <v>1</v>
      </c>
      <c r="E222" t="s">
        <v>815</v>
      </c>
      <c r="F222">
        <v>10224293</v>
      </c>
      <c r="G222" t="s">
        <v>113</v>
      </c>
      <c r="H222" t="s">
        <v>196</v>
      </c>
      <c r="I222">
        <v>2.2000000000000002</v>
      </c>
      <c r="J222" t="s">
        <v>823</v>
      </c>
      <c r="K222">
        <v>6497428</v>
      </c>
    </row>
    <row r="223" spans="1:11" x14ac:dyDescent="0.2">
      <c r="A223" t="s">
        <v>842</v>
      </c>
      <c r="B223" t="s">
        <v>112</v>
      </c>
      <c r="C223" t="s">
        <v>74</v>
      </c>
      <c r="D223">
        <v>1</v>
      </c>
      <c r="E223" t="s">
        <v>815</v>
      </c>
      <c r="F223">
        <v>10226405</v>
      </c>
      <c r="G223" t="s">
        <v>115</v>
      </c>
      <c r="H223" t="s">
        <v>196</v>
      </c>
      <c r="I223">
        <v>15.8</v>
      </c>
      <c r="J223" t="s">
        <v>823</v>
      </c>
      <c r="K223">
        <v>6497428</v>
      </c>
    </row>
    <row r="224" spans="1:11" x14ac:dyDescent="0.2">
      <c r="A224" t="s">
        <v>842</v>
      </c>
      <c r="B224" t="s">
        <v>112</v>
      </c>
      <c r="C224" t="s">
        <v>74</v>
      </c>
      <c r="D224">
        <v>1</v>
      </c>
      <c r="E224" t="s">
        <v>815</v>
      </c>
      <c r="F224">
        <v>10223657</v>
      </c>
      <c r="G224" t="s">
        <v>116</v>
      </c>
      <c r="H224" t="s">
        <v>196</v>
      </c>
      <c r="I224">
        <v>3.1</v>
      </c>
      <c r="J224" t="s">
        <v>823</v>
      </c>
      <c r="K224">
        <v>6497428</v>
      </c>
    </row>
    <row r="225" spans="1:11" x14ac:dyDescent="0.2">
      <c r="A225" t="s">
        <v>842</v>
      </c>
      <c r="B225" t="s">
        <v>112</v>
      </c>
      <c r="C225" t="s">
        <v>74</v>
      </c>
      <c r="D225">
        <v>1</v>
      </c>
      <c r="E225" t="s">
        <v>815</v>
      </c>
      <c r="F225">
        <v>10198819</v>
      </c>
      <c r="G225" t="s">
        <v>117</v>
      </c>
      <c r="H225" t="s">
        <v>196</v>
      </c>
      <c r="I225">
        <v>0.9</v>
      </c>
      <c r="J225" t="s">
        <v>823</v>
      </c>
      <c r="K225">
        <v>6497428</v>
      </c>
    </row>
    <row r="226" spans="1:11" x14ac:dyDescent="0.2">
      <c r="A226" t="s">
        <v>842</v>
      </c>
      <c r="B226" t="s">
        <v>112</v>
      </c>
      <c r="C226" t="s">
        <v>74</v>
      </c>
      <c r="D226">
        <v>1</v>
      </c>
      <c r="E226" t="s">
        <v>815</v>
      </c>
      <c r="F226">
        <v>10226361</v>
      </c>
      <c r="G226" t="s">
        <v>118</v>
      </c>
      <c r="H226" t="s">
        <v>196</v>
      </c>
      <c r="I226">
        <v>0.6</v>
      </c>
      <c r="J226" t="s">
        <v>823</v>
      </c>
      <c r="K226">
        <v>6497428</v>
      </c>
    </row>
    <row r="227" spans="1:11" x14ac:dyDescent="0.2">
      <c r="A227" t="s">
        <v>842</v>
      </c>
      <c r="B227" t="s">
        <v>112</v>
      </c>
      <c r="C227" t="s">
        <v>74</v>
      </c>
      <c r="D227">
        <v>1</v>
      </c>
      <c r="E227" t="s">
        <v>815</v>
      </c>
      <c r="F227">
        <v>10226415</v>
      </c>
      <c r="G227" t="s">
        <v>119</v>
      </c>
      <c r="H227" t="s">
        <v>196</v>
      </c>
      <c r="I227">
        <v>1.1000000000000001</v>
      </c>
      <c r="J227" t="s">
        <v>823</v>
      </c>
      <c r="K227">
        <v>6497428</v>
      </c>
    </row>
    <row r="228" spans="1:11" x14ac:dyDescent="0.2">
      <c r="A228" t="s">
        <v>842</v>
      </c>
      <c r="B228" t="s">
        <v>112</v>
      </c>
      <c r="C228" t="s">
        <v>74</v>
      </c>
      <c r="D228">
        <v>1</v>
      </c>
      <c r="E228" t="s">
        <v>815</v>
      </c>
      <c r="F228">
        <v>10226441</v>
      </c>
      <c r="G228" t="s">
        <v>171</v>
      </c>
      <c r="H228" t="s">
        <v>196</v>
      </c>
      <c r="I228">
        <v>0.2</v>
      </c>
      <c r="J228" t="s">
        <v>823</v>
      </c>
      <c r="K228">
        <v>6497428</v>
      </c>
    </row>
    <row r="229" spans="1:11" x14ac:dyDescent="0.2">
      <c r="A229" t="s">
        <v>842</v>
      </c>
      <c r="B229" t="s">
        <v>112</v>
      </c>
      <c r="C229" t="s">
        <v>74</v>
      </c>
      <c r="D229">
        <v>1</v>
      </c>
      <c r="E229" t="s">
        <v>815</v>
      </c>
      <c r="F229">
        <v>10226399</v>
      </c>
      <c r="G229" t="s">
        <v>120</v>
      </c>
      <c r="H229" t="s">
        <v>196</v>
      </c>
      <c r="I229">
        <v>4.8</v>
      </c>
      <c r="J229" t="s">
        <v>823</v>
      </c>
      <c r="K229">
        <v>6497428</v>
      </c>
    </row>
    <row r="230" spans="1:11" x14ac:dyDescent="0.2">
      <c r="A230" t="s">
        <v>842</v>
      </c>
      <c r="B230" t="s">
        <v>112</v>
      </c>
      <c r="C230" t="s">
        <v>74</v>
      </c>
      <c r="D230">
        <v>1</v>
      </c>
      <c r="E230" t="s">
        <v>815</v>
      </c>
      <c r="F230">
        <v>50994931</v>
      </c>
      <c r="G230" t="s">
        <v>121</v>
      </c>
      <c r="H230" t="s">
        <v>196</v>
      </c>
      <c r="I230">
        <v>156</v>
      </c>
      <c r="J230" t="s">
        <v>823</v>
      </c>
      <c r="K230">
        <v>6497428</v>
      </c>
    </row>
    <row r="231" spans="1:11" x14ac:dyDescent="0.2">
      <c r="A231" t="s">
        <v>842</v>
      </c>
      <c r="B231" t="s">
        <v>112</v>
      </c>
      <c r="C231" t="s">
        <v>74</v>
      </c>
      <c r="D231">
        <v>1</v>
      </c>
      <c r="E231" t="s">
        <v>815</v>
      </c>
      <c r="F231">
        <v>50065405</v>
      </c>
      <c r="G231" t="s">
        <v>160</v>
      </c>
      <c r="H231" t="s">
        <v>196</v>
      </c>
      <c r="I231">
        <v>48</v>
      </c>
      <c r="J231" t="s">
        <v>823</v>
      </c>
      <c r="K231">
        <v>6497428</v>
      </c>
    </row>
    <row r="232" spans="1:11" x14ac:dyDescent="0.2">
      <c r="A232" t="s">
        <v>842</v>
      </c>
      <c r="B232" t="s">
        <v>112</v>
      </c>
      <c r="C232" t="s">
        <v>74</v>
      </c>
      <c r="D232">
        <v>1</v>
      </c>
      <c r="E232" t="s">
        <v>815</v>
      </c>
      <c r="F232">
        <v>50065407</v>
      </c>
      <c r="G232" t="s">
        <v>161</v>
      </c>
      <c r="H232" t="s">
        <v>196</v>
      </c>
      <c r="I232">
        <v>40</v>
      </c>
      <c r="J232" t="s">
        <v>823</v>
      </c>
      <c r="K232">
        <v>6497428</v>
      </c>
    </row>
    <row r="233" spans="1:11" x14ac:dyDescent="0.2">
      <c r="A233" t="s">
        <v>842</v>
      </c>
      <c r="B233" t="s">
        <v>112</v>
      </c>
      <c r="C233" t="s">
        <v>74</v>
      </c>
      <c r="D233">
        <v>1</v>
      </c>
      <c r="E233" t="s">
        <v>815</v>
      </c>
      <c r="F233">
        <v>10242292</v>
      </c>
      <c r="G233" t="s">
        <v>122</v>
      </c>
      <c r="H233" t="s">
        <v>196</v>
      </c>
      <c r="I233">
        <v>12.6</v>
      </c>
      <c r="J233" t="s">
        <v>823</v>
      </c>
      <c r="K233">
        <v>6497428</v>
      </c>
    </row>
    <row r="234" spans="1:11" x14ac:dyDescent="0.2">
      <c r="A234" t="s">
        <v>842</v>
      </c>
      <c r="B234" t="s">
        <v>112</v>
      </c>
      <c r="C234" t="s">
        <v>74</v>
      </c>
      <c r="D234">
        <v>1</v>
      </c>
      <c r="E234" t="s">
        <v>815</v>
      </c>
      <c r="F234">
        <v>10242293</v>
      </c>
      <c r="G234" t="s">
        <v>123</v>
      </c>
      <c r="H234" t="s">
        <v>196</v>
      </c>
      <c r="I234">
        <v>0.4</v>
      </c>
      <c r="J234" t="s">
        <v>823</v>
      </c>
      <c r="K234">
        <v>6497428</v>
      </c>
    </row>
    <row r="235" spans="1:11" x14ac:dyDescent="0.2">
      <c r="A235" t="s">
        <v>842</v>
      </c>
      <c r="B235" t="s">
        <v>112</v>
      </c>
      <c r="C235" t="s">
        <v>74</v>
      </c>
      <c r="D235">
        <v>1</v>
      </c>
      <c r="E235" t="s">
        <v>815</v>
      </c>
      <c r="F235">
        <v>50994945</v>
      </c>
      <c r="G235" t="s">
        <v>124</v>
      </c>
      <c r="H235" t="s">
        <v>196</v>
      </c>
      <c r="I235">
        <v>204</v>
      </c>
      <c r="J235" t="s">
        <v>823</v>
      </c>
      <c r="K235">
        <v>6497428</v>
      </c>
    </row>
    <row r="236" spans="1:11" x14ac:dyDescent="0.2">
      <c r="A236" t="s">
        <v>842</v>
      </c>
      <c r="B236" t="s">
        <v>112</v>
      </c>
      <c r="C236" t="s">
        <v>74</v>
      </c>
      <c r="D236">
        <v>1</v>
      </c>
      <c r="E236" t="s">
        <v>815</v>
      </c>
      <c r="F236">
        <v>10247603</v>
      </c>
      <c r="G236" t="s">
        <v>125</v>
      </c>
      <c r="H236" t="s">
        <v>196</v>
      </c>
      <c r="I236">
        <v>4.0999999999999996</v>
      </c>
      <c r="J236" t="s">
        <v>823</v>
      </c>
      <c r="K236">
        <v>6497428</v>
      </c>
    </row>
    <row r="237" spans="1:11" x14ac:dyDescent="0.2">
      <c r="A237" t="s">
        <v>842</v>
      </c>
      <c r="B237" t="s">
        <v>112</v>
      </c>
      <c r="C237" t="s">
        <v>74</v>
      </c>
      <c r="D237">
        <v>1</v>
      </c>
      <c r="E237" t="s">
        <v>815</v>
      </c>
      <c r="F237">
        <v>50065430</v>
      </c>
      <c r="G237" t="s">
        <v>193</v>
      </c>
      <c r="H237" t="s">
        <v>196</v>
      </c>
      <c r="I237">
        <v>2</v>
      </c>
      <c r="J237" t="s">
        <v>823</v>
      </c>
      <c r="K237">
        <v>6497428</v>
      </c>
    </row>
    <row r="238" spans="1:11" x14ac:dyDescent="0.2">
      <c r="A238" t="s">
        <v>842</v>
      </c>
      <c r="B238" t="s">
        <v>112</v>
      </c>
      <c r="C238" t="s">
        <v>74</v>
      </c>
      <c r="D238">
        <v>1</v>
      </c>
      <c r="E238" t="s">
        <v>815</v>
      </c>
      <c r="F238">
        <v>50065431</v>
      </c>
      <c r="G238" t="s">
        <v>204</v>
      </c>
      <c r="H238" t="s">
        <v>196</v>
      </c>
      <c r="I238">
        <v>3</v>
      </c>
      <c r="J238" t="s">
        <v>823</v>
      </c>
      <c r="K238">
        <v>6497428</v>
      </c>
    </row>
    <row r="239" spans="1:11" x14ac:dyDescent="0.2">
      <c r="A239" t="s">
        <v>842</v>
      </c>
      <c r="B239" t="s">
        <v>112</v>
      </c>
      <c r="C239" t="s">
        <v>74</v>
      </c>
      <c r="D239">
        <v>1</v>
      </c>
      <c r="E239" t="s">
        <v>815</v>
      </c>
      <c r="F239">
        <v>50065432</v>
      </c>
      <c r="G239" t="s">
        <v>205</v>
      </c>
      <c r="H239" t="s">
        <v>196</v>
      </c>
      <c r="I239">
        <v>2</v>
      </c>
      <c r="J239" t="s">
        <v>823</v>
      </c>
      <c r="K239">
        <v>6497428</v>
      </c>
    </row>
    <row r="240" spans="1:11" x14ac:dyDescent="0.2">
      <c r="A240" t="s">
        <v>842</v>
      </c>
      <c r="B240" t="s">
        <v>112</v>
      </c>
      <c r="C240" t="s">
        <v>74</v>
      </c>
      <c r="D240">
        <v>1</v>
      </c>
      <c r="E240" t="s">
        <v>815</v>
      </c>
      <c r="F240">
        <v>10208004</v>
      </c>
      <c r="G240" t="s">
        <v>126</v>
      </c>
      <c r="H240" t="s">
        <v>196</v>
      </c>
      <c r="I240">
        <v>1.2</v>
      </c>
      <c r="J240" t="s">
        <v>823</v>
      </c>
      <c r="K240">
        <v>6497428</v>
      </c>
    </row>
    <row r="241" spans="1:11" x14ac:dyDescent="0.2">
      <c r="A241" t="s">
        <v>842</v>
      </c>
      <c r="B241" t="s">
        <v>112</v>
      </c>
      <c r="C241" t="s">
        <v>74</v>
      </c>
      <c r="D241">
        <v>1</v>
      </c>
      <c r="E241" t="s">
        <v>815</v>
      </c>
      <c r="F241">
        <v>10208167</v>
      </c>
      <c r="G241" t="s">
        <v>127</v>
      </c>
      <c r="H241" t="s">
        <v>196</v>
      </c>
      <c r="I241">
        <v>3.9</v>
      </c>
      <c r="J241" t="s">
        <v>823</v>
      </c>
      <c r="K241">
        <v>6497428</v>
      </c>
    </row>
    <row r="242" spans="1:11" x14ac:dyDescent="0.2">
      <c r="A242" t="s">
        <v>842</v>
      </c>
      <c r="B242" t="s">
        <v>112</v>
      </c>
      <c r="C242" t="s">
        <v>74</v>
      </c>
      <c r="D242">
        <v>1</v>
      </c>
      <c r="E242" t="s">
        <v>815</v>
      </c>
      <c r="F242">
        <v>10215610</v>
      </c>
      <c r="G242" t="s">
        <v>128</v>
      </c>
      <c r="H242" t="s">
        <v>196</v>
      </c>
      <c r="I242">
        <v>36.799999999999997</v>
      </c>
      <c r="J242" t="s">
        <v>823</v>
      </c>
      <c r="K242">
        <v>6497428</v>
      </c>
    </row>
    <row r="243" spans="1:11" x14ac:dyDescent="0.2">
      <c r="A243" t="s">
        <v>842</v>
      </c>
      <c r="B243" t="s">
        <v>112</v>
      </c>
      <c r="C243" t="s">
        <v>74</v>
      </c>
      <c r="D243">
        <v>1</v>
      </c>
      <c r="E243" t="s">
        <v>815</v>
      </c>
      <c r="F243">
        <v>10215641</v>
      </c>
      <c r="G243" t="s">
        <v>129</v>
      </c>
      <c r="H243" t="s">
        <v>196</v>
      </c>
      <c r="I243">
        <v>4.5999999999999996</v>
      </c>
      <c r="J243" t="s">
        <v>823</v>
      </c>
      <c r="K243">
        <v>6497428</v>
      </c>
    </row>
    <row r="244" spans="1:11" x14ac:dyDescent="0.2">
      <c r="A244" t="s">
        <v>842</v>
      </c>
      <c r="B244" t="s">
        <v>112</v>
      </c>
      <c r="C244" t="s">
        <v>74</v>
      </c>
      <c r="D244">
        <v>1</v>
      </c>
      <c r="E244" t="s">
        <v>815</v>
      </c>
      <c r="F244">
        <v>10223108</v>
      </c>
      <c r="G244" t="s">
        <v>130</v>
      </c>
      <c r="H244" t="s">
        <v>196</v>
      </c>
      <c r="I244">
        <v>3</v>
      </c>
      <c r="J244" t="s">
        <v>823</v>
      </c>
      <c r="K244">
        <v>6497428</v>
      </c>
    </row>
    <row r="245" spans="1:11" x14ac:dyDescent="0.2">
      <c r="A245" t="s">
        <v>842</v>
      </c>
      <c r="B245" t="s">
        <v>112</v>
      </c>
      <c r="C245" t="s">
        <v>74</v>
      </c>
      <c r="D245">
        <v>1</v>
      </c>
      <c r="E245" t="s">
        <v>815</v>
      </c>
      <c r="F245">
        <v>10224472</v>
      </c>
      <c r="G245" t="s">
        <v>131</v>
      </c>
      <c r="H245" t="s">
        <v>196</v>
      </c>
      <c r="I245">
        <v>0.2</v>
      </c>
      <c r="J245" t="s">
        <v>823</v>
      </c>
      <c r="K245">
        <v>6497428</v>
      </c>
    </row>
    <row r="246" spans="1:11" x14ac:dyDescent="0.2">
      <c r="A246" t="s">
        <v>842</v>
      </c>
      <c r="B246" t="s">
        <v>112</v>
      </c>
      <c r="C246" t="s">
        <v>74</v>
      </c>
      <c r="D246">
        <v>1</v>
      </c>
      <c r="E246" t="s">
        <v>815</v>
      </c>
      <c r="F246">
        <v>10226339</v>
      </c>
      <c r="G246" t="s">
        <v>173</v>
      </c>
      <c r="H246" t="s">
        <v>196</v>
      </c>
      <c r="I246">
        <v>1.5</v>
      </c>
      <c r="J246" t="s">
        <v>823</v>
      </c>
      <c r="K246">
        <v>6497428</v>
      </c>
    </row>
    <row r="247" spans="1:11" x14ac:dyDescent="0.2">
      <c r="A247" t="s">
        <v>842</v>
      </c>
      <c r="B247" t="s">
        <v>112</v>
      </c>
      <c r="C247" t="s">
        <v>74</v>
      </c>
      <c r="D247">
        <v>1</v>
      </c>
      <c r="E247" t="s">
        <v>815</v>
      </c>
      <c r="F247">
        <v>10226359</v>
      </c>
      <c r="G247" t="s">
        <v>132</v>
      </c>
      <c r="H247" t="s">
        <v>196</v>
      </c>
      <c r="I247">
        <v>2.6</v>
      </c>
      <c r="J247" t="s">
        <v>823</v>
      </c>
      <c r="K247">
        <v>6497428</v>
      </c>
    </row>
    <row r="248" spans="1:11" x14ac:dyDescent="0.2">
      <c r="A248" t="s">
        <v>842</v>
      </c>
      <c r="B248" t="s">
        <v>112</v>
      </c>
      <c r="C248" t="s">
        <v>74</v>
      </c>
      <c r="D248">
        <v>1</v>
      </c>
      <c r="E248" t="s">
        <v>815</v>
      </c>
      <c r="F248">
        <v>10226367</v>
      </c>
      <c r="G248" t="s">
        <v>133</v>
      </c>
      <c r="H248" t="s">
        <v>196</v>
      </c>
      <c r="I248">
        <v>2.4</v>
      </c>
      <c r="J248" t="s">
        <v>823</v>
      </c>
      <c r="K248">
        <v>6497428</v>
      </c>
    </row>
    <row r="249" spans="1:11" x14ac:dyDescent="0.2">
      <c r="A249" t="s">
        <v>842</v>
      </c>
      <c r="B249" t="s">
        <v>112</v>
      </c>
      <c r="C249" t="s">
        <v>74</v>
      </c>
      <c r="D249">
        <v>1</v>
      </c>
      <c r="E249" t="s">
        <v>815</v>
      </c>
      <c r="F249">
        <v>10226368</v>
      </c>
      <c r="G249" t="s">
        <v>134</v>
      </c>
      <c r="H249" t="s">
        <v>196</v>
      </c>
      <c r="I249">
        <v>3.5</v>
      </c>
      <c r="J249" t="s">
        <v>823</v>
      </c>
      <c r="K249">
        <v>6497428</v>
      </c>
    </row>
    <row r="250" spans="1:11" x14ac:dyDescent="0.2">
      <c r="A250" t="s">
        <v>842</v>
      </c>
      <c r="B250" t="s">
        <v>112</v>
      </c>
      <c r="C250" t="s">
        <v>74</v>
      </c>
      <c r="D250">
        <v>1</v>
      </c>
      <c r="E250" t="s">
        <v>815</v>
      </c>
      <c r="F250">
        <v>10226373</v>
      </c>
      <c r="G250" t="s">
        <v>135</v>
      </c>
      <c r="H250" t="s">
        <v>196</v>
      </c>
      <c r="I250">
        <v>7.1</v>
      </c>
      <c r="J250" t="s">
        <v>823</v>
      </c>
      <c r="K250">
        <v>6497428</v>
      </c>
    </row>
    <row r="251" spans="1:11" x14ac:dyDescent="0.2">
      <c r="A251" t="s">
        <v>842</v>
      </c>
      <c r="B251" t="s">
        <v>112</v>
      </c>
      <c r="C251" t="s">
        <v>74</v>
      </c>
      <c r="D251">
        <v>1</v>
      </c>
      <c r="E251" t="s">
        <v>815</v>
      </c>
      <c r="F251">
        <v>10226377</v>
      </c>
      <c r="G251" t="s">
        <v>136</v>
      </c>
      <c r="H251" t="s">
        <v>196</v>
      </c>
      <c r="I251">
        <v>1.6</v>
      </c>
      <c r="J251" t="s">
        <v>823</v>
      </c>
      <c r="K251">
        <v>6497428</v>
      </c>
    </row>
    <row r="252" spans="1:11" x14ac:dyDescent="0.2">
      <c r="A252" t="s">
        <v>842</v>
      </c>
      <c r="B252" t="s">
        <v>112</v>
      </c>
      <c r="C252" t="s">
        <v>74</v>
      </c>
      <c r="D252">
        <v>1</v>
      </c>
      <c r="E252" t="s">
        <v>815</v>
      </c>
      <c r="F252">
        <v>10226385</v>
      </c>
      <c r="G252" t="s">
        <v>137</v>
      </c>
      <c r="H252" t="s">
        <v>196</v>
      </c>
      <c r="I252">
        <v>0.4</v>
      </c>
      <c r="J252" t="s">
        <v>823</v>
      </c>
      <c r="K252">
        <v>6497428</v>
      </c>
    </row>
    <row r="253" spans="1:11" x14ac:dyDescent="0.2">
      <c r="A253" t="s">
        <v>842</v>
      </c>
      <c r="B253" t="s">
        <v>112</v>
      </c>
      <c r="C253" t="s">
        <v>74</v>
      </c>
      <c r="D253">
        <v>1</v>
      </c>
      <c r="E253" t="s">
        <v>815</v>
      </c>
      <c r="F253">
        <v>10226388</v>
      </c>
      <c r="G253" t="s">
        <v>138</v>
      </c>
      <c r="H253" t="s">
        <v>196</v>
      </c>
      <c r="I253">
        <v>2</v>
      </c>
      <c r="J253" t="s">
        <v>823</v>
      </c>
      <c r="K253">
        <v>6497428</v>
      </c>
    </row>
    <row r="254" spans="1:11" x14ac:dyDescent="0.2">
      <c r="A254" t="s">
        <v>842</v>
      </c>
      <c r="B254" t="s">
        <v>112</v>
      </c>
      <c r="C254" t="s">
        <v>74</v>
      </c>
      <c r="D254">
        <v>1</v>
      </c>
      <c r="E254" t="s">
        <v>815</v>
      </c>
      <c r="F254">
        <v>10226392</v>
      </c>
      <c r="G254" t="s">
        <v>139</v>
      </c>
      <c r="H254" t="s">
        <v>196</v>
      </c>
      <c r="I254">
        <v>0.9</v>
      </c>
      <c r="J254" t="s">
        <v>823</v>
      </c>
      <c r="K254">
        <v>6497428</v>
      </c>
    </row>
    <row r="255" spans="1:11" x14ac:dyDescent="0.2">
      <c r="A255" t="s">
        <v>842</v>
      </c>
      <c r="B255" t="s">
        <v>112</v>
      </c>
      <c r="C255" t="s">
        <v>74</v>
      </c>
      <c r="D255">
        <v>1</v>
      </c>
      <c r="E255" t="s">
        <v>815</v>
      </c>
      <c r="F255">
        <v>10226398</v>
      </c>
      <c r="G255" t="s">
        <v>140</v>
      </c>
      <c r="H255" t="s">
        <v>196</v>
      </c>
      <c r="I255">
        <v>3.8</v>
      </c>
      <c r="J255" t="s">
        <v>823</v>
      </c>
      <c r="K255">
        <v>6497428</v>
      </c>
    </row>
    <row r="256" spans="1:11" x14ac:dyDescent="0.2">
      <c r="A256" t="s">
        <v>842</v>
      </c>
      <c r="B256" t="s">
        <v>112</v>
      </c>
      <c r="C256" t="s">
        <v>74</v>
      </c>
      <c r="D256">
        <v>1</v>
      </c>
      <c r="E256" t="s">
        <v>815</v>
      </c>
      <c r="F256">
        <v>10226403</v>
      </c>
      <c r="G256" t="s">
        <v>141</v>
      </c>
      <c r="H256" t="s">
        <v>196</v>
      </c>
      <c r="I256">
        <v>5.8</v>
      </c>
      <c r="J256" t="s">
        <v>823</v>
      </c>
      <c r="K256">
        <v>6497428</v>
      </c>
    </row>
    <row r="257" spans="1:11" x14ac:dyDescent="0.2">
      <c r="A257" t="s">
        <v>842</v>
      </c>
      <c r="B257" t="s">
        <v>112</v>
      </c>
      <c r="C257" t="s">
        <v>74</v>
      </c>
      <c r="D257">
        <v>1</v>
      </c>
      <c r="E257" t="s">
        <v>815</v>
      </c>
      <c r="F257">
        <v>10226417</v>
      </c>
      <c r="G257" t="s">
        <v>143</v>
      </c>
      <c r="H257" t="s">
        <v>196</v>
      </c>
      <c r="I257">
        <v>10.8</v>
      </c>
      <c r="J257" t="s">
        <v>823</v>
      </c>
      <c r="K257">
        <v>6497428</v>
      </c>
    </row>
    <row r="258" spans="1:11" x14ac:dyDescent="0.2">
      <c r="A258" t="s">
        <v>842</v>
      </c>
      <c r="B258" t="s">
        <v>112</v>
      </c>
      <c r="C258" t="s">
        <v>74</v>
      </c>
      <c r="D258">
        <v>1</v>
      </c>
      <c r="E258" t="s">
        <v>815</v>
      </c>
      <c r="F258">
        <v>10226418</v>
      </c>
      <c r="G258" t="s">
        <v>144</v>
      </c>
      <c r="H258" t="s">
        <v>196</v>
      </c>
      <c r="I258">
        <v>0.4</v>
      </c>
      <c r="J258" t="s">
        <v>823</v>
      </c>
      <c r="K258">
        <v>6497428</v>
      </c>
    </row>
    <row r="259" spans="1:11" x14ac:dyDescent="0.2">
      <c r="A259" t="s">
        <v>842</v>
      </c>
      <c r="B259" t="s">
        <v>112</v>
      </c>
      <c r="C259" t="s">
        <v>74</v>
      </c>
      <c r="D259">
        <v>1</v>
      </c>
      <c r="E259" t="s">
        <v>815</v>
      </c>
      <c r="F259">
        <v>10226420</v>
      </c>
      <c r="G259" t="s">
        <v>188</v>
      </c>
      <c r="H259" t="s">
        <v>196</v>
      </c>
      <c r="I259">
        <v>0.2</v>
      </c>
      <c r="J259" t="s">
        <v>823</v>
      </c>
      <c r="K259">
        <v>6497428</v>
      </c>
    </row>
    <row r="260" spans="1:11" x14ac:dyDescent="0.2">
      <c r="A260" t="s">
        <v>842</v>
      </c>
      <c r="B260" t="s">
        <v>112</v>
      </c>
      <c r="C260" t="s">
        <v>74</v>
      </c>
      <c r="D260">
        <v>1</v>
      </c>
      <c r="E260" t="s">
        <v>815</v>
      </c>
      <c r="F260">
        <v>10226425</v>
      </c>
      <c r="G260" t="s">
        <v>145</v>
      </c>
      <c r="H260" t="s">
        <v>196</v>
      </c>
      <c r="I260">
        <v>6.7</v>
      </c>
      <c r="J260" t="s">
        <v>823</v>
      </c>
      <c r="K260">
        <v>6497428</v>
      </c>
    </row>
    <row r="261" spans="1:11" x14ac:dyDescent="0.2">
      <c r="A261" t="s">
        <v>842</v>
      </c>
      <c r="B261" t="s">
        <v>112</v>
      </c>
      <c r="C261" t="s">
        <v>74</v>
      </c>
      <c r="D261">
        <v>1</v>
      </c>
      <c r="E261" t="s">
        <v>815</v>
      </c>
      <c r="F261">
        <v>10226428</v>
      </c>
      <c r="G261" t="s">
        <v>146</v>
      </c>
      <c r="H261" t="s">
        <v>196</v>
      </c>
      <c r="I261">
        <v>1.4</v>
      </c>
      <c r="J261" t="s">
        <v>823</v>
      </c>
      <c r="K261">
        <v>6497428</v>
      </c>
    </row>
    <row r="262" spans="1:11" x14ac:dyDescent="0.2">
      <c r="A262" t="s">
        <v>842</v>
      </c>
      <c r="B262" t="s">
        <v>112</v>
      </c>
      <c r="C262" t="s">
        <v>74</v>
      </c>
      <c r="D262">
        <v>1</v>
      </c>
      <c r="E262" t="s">
        <v>815</v>
      </c>
      <c r="F262">
        <v>10226429</v>
      </c>
      <c r="G262" t="s">
        <v>147</v>
      </c>
      <c r="H262" t="s">
        <v>196</v>
      </c>
      <c r="I262">
        <v>12.5</v>
      </c>
      <c r="J262" t="s">
        <v>823</v>
      </c>
      <c r="K262">
        <v>6497428</v>
      </c>
    </row>
    <row r="263" spans="1:11" x14ac:dyDescent="0.2">
      <c r="A263" t="s">
        <v>842</v>
      </c>
      <c r="B263" t="s">
        <v>112</v>
      </c>
      <c r="C263" t="s">
        <v>74</v>
      </c>
      <c r="D263">
        <v>1</v>
      </c>
      <c r="E263" t="s">
        <v>815</v>
      </c>
      <c r="F263">
        <v>10226435</v>
      </c>
      <c r="G263" t="s">
        <v>148</v>
      </c>
      <c r="H263" t="s">
        <v>196</v>
      </c>
      <c r="I263">
        <v>0.2</v>
      </c>
      <c r="J263" t="s">
        <v>823</v>
      </c>
      <c r="K263">
        <v>6497428</v>
      </c>
    </row>
    <row r="264" spans="1:11" x14ac:dyDescent="0.2">
      <c r="A264" t="s">
        <v>842</v>
      </c>
      <c r="B264" t="s">
        <v>112</v>
      </c>
      <c r="C264" t="s">
        <v>74</v>
      </c>
      <c r="D264">
        <v>1</v>
      </c>
      <c r="E264" t="s">
        <v>815</v>
      </c>
      <c r="F264">
        <v>10226442</v>
      </c>
      <c r="G264" t="s">
        <v>149</v>
      </c>
      <c r="H264" t="s">
        <v>196</v>
      </c>
      <c r="I264">
        <v>0.9</v>
      </c>
      <c r="J264" t="s">
        <v>823</v>
      </c>
      <c r="K264">
        <v>6497428</v>
      </c>
    </row>
    <row r="265" spans="1:11" x14ac:dyDescent="0.2">
      <c r="A265" t="s">
        <v>842</v>
      </c>
      <c r="B265" t="s">
        <v>112</v>
      </c>
      <c r="C265" t="s">
        <v>74</v>
      </c>
      <c r="D265">
        <v>1</v>
      </c>
      <c r="E265" t="s">
        <v>815</v>
      </c>
      <c r="F265">
        <v>10226444</v>
      </c>
      <c r="G265" t="s">
        <v>200</v>
      </c>
      <c r="H265" t="s">
        <v>196</v>
      </c>
      <c r="I265">
        <v>0.4</v>
      </c>
      <c r="J265" t="s">
        <v>823</v>
      </c>
      <c r="K265">
        <v>6497428</v>
      </c>
    </row>
    <row r="266" spans="1:11" x14ac:dyDescent="0.2">
      <c r="A266" t="s">
        <v>842</v>
      </c>
      <c r="B266" t="s">
        <v>112</v>
      </c>
      <c r="C266" t="s">
        <v>74</v>
      </c>
      <c r="D266">
        <v>1</v>
      </c>
      <c r="E266" t="s">
        <v>815</v>
      </c>
      <c r="F266">
        <v>10226447</v>
      </c>
      <c r="G266" t="s">
        <v>150</v>
      </c>
      <c r="H266" t="s">
        <v>196</v>
      </c>
      <c r="I266">
        <v>0.8</v>
      </c>
      <c r="J266" t="s">
        <v>823</v>
      </c>
      <c r="K266">
        <v>6497428</v>
      </c>
    </row>
    <row r="267" spans="1:11" x14ac:dyDescent="0.2">
      <c r="A267" t="s">
        <v>842</v>
      </c>
      <c r="B267" t="s">
        <v>112</v>
      </c>
      <c r="C267" t="s">
        <v>74</v>
      </c>
      <c r="D267">
        <v>1</v>
      </c>
      <c r="E267" t="s">
        <v>815</v>
      </c>
      <c r="F267">
        <v>10226452</v>
      </c>
      <c r="G267" t="s">
        <v>151</v>
      </c>
      <c r="H267" t="s">
        <v>196</v>
      </c>
      <c r="I267">
        <v>6.1</v>
      </c>
      <c r="J267" t="s">
        <v>823</v>
      </c>
      <c r="K267">
        <v>6497428</v>
      </c>
    </row>
    <row r="268" spans="1:11" x14ac:dyDescent="0.2">
      <c r="A268" t="s">
        <v>842</v>
      </c>
      <c r="B268" t="s">
        <v>112</v>
      </c>
      <c r="C268" t="s">
        <v>74</v>
      </c>
      <c r="D268">
        <v>1</v>
      </c>
      <c r="E268" t="s">
        <v>815</v>
      </c>
      <c r="F268">
        <v>10226454</v>
      </c>
      <c r="G268" t="s">
        <v>152</v>
      </c>
      <c r="H268" t="s">
        <v>196</v>
      </c>
      <c r="I268">
        <v>10.4</v>
      </c>
      <c r="J268" t="s">
        <v>823</v>
      </c>
      <c r="K268">
        <v>6497428</v>
      </c>
    </row>
    <row r="269" spans="1:11" x14ac:dyDescent="0.2">
      <c r="A269" t="s">
        <v>842</v>
      </c>
      <c r="B269" t="s">
        <v>112</v>
      </c>
      <c r="C269" t="s">
        <v>74</v>
      </c>
      <c r="D269">
        <v>1</v>
      </c>
      <c r="E269" t="s">
        <v>815</v>
      </c>
      <c r="F269">
        <v>10226455</v>
      </c>
      <c r="G269" t="s">
        <v>164</v>
      </c>
      <c r="H269" t="s">
        <v>196</v>
      </c>
      <c r="I269">
        <v>0.8</v>
      </c>
      <c r="J269" t="s">
        <v>823</v>
      </c>
      <c r="K269">
        <v>6497428</v>
      </c>
    </row>
    <row r="270" spans="1:11" x14ac:dyDescent="0.2">
      <c r="A270" t="s">
        <v>842</v>
      </c>
      <c r="B270" t="s">
        <v>112</v>
      </c>
      <c r="C270" t="s">
        <v>74</v>
      </c>
      <c r="D270">
        <v>1</v>
      </c>
      <c r="E270" t="s">
        <v>815</v>
      </c>
      <c r="F270">
        <v>10227896</v>
      </c>
      <c r="G270" t="s">
        <v>153</v>
      </c>
      <c r="H270" t="s">
        <v>196</v>
      </c>
      <c r="I270">
        <v>2.2000000000000002</v>
      </c>
      <c r="J270" t="s">
        <v>823</v>
      </c>
      <c r="K270">
        <v>6497428</v>
      </c>
    </row>
    <row r="271" spans="1:11" x14ac:dyDescent="0.2">
      <c r="A271" t="s">
        <v>842</v>
      </c>
      <c r="B271" t="s">
        <v>112</v>
      </c>
      <c r="C271" t="s">
        <v>74</v>
      </c>
      <c r="D271">
        <v>1</v>
      </c>
      <c r="E271" t="s">
        <v>815</v>
      </c>
      <c r="F271">
        <v>10230675</v>
      </c>
      <c r="G271" t="s">
        <v>165</v>
      </c>
      <c r="H271" t="s">
        <v>196</v>
      </c>
      <c r="I271">
        <v>1</v>
      </c>
      <c r="J271" t="s">
        <v>823</v>
      </c>
      <c r="K271">
        <v>6497428</v>
      </c>
    </row>
    <row r="272" spans="1:11" x14ac:dyDescent="0.2">
      <c r="A272" t="s">
        <v>842</v>
      </c>
      <c r="B272" t="s">
        <v>112</v>
      </c>
      <c r="C272" t="s">
        <v>74</v>
      </c>
      <c r="D272">
        <v>1</v>
      </c>
      <c r="E272" t="s">
        <v>815</v>
      </c>
      <c r="F272">
        <v>10242280</v>
      </c>
      <c r="G272" t="s">
        <v>154</v>
      </c>
      <c r="H272" t="s">
        <v>196</v>
      </c>
      <c r="I272">
        <v>0.6</v>
      </c>
      <c r="J272" t="s">
        <v>823</v>
      </c>
      <c r="K272">
        <v>6497428</v>
      </c>
    </row>
    <row r="273" spans="1:11" x14ac:dyDescent="0.2">
      <c r="A273" t="s">
        <v>842</v>
      </c>
      <c r="B273" t="s">
        <v>112</v>
      </c>
      <c r="C273" t="s">
        <v>74</v>
      </c>
      <c r="D273">
        <v>1</v>
      </c>
      <c r="E273" t="s">
        <v>815</v>
      </c>
      <c r="F273">
        <v>10242291</v>
      </c>
      <c r="G273" t="s">
        <v>155</v>
      </c>
      <c r="H273" t="s">
        <v>196</v>
      </c>
      <c r="I273">
        <v>1</v>
      </c>
      <c r="J273" t="s">
        <v>823</v>
      </c>
      <c r="K273">
        <v>6497428</v>
      </c>
    </row>
    <row r="274" spans="1:11" x14ac:dyDescent="0.2">
      <c r="A274" t="s">
        <v>842</v>
      </c>
      <c r="B274" t="s">
        <v>112</v>
      </c>
      <c r="C274" t="s">
        <v>74</v>
      </c>
      <c r="D274">
        <v>1</v>
      </c>
      <c r="E274" t="s">
        <v>815</v>
      </c>
      <c r="F274">
        <v>50066125</v>
      </c>
      <c r="G274" t="s">
        <v>167</v>
      </c>
      <c r="H274" t="s">
        <v>196</v>
      </c>
      <c r="I274">
        <v>4</v>
      </c>
      <c r="J274" t="s">
        <v>823</v>
      </c>
      <c r="K274">
        <v>6497428</v>
      </c>
    </row>
    <row r="275" spans="1:11" x14ac:dyDescent="0.2">
      <c r="A275" t="s">
        <v>842</v>
      </c>
      <c r="B275" t="s">
        <v>112</v>
      </c>
      <c r="C275" t="s">
        <v>74</v>
      </c>
      <c r="D275">
        <v>1</v>
      </c>
      <c r="E275" t="s">
        <v>815</v>
      </c>
      <c r="F275">
        <v>50066133</v>
      </c>
      <c r="G275" t="s">
        <v>168</v>
      </c>
      <c r="H275" t="s">
        <v>196</v>
      </c>
      <c r="I275">
        <v>5</v>
      </c>
      <c r="J275" t="s">
        <v>823</v>
      </c>
      <c r="K275">
        <v>6497428</v>
      </c>
    </row>
    <row r="276" spans="1:11" x14ac:dyDescent="0.2">
      <c r="A276" t="s">
        <v>842</v>
      </c>
      <c r="B276" t="s">
        <v>112</v>
      </c>
      <c r="C276" t="s">
        <v>74</v>
      </c>
      <c r="D276">
        <v>1</v>
      </c>
      <c r="E276" t="s">
        <v>815</v>
      </c>
      <c r="F276">
        <v>50066135</v>
      </c>
      <c r="G276" t="s">
        <v>178</v>
      </c>
      <c r="H276" t="s">
        <v>196</v>
      </c>
      <c r="I276">
        <v>4</v>
      </c>
      <c r="J276" t="s">
        <v>823</v>
      </c>
      <c r="K276">
        <v>6497428</v>
      </c>
    </row>
    <row r="277" spans="1:11" x14ac:dyDescent="0.2">
      <c r="A277" t="s">
        <v>842</v>
      </c>
      <c r="B277" t="s">
        <v>112</v>
      </c>
      <c r="C277" t="s">
        <v>74</v>
      </c>
      <c r="D277">
        <v>1</v>
      </c>
      <c r="E277" t="s">
        <v>815</v>
      </c>
      <c r="F277">
        <v>50066993</v>
      </c>
      <c r="G277" t="s">
        <v>206</v>
      </c>
      <c r="H277" t="s">
        <v>196</v>
      </c>
      <c r="I277">
        <v>12</v>
      </c>
      <c r="J277" t="s">
        <v>823</v>
      </c>
      <c r="K277">
        <v>6497428</v>
      </c>
    </row>
    <row r="278" spans="1:11" x14ac:dyDescent="0.2">
      <c r="A278" t="s">
        <v>842</v>
      </c>
      <c r="B278" t="s">
        <v>112</v>
      </c>
      <c r="C278" t="s">
        <v>74</v>
      </c>
      <c r="D278">
        <v>1</v>
      </c>
      <c r="E278" t="s">
        <v>815</v>
      </c>
      <c r="F278">
        <v>50067609</v>
      </c>
      <c r="G278" t="s">
        <v>825</v>
      </c>
      <c r="H278" t="s">
        <v>196</v>
      </c>
      <c r="I278">
        <v>48</v>
      </c>
      <c r="J278" t="s">
        <v>823</v>
      </c>
      <c r="K278">
        <v>6497428</v>
      </c>
    </row>
    <row r="279" spans="1:11" x14ac:dyDescent="0.2">
      <c r="A279" t="s">
        <v>842</v>
      </c>
      <c r="B279" t="s">
        <v>112</v>
      </c>
      <c r="C279" t="s">
        <v>74</v>
      </c>
      <c r="D279">
        <v>1</v>
      </c>
      <c r="E279" t="s">
        <v>815</v>
      </c>
      <c r="F279">
        <v>10226402</v>
      </c>
      <c r="G279" t="s">
        <v>156</v>
      </c>
      <c r="H279" t="s">
        <v>196</v>
      </c>
      <c r="I279">
        <v>1.5</v>
      </c>
      <c r="J279" t="s">
        <v>823</v>
      </c>
      <c r="K279">
        <v>6497428</v>
      </c>
    </row>
    <row r="280" spans="1:11" x14ac:dyDescent="0.2">
      <c r="A280" t="s">
        <v>842</v>
      </c>
      <c r="B280" t="s">
        <v>112</v>
      </c>
      <c r="C280" t="s">
        <v>74</v>
      </c>
      <c r="D280">
        <v>1</v>
      </c>
      <c r="E280" t="s">
        <v>815</v>
      </c>
      <c r="F280">
        <v>50063718</v>
      </c>
      <c r="G280" t="s">
        <v>201</v>
      </c>
      <c r="H280" t="s">
        <v>196</v>
      </c>
      <c r="I280">
        <v>28</v>
      </c>
      <c r="J280" t="s">
        <v>823</v>
      </c>
      <c r="K280">
        <v>6497428</v>
      </c>
    </row>
    <row r="281" spans="1:11" x14ac:dyDescent="0.2">
      <c r="A281" t="s">
        <v>842</v>
      </c>
      <c r="B281" t="s">
        <v>112</v>
      </c>
      <c r="C281" t="s">
        <v>74</v>
      </c>
      <c r="D281">
        <v>1</v>
      </c>
      <c r="E281" t="s">
        <v>815</v>
      </c>
      <c r="F281">
        <v>50062495</v>
      </c>
      <c r="G281" t="s">
        <v>801</v>
      </c>
      <c r="H281" t="s">
        <v>196</v>
      </c>
      <c r="I281">
        <v>48</v>
      </c>
      <c r="J281" t="s">
        <v>823</v>
      </c>
      <c r="K281">
        <v>6497428</v>
      </c>
    </row>
    <row r="282" spans="1:11" x14ac:dyDescent="0.2">
      <c r="A282" t="s">
        <v>842</v>
      </c>
      <c r="B282" t="s">
        <v>112</v>
      </c>
      <c r="C282" t="s">
        <v>74</v>
      </c>
      <c r="D282">
        <v>1</v>
      </c>
      <c r="E282" t="s">
        <v>815</v>
      </c>
      <c r="F282">
        <v>50055233</v>
      </c>
      <c r="G282" t="s">
        <v>157</v>
      </c>
      <c r="H282" t="s">
        <v>196</v>
      </c>
      <c r="I282">
        <v>40</v>
      </c>
      <c r="J282" t="s">
        <v>823</v>
      </c>
      <c r="K282">
        <v>6497428</v>
      </c>
    </row>
    <row r="283" spans="1:11" x14ac:dyDescent="0.2">
      <c r="A283" t="s">
        <v>843</v>
      </c>
      <c r="B283" t="s">
        <v>112</v>
      </c>
      <c r="C283" t="s">
        <v>74</v>
      </c>
      <c r="D283">
        <v>1</v>
      </c>
      <c r="E283" t="s">
        <v>815</v>
      </c>
      <c r="F283">
        <v>10224293</v>
      </c>
      <c r="G283" t="s">
        <v>113</v>
      </c>
      <c r="H283" t="s">
        <v>198</v>
      </c>
      <c r="I283">
        <v>9.5</v>
      </c>
      <c r="J283" t="s">
        <v>823</v>
      </c>
      <c r="K283">
        <v>6497450</v>
      </c>
    </row>
    <row r="284" spans="1:11" x14ac:dyDescent="0.2">
      <c r="A284" t="s">
        <v>843</v>
      </c>
      <c r="B284" t="s">
        <v>112</v>
      </c>
      <c r="C284" t="s">
        <v>74</v>
      </c>
      <c r="D284">
        <v>1</v>
      </c>
      <c r="E284" t="s">
        <v>815</v>
      </c>
      <c r="F284">
        <v>10226405</v>
      </c>
      <c r="G284" t="s">
        <v>115</v>
      </c>
      <c r="H284" t="s">
        <v>198</v>
      </c>
      <c r="I284">
        <v>24</v>
      </c>
      <c r="J284" t="s">
        <v>823</v>
      </c>
      <c r="K284">
        <v>6497450</v>
      </c>
    </row>
    <row r="285" spans="1:11" x14ac:dyDescent="0.2">
      <c r="A285" t="s">
        <v>843</v>
      </c>
      <c r="B285" t="s">
        <v>112</v>
      </c>
      <c r="C285" t="s">
        <v>74</v>
      </c>
      <c r="D285">
        <v>1</v>
      </c>
      <c r="E285" t="s">
        <v>815</v>
      </c>
      <c r="F285">
        <v>10223657</v>
      </c>
      <c r="G285" t="s">
        <v>116</v>
      </c>
      <c r="H285" t="s">
        <v>198</v>
      </c>
      <c r="I285">
        <v>5.8</v>
      </c>
      <c r="J285" t="s">
        <v>823</v>
      </c>
      <c r="K285">
        <v>6497450</v>
      </c>
    </row>
    <row r="286" spans="1:11" x14ac:dyDescent="0.2">
      <c r="A286" t="s">
        <v>843</v>
      </c>
      <c r="B286" t="s">
        <v>112</v>
      </c>
      <c r="C286" t="s">
        <v>74</v>
      </c>
      <c r="D286">
        <v>1</v>
      </c>
      <c r="E286" t="s">
        <v>815</v>
      </c>
      <c r="F286">
        <v>10198819</v>
      </c>
      <c r="G286" t="s">
        <v>117</v>
      </c>
      <c r="H286" t="s">
        <v>198</v>
      </c>
      <c r="I286">
        <v>1.1000000000000001</v>
      </c>
      <c r="J286" t="s">
        <v>823</v>
      </c>
      <c r="K286">
        <v>6497450</v>
      </c>
    </row>
    <row r="287" spans="1:11" x14ac:dyDescent="0.2">
      <c r="A287" t="s">
        <v>843</v>
      </c>
      <c r="B287" t="s">
        <v>112</v>
      </c>
      <c r="C287" t="s">
        <v>74</v>
      </c>
      <c r="D287">
        <v>1</v>
      </c>
      <c r="E287" t="s">
        <v>815</v>
      </c>
      <c r="F287">
        <v>10224283</v>
      </c>
      <c r="G287" t="s">
        <v>192</v>
      </c>
      <c r="H287" t="s">
        <v>198</v>
      </c>
      <c r="I287">
        <v>0.1</v>
      </c>
      <c r="J287" t="s">
        <v>823</v>
      </c>
      <c r="K287">
        <v>6497450</v>
      </c>
    </row>
    <row r="288" spans="1:11" x14ac:dyDescent="0.2">
      <c r="A288" t="s">
        <v>843</v>
      </c>
      <c r="B288" t="s">
        <v>112</v>
      </c>
      <c r="C288" t="s">
        <v>74</v>
      </c>
      <c r="D288">
        <v>1</v>
      </c>
      <c r="E288" t="s">
        <v>815</v>
      </c>
      <c r="F288">
        <v>10226361</v>
      </c>
      <c r="G288" t="s">
        <v>118</v>
      </c>
      <c r="H288" t="s">
        <v>198</v>
      </c>
      <c r="I288">
        <v>1.6</v>
      </c>
      <c r="J288" t="s">
        <v>823</v>
      </c>
      <c r="K288">
        <v>6497450</v>
      </c>
    </row>
    <row r="289" spans="1:11" x14ac:dyDescent="0.2">
      <c r="A289" t="s">
        <v>843</v>
      </c>
      <c r="B289" t="s">
        <v>112</v>
      </c>
      <c r="C289" t="s">
        <v>74</v>
      </c>
      <c r="D289">
        <v>1</v>
      </c>
      <c r="E289" t="s">
        <v>815</v>
      </c>
      <c r="F289">
        <v>10226415</v>
      </c>
      <c r="G289" t="s">
        <v>119</v>
      </c>
      <c r="H289" t="s">
        <v>198</v>
      </c>
      <c r="I289">
        <v>0.4</v>
      </c>
      <c r="J289" t="s">
        <v>823</v>
      </c>
      <c r="K289">
        <v>6497450</v>
      </c>
    </row>
    <row r="290" spans="1:11" x14ac:dyDescent="0.2">
      <c r="A290" t="s">
        <v>843</v>
      </c>
      <c r="B290" t="s">
        <v>112</v>
      </c>
      <c r="C290" t="s">
        <v>74</v>
      </c>
      <c r="D290">
        <v>1</v>
      </c>
      <c r="E290" t="s">
        <v>815</v>
      </c>
      <c r="F290">
        <v>50066598</v>
      </c>
      <c r="G290" t="s">
        <v>795</v>
      </c>
      <c r="H290" t="s">
        <v>198</v>
      </c>
      <c r="I290">
        <v>1</v>
      </c>
      <c r="J290" t="s">
        <v>823</v>
      </c>
      <c r="K290">
        <v>6497450</v>
      </c>
    </row>
    <row r="291" spans="1:11" x14ac:dyDescent="0.2">
      <c r="A291" t="s">
        <v>843</v>
      </c>
      <c r="B291" t="s">
        <v>112</v>
      </c>
      <c r="C291" t="s">
        <v>74</v>
      </c>
      <c r="D291">
        <v>1</v>
      </c>
      <c r="E291" t="s">
        <v>815</v>
      </c>
      <c r="F291">
        <v>10226399</v>
      </c>
      <c r="G291" t="s">
        <v>120</v>
      </c>
      <c r="H291" t="s">
        <v>198</v>
      </c>
      <c r="I291">
        <v>8</v>
      </c>
      <c r="J291" t="s">
        <v>823</v>
      </c>
      <c r="K291">
        <v>6497450</v>
      </c>
    </row>
    <row r="292" spans="1:11" x14ac:dyDescent="0.2">
      <c r="A292" t="s">
        <v>843</v>
      </c>
      <c r="B292" t="s">
        <v>112</v>
      </c>
      <c r="C292" t="s">
        <v>74</v>
      </c>
      <c r="D292">
        <v>1</v>
      </c>
      <c r="E292" t="s">
        <v>815</v>
      </c>
      <c r="F292">
        <v>50994931</v>
      </c>
      <c r="G292" t="s">
        <v>121</v>
      </c>
      <c r="H292" t="s">
        <v>198</v>
      </c>
      <c r="I292">
        <v>24</v>
      </c>
      <c r="J292" t="s">
        <v>823</v>
      </c>
      <c r="K292">
        <v>6497450</v>
      </c>
    </row>
    <row r="293" spans="1:11" x14ac:dyDescent="0.2">
      <c r="A293" t="s">
        <v>843</v>
      </c>
      <c r="B293" t="s">
        <v>112</v>
      </c>
      <c r="C293" t="s">
        <v>74</v>
      </c>
      <c r="D293">
        <v>1</v>
      </c>
      <c r="E293" t="s">
        <v>815</v>
      </c>
      <c r="F293">
        <v>10242292</v>
      </c>
      <c r="G293" t="s">
        <v>122</v>
      </c>
      <c r="H293" t="s">
        <v>198</v>
      </c>
      <c r="I293">
        <v>32.200000000000003</v>
      </c>
      <c r="J293" t="s">
        <v>823</v>
      </c>
      <c r="K293">
        <v>6497450</v>
      </c>
    </row>
    <row r="294" spans="1:11" x14ac:dyDescent="0.2">
      <c r="A294" t="s">
        <v>843</v>
      </c>
      <c r="B294" t="s">
        <v>112</v>
      </c>
      <c r="C294" t="s">
        <v>74</v>
      </c>
      <c r="D294">
        <v>1</v>
      </c>
      <c r="E294" t="s">
        <v>815</v>
      </c>
      <c r="F294">
        <v>10242293</v>
      </c>
      <c r="G294" t="s">
        <v>123</v>
      </c>
      <c r="H294" t="s">
        <v>198</v>
      </c>
      <c r="I294">
        <v>3.6</v>
      </c>
      <c r="J294" t="s">
        <v>823</v>
      </c>
      <c r="K294">
        <v>6497450</v>
      </c>
    </row>
    <row r="295" spans="1:11" x14ac:dyDescent="0.2">
      <c r="A295" t="s">
        <v>843</v>
      </c>
      <c r="B295" t="s">
        <v>112</v>
      </c>
      <c r="C295" t="s">
        <v>74</v>
      </c>
      <c r="D295">
        <v>1</v>
      </c>
      <c r="E295" t="s">
        <v>815</v>
      </c>
      <c r="F295">
        <v>50994945</v>
      </c>
      <c r="G295" t="s">
        <v>124</v>
      </c>
      <c r="H295" t="s">
        <v>198</v>
      </c>
      <c r="I295">
        <v>12</v>
      </c>
      <c r="J295" t="s">
        <v>823</v>
      </c>
      <c r="K295">
        <v>6497450</v>
      </c>
    </row>
    <row r="296" spans="1:11" x14ac:dyDescent="0.2">
      <c r="A296" t="s">
        <v>843</v>
      </c>
      <c r="B296" t="s">
        <v>112</v>
      </c>
      <c r="C296" t="s">
        <v>74</v>
      </c>
      <c r="D296">
        <v>1</v>
      </c>
      <c r="E296" t="s">
        <v>815</v>
      </c>
      <c r="F296">
        <v>10247603</v>
      </c>
      <c r="G296" t="s">
        <v>125</v>
      </c>
      <c r="H296" t="s">
        <v>198</v>
      </c>
      <c r="I296">
        <v>5</v>
      </c>
      <c r="J296" t="s">
        <v>823</v>
      </c>
      <c r="K296">
        <v>6497450</v>
      </c>
    </row>
    <row r="297" spans="1:11" x14ac:dyDescent="0.2">
      <c r="A297" t="s">
        <v>843</v>
      </c>
      <c r="B297" t="s">
        <v>112</v>
      </c>
      <c r="C297" t="s">
        <v>74</v>
      </c>
      <c r="D297">
        <v>1</v>
      </c>
      <c r="E297" t="s">
        <v>815</v>
      </c>
      <c r="F297">
        <v>50065430</v>
      </c>
      <c r="G297" t="s">
        <v>193</v>
      </c>
      <c r="H297" t="s">
        <v>198</v>
      </c>
      <c r="I297">
        <v>2</v>
      </c>
      <c r="J297" t="s">
        <v>823</v>
      </c>
      <c r="K297">
        <v>6497450</v>
      </c>
    </row>
    <row r="298" spans="1:11" x14ac:dyDescent="0.2">
      <c r="A298" t="s">
        <v>843</v>
      </c>
      <c r="B298" t="s">
        <v>112</v>
      </c>
      <c r="C298" t="s">
        <v>74</v>
      </c>
      <c r="D298">
        <v>1</v>
      </c>
      <c r="E298" t="s">
        <v>815</v>
      </c>
      <c r="F298">
        <v>50065431</v>
      </c>
      <c r="G298" t="s">
        <v>204</v>
      </c>
      <c r="H298" t="s">
        <v>198</v>
      </c>
      <c r="I298">
        <v>2</v>
      </c>
      <c r="J298" t="s">
        <v>823</v>
      </c>
      <c r="K298">
        <v>6497450</v>
      </c>
    </row>
    <row r="299" spans="1:11" x14ac:dyDescent="0.2">
      <c r="A299" t="s">
        <v>843</v>
      </c>
      <c r="B299" t="s">
        <v>112</v>
      </c>
      <c r="C299" t="s">
        <v>74</v>
      </c>
      <c r="D299">
        <v>1</v>
      </c>
      <c r="E299" t="s">
        <v>815</v>
      </c>
      <c r="F299">
        <v>50065432</v>
      </c>
      <c r="G299" t="s">
        <v>205</v>
      </c>
      <c r="H299" t="s">
        <v>198</v>
      </c>
      <c r="I299">
        <v>2</v>
      </c>
      <c r="J299" t="s">
        <v>823</v>
      </c>
      <c r="K299">
        <v>6497450</v>
      </c>
    </row>
    <row r="300" spans="1:11" x14ac:dyDescent="0.2">
      <c r="A300" t="s">
        <v>843</v>
      </c>
      <c r="B300" t="s">
        <v>112</v>
      </c>
      <c r="C300" t="s">
        <v>74</v>
      </c>
      <c r="D300">
        <v>1</v>
      </c>
      <c r="E300" t="s">
        <v>815</v>
      </c>
      <c r="F300">
        <v>10215610</v>
      </c>
      <c r="G300" t="s">
        <v>128</v>
      </c>
      <c r="H300" t="s">
        <v>198</v>
      </c>
      <c r="I300">
        <v>57</v>
      </c>
      <c r="J300" t="s">
        <v>823</v>
      </c>
      <c r="K300">
        <v>6497450</v>
      </c>
    </row>
    <row r="301" spans="1:11" x14ac:dyDescent="0.2">
      <c r="A301" t="s">
        <v>843</v>
      </c>
      <c r="B301" t="s">
        <v>112</v>
      </c>
      <c r="C301" t="s">
        <v>74</v>
      </c>
      <c r="D301">
        <v>1</v>
      </c>
      <c r="E301" t="s">
        <v>815</v>
      </c>
      <c r="F301">
        <v>10215641</v>
      </c>
      <c r="G301" t="s">
        <v>129</v>
      </c>
      <c r="H301" t="s">
        <v>198</v>
      </c>
      <c r="I301">
        <v>12</v>
      </c>
      <c r="J301" t="s">
        <v>823</v>
      </c>
      <c r="K301">
        <v>6497450</v>
      </c>
    </row>
    <row r="302" spans="1:11" x14ac:dyDescent="0.2">
      <c r="A302" t="s">
        <v>843</v>
      </c>
      <c r="B302" t="s">
        <v>112</v>
      </c>
      <c r="C302" t="s">
        <v>74</v>
      </c>
      <c r="D302">
        <v>1</v>
      </c>
      <c r="E302" t="s">
        <v>815</v>
      </c>
      <c r="F302">
        <v>10223108</v>
      </c>
      <c r="G302" t="s">
        <v>130</v>
      </c>
      <c r="H302" t="s">
        <v>198</v>
      </c>
      <c r="I302">
        <v>3.8</v>
      </c>
      <c r="J302" t="s">
        <v>823</v>
      </c>
      <c r="K302">
        <v>6497450</v>
      </c>
    </row>
    <row r="303" spans="1:11" x14ac:dyDescent="0.2">
      <c r="A303" t="s">
        <v>843</v>
      </c>
      <c r="B303" t="s">
        <v>112</v>
      </c>
      <c r="C303" t="s">
        <v>74</v>
      </c>
      <c r="D303">
        <v>1</v>
      </c>
      <c r="E303" t="s">
        <v>815</v>
      </c>
      <c r="F303">
        <v>10226339</v>
      </c>
      <c r="G303" t="s">
        <v>173</v>
      </c>
      <c r="H303" t="s">
        <v>198</v>
      </c>
      <c r="I303">
        <v>1.5</v>
      </c>
      <c r="J303" t="s">
        <v>823</v>
      </c>
      <c r="K303">
        <v>6497450</v>
      </c>
    </row>
    <row r="304" spans="1:11" x14ac:dyDescent="0.2">
      <c r="A304" t="s">
        <v>843</v>
      </c>
      <c r="B304" t="s">
        <v>112</v>
      </c>
      <c r="C304" t="s">
        <v>74</v>
      </c>
      <c r="D304">
        <v>1</v>
      </c>
      <c r="E304" t="s">
        <v>815</v>
      </c>
      <c r="F304">
        <v>10226359</v>
      </c>
      <c r="G304" t="s">
        <v>132</v>
      </c>
      <c r="H304" t="s">
        <v>198</v>
      </c>
      <c r="I304">
        <v>1.1000000000000001</v>
      </c>
      <c r="J304" t="s">
        <v>823</v>
      </c>
      <c r="K304">
        <v>6497450</v>
      </c>
    </row>
    <row r="305" spans="1:11" x14ac:dyDescent="0.2">
      <c r="A305" t="s">
        <v>843</v>
      </c>
      <c r="B305" t="s">
        <v>112</v>
      </c>
      <c r="C305" t="s">
        <v>74</v>
      </c>
      <c r="D305">
        <v>1</v>
      </c>
      <c r="E305" t="s">
        <v>815</v>
      </c>
      <c r="F305">
        <v>10226363</v>
      </c>
      <c r="G305" t="s">
        <v>816</v>
      </c>
      <c r="H305" t="s">
        <v>198</v>
      </c>
      <c r="I305">
        <v>0.1</v>
      </c>
      <c r="J305" t="s">
        <v>823</v>
      </c>
      <c r="K305">
        <v>6497450</v>
      </c>
    </row>
    <row r="306" spans="1:11" x14ac:dyDescent="0.2">
      <c r="A306" t="s">
        <v>843</v>
      </c>
      <c r="B306" t="s">
        <v>112</v>
      </c>
      <c r="C306" t="s">
        <v>74</v>
      </c>
      <c r="D306">
        <v>1</v>
      </c>
      <c r="E306" t="s">
        <v>815</v>
      </c>
      <c r="F306">
        <v>10226367</v>
      </c>
      <c r="G306" t="s">
        <v>133</v>
      </c>
      <c r="H306" t="s">
        <v>198</v>
      </c>
      <c r="I306">
        <v>3.8</v>
      </c>
      <c r="J306" t="s">
        <v>823</v>
      </c>
      <c r="K306">
        <v>6497450</v>
      </c>
    </row>
    <row r="307" spans="1:11" x14ac:dyDescent="0.2">
      <c r="A307" t="s">
        <v>843</v>
      </c>
      <c r="B307" t="s">
        <v>112</v>
      </c>
      <c r="C307" t="s">
        <v>74</v>
      </c>
      <c r="D307">
        <v>1</v>
      </c>
      <c r="E307" t="s">
        <v>815</v>
      </c>
      <c r="F307">
        <v>10226368</v>
      </c>
      <c r="G307" t="s">
        <v>134</v>
      </c>
      <c r="H307" t="s">
        <v>198</v>
      </c>
      <c r="I307">
        <v>11.2</v>
      </c>
      <c r="J307" t="s">
        <v>823</v>
      </c>
      <c r="K307">
        <v>6497450</v>
      </c>
    </row>
    <row r="308" spans="1:11" x14ac:dyDescent="0.2">
      <c r="A308" t="s">
        <v>843</v>
      </c>
      <c r="B308" t="s">
        <v>112</v>
      </c>
      <c r="C308" t="s">
        <v>74</v>
      </c>
      <c r="D308">
        <v>1</v>
      </c>
      <c r="E308" t="s">
        <v>815</v>
      </c>
      <c r="F308">
        <v>10226373</v>
      </c>
      <c r="G308" t="s">
        <v>135</v>
      </c>
      <c r="H308" t="s">
        <v>198</v>
      </c>
      <c r="I308">
        <v>10.4</v>
      </c>
      <c r="J308" t="s">
        <v>823</v>
      </c>
      <c r="K308">
        <v>6497450</v>
      </c>
    </row>
    <row r="309" spans="1:11" x14ac:dyDescent="0.2">
      <c r="A309" t="s">
        <v>843</v>
      </c>
      <c r="B309" t="s">
        <v>112</v>
      </c>
      <c r="C309" t="s">
        <v>74</v>
      </c>
      <c r="D309">
        <v>1</v>
      </c>
      <c r="E309" t="s">
        <v>815</v>
      </c>
      <c r="F309">
        <v>10226377</v>
      </c>
      <c r="G309" t="s">
        <v>136</v>
      </c>
      <c r="H309" t="s">
        <v>198</v>
      </c>
      <c r="I309">
        <v>1.1000000000000001</v>
      </c>
      <c r="J309" t="s">
        <v>823</v>
      </c>
      <c r="K309">
        <v>6497450</v>
      </c>
    </row>
    <row r="310" spans="1:11" x14ac:dyDescent="0.2">
      <c r="A310" t="s">
        <v>843</v>
      </c>
      <c r="B310" t="s">
        <v>112</v>
      </c>
      <c r="C310" t="s">
        <v>74</v>
      </c>
      <c r="D310">
        <v>1</v>
      </c>
      <c r="E310" t="s">
        <v>815</v>
      </c>
      <c r="F310">
        <v>10226385</v>
      </c>
      <c r="G310" t="s">
        <v>137</v>
      </c>
      <c r="H310" t="s">
        <v>198</v>
      </c>
      <c r="I310">
        <v>0.8</v>
      </c>
      <c r="J310" t="s">
        <v>823</v>
      </c>
      <c r="K310">
        <v>6497450</v>
      </c>
    </row>
    <row r="311" spans="1:11" x14ac:dyDescent="0.2">
      <c r="A311" t="s">
        <v>843</v>
      </c>
      <c r="B311" t="s">
        <v>112</v>
      </c>
      <c r="C311" t="s">
        <v>74</v>
      </c>
      <c r="D311">
        <v>1</v>
      </c>
      <c r="E311" t="s">
        <v>815</v>
      </c>
      <c r="F311">
        <v>10226388</v>
      </c>
      <c r="G311" t="s">
        <v>138</v>
      </c>
      <c r="H311" t="s">
        <v>198</v>
      </c>
      <c r="I311">
        <v>1.1000000000000001</v>
      </c>
      <c r="J311" t="s">
        <v>823</v>
      </c>
      <c r="K311">
        <v>6497450</v>
      </c>
    </row>
    <row r="312" spans="1:11" x14ac:dyDescent="0.2">
      <c r="A312" t="s">
        <v>843</v>
      </c>
      <c r="B312" t="s">
        <v>112</v>
      </c>
      <c r="C312" t="s">
        <v>74</v>
      </c>
      <c r="D312">
        <v>1</v>
      </c>
      <c r="E312" t="s">
        <v>815</v>
      </c>
      <c r="F312">
        <v>10226392</v>
      </c>
      <c r="G312" t="s">
        <v>139</v>
      </c>
      <c r="H312" t="s">
        <v>198</v>
      </c>
      <c r="I312">
        <v>1.7</v>
      </c>
      <c r="J312" t="s">
        <v>823</v>
      </c>
      <c r="K312">
        <v>6497450</v>
      </c>
    </row>
    <row r="313" spans="1:11" x14ac:dyDescent="0.2">
      <c r="A313" t="s">
        <v>843</v>
      </c>
      <c r="B313" t="s">
        <v>112</v>
      </c>
      <c r="C313" t="s">
        <v>74</v>
      </c>
      <c r="D313">
        <v>1</v>
      </c>
      <c r="E313" t="s">
        <v>815</v>
      </c>
      <c r="F313">
        <v>10226398</v>
      </c>
      <c r="G313" t="s">
        <v>140</v>
      </c>
      <c r="H313" t="s">
        <v>198</v>
      </c>
      <c r="I313">
        <v>4.5999999999999996</v>
      </c>
      <c r="J313" t="s">
        <v>823</v>
      </c>
      <c r="K313">
        <v>6497450</v>
      </c>
    </row>
    <row r="314" spans="1:11" x14ac:dyDescent="0.2">
      <c r="A314" t="s">
        <v>843</v>
      </c>
      <c r="B314" t="s">
        <v>112</v>
      </c>
      <c r="C314" t="s">
        <v>74</v>
      </c>
      <c r="D314">
        <v>1</v>
      </c>
      <c r="E314" t="s">
        <v>815</v>
      </c>
      <c r="F314">
        <v>10226403</v>
      </c>
      <c r="G314" t="s">
        <v>141</v>
      </c>
      <c r="H314" t="s">
        <v>198</v>
      </c>
      <c r="I314">
        <v>9.4</v>
      </c>
      <c r="J314" t="s">
        <v>823</v>
      </c>
      <c r="K314">
        <v>6497450</v>
      </c>
    </row>
    <row r="315" spans="1:11" x14ac:dyDescent="0.2">
      <c r="A315" t="s">
        <v>843</v>
      </c>
      <c r="B315" t="s">
        <v>112</v>
      </c>
      <c r="C315" t="s">
        <v>74</v>
      </c>
      <c r="D315">
        <v>1</v>
      </c>
      <c r="E315" t="s">
        <v>815</v>
      </c>
      <c r="F315">
        <v>10226410</v>
      </c>
      <c r="G315" t="s">
        <v>142</v>
      </c>
      <c r="H315" t="s">
        <v>198</v>
      </c>
      <c r="I315">
        <v>0.6</v>
      </c>
      <c r="J315" t="s">
        <v>823</v>
      </c>
      <c r="K315">
        <v>6497450</v>
      </c>
    </row>
    <row r="316" spans="1:11" x14ac:dyDescent="0.2">
      <c r="A316" t="s">
        <v>843</v>
      </c>
      <c r="B316" t="s">
        <v>112</v>
      </c>
      <c r="C316" t="s">
        <v>74</v>
      </c>
      <c r="D316">
        <v>1</v>
      </c>
      <c r="E316" t="s">
        <v>815</v>
      </c>
      <c r="F316">
        <v>10226417</v>
      </c>
      <c r="G316" t="s">
        <v>143</v>
      </c>
      <c r="H316" t="s">
        <v>198</v>
      </c>
      <c r="I316">
        <v>36.6</v>
      </c>
      <c r="J316" t="s">
        <v>823</v>
      </c>
      <c r="K316">
        <v>6497450</v>
      </c>
    </row>
    <row r="317" spans="1:11" x14ac:dyDescent="0.2">
      <c r="A317" t="s">
        <v>843</v>
      </c>
      <c r="B317" t="s">
        <v>112</v>
      </c>
      <c r="C317" t="s">
        <v>74</v>
      </c>
      <c r="D317">
        <v>1</v>
      </c>
      <c r="E317" t="s">
        <v>815</v>
      </c>
      <c r="F317">
        <v>10226420</v>
      </c>
      <c r="G317" t="s">
        <v>188</v>
      </c>
      <c r="H317" t="s">
        <v>198</v>
      </c>
      <c r="I317">
        <v>0.2</v>
      </c>
      <c r="J317" t="s">
        <v>823</v>
      </c>
      <c r="K317">
        <v>6497450</v>
      </c>
    </row>
    <row r="318" spans="1:11" x14ac:dyDescent="0.2">
      <c r="A318" t="s">
        <v>843</v>
      </c>
      <c r="B318" t="s">
        <v>112</v>
      </c>
      <c r="C318" t="s">
        <v>74</v>
      </c>
      <c r="D318">
        <v>1</v>
      </c>
      <c r="E318" t="s">
        <v>815</v>
      </c>
      <c r="F318">
        <v>10226422</v>
      </c>
      <c r="G318" t="s">
        <v>162</v>
      </c>
      <c r="H318" t="s">
        <v>198</v>
      </c>
      <c r="I318">
        <v>4.5999999999999996</v>
      </c>
      <c r="J318" t="s">
        <v>823</v>
      </c>
      <c r="K318">
        <v>6497450</v>
      </c>
    </row>
    <row r="319" spans="1:11" x14ac:dyDescent="0.2">
      <c r="A319" t="s">
        <v>843</v>
      </c>
      <c r="B319" t="s">
        <v>112</v>
      </c>
      <c r="C319" t="s">
        <v>74</v>
      </c>
      <c r="D319">
        <v>1</v>
      </c>
      <c r="E319" t="s">
        <v>815</v>
      </c>
      <c r="F319">
        <v>10226425</v>
      </c>
      <c r="G319" t="s">
        <v>145</v>
      </c>
      <c r="H319" t="s">
        <v>198</v>
      </c>
      <c r="I319">
        <v>6</v>
      </c>
      <c r="J319" t="s">
        <v>823</v>
      </c>
      <c r="K319">
        <v>6497450</v>
      </c>
    </row>
    <row r="320" spans="1:11" x14ac:dyDescent="0.2">
      <c r="A320" t="s">
        <v>843</v>
      </c>
      <c r="B320" t="s">
        <v>112</v>
      </c>
      <c r="C320" t="s">
        <v>74</v>
      </c>
      <c r="D320">
        <v>1</v>
      </c>
      <c r="E320" t="s">
        <v>815</v>
      </c>
      <c r="F320">
        <v>10226428</v>
      </c>
      <c r="G320" t="s">
        <v>146</v>
      </c>
      <c r="H320" t="s">
        <v>198</v>
      </c>
      <c r="I320">
        <v>0.6</v>
      </c>
      <c r="J320" t="s">
        <v>823</v>
      </c>
      <c r="K320">
        <v>6497450</v>
      </c>
    </row>
    <row r="321" spans="1:11" x14ac:dyDescent="0.2">
      <c r="A321" t="s">
        <v>843</v>
      </c>
      <c r="B321" t="s">
        <v>112</v>
      </c>
      <c r="C321" t="s">
        <v>74</v>
      </c>
      <c r="D321">
        <v>1</v>
      </c>
      <c r="E321" t="s">
        <v>815</v>
      </c>
      <c r="F321">
        <v>10226429</v>
      </c>
      <c r="G321" t="s">
        <v>147</v>
      </c>
      <c r="H321" t="s">
        <v>198</v>
      </c>
      <c r="I321">
        <v>41.2</v>
      </c>
      <c r="J321" t="s">
        <v>823</v>
      </c>
      <c r="K321">
        <v>6497450</v>
      </c>
    </row>
    <row r="322" spans="1:11" x14ac:dyDescent="0.2">
      <c r="A322" t="s">
        <v>843</v>
      </c>
      <c r="B322" t="s">
        <v>112</v>
      </c>
      <c r="C322" t="s">
        <v>74</v>
      </c>
      <c r="D322">
        <v>1</v>
      </c>
      <c r="E322" t="s">
        <v>815</v>
      </c>
      <c r="F322">
        <v>10226435</v>
      </c>
      <c r="G322" t="s">
        <v>148</v>
      </c>
      <c r="H322" t="s">
        <v>198</v>
      </c>
      <c r="I322">
        <v>1.2</v>
      </c>
      <c r="J322" t="s">
        <v>823</v>
      </c>
      <c r="K322">
        <v>6497450</v>
      </c>
    </row>
    <row r="323" spans="1:11" x14ac:dyDescent="0.2">
      <c r="A323" t="s">
        <v>843</v>
      </c>
      <c r="B323" t="s">
        <v>112</v>
      </c>
      <c r="C323" t="s">
        <v>74</v>
      </c>
      <c r="D323">
        <v>1</v>
      </c>
      <c r="E323" t="s">
        <v>815</v>
      </c>
      <c r="F323">
        <v>10226442</v>
      </c>
      <c r="G323" t="s">
        <v>149</v>
      </c>
      <c r="H323" t="s">
        <v>198</v>
      </c>
      <c r="I323">
        <v>1</v>
      </c>
      <c r="J323" t="s">
        <v>823</v>
      </c>
      <c r="K323">
        <v>6497450</v>
      </c>
    </row>
    <row r="324" spans="1:11" x14ac:dyDescent="0.2">
      <c r="A324" t="s">
        <v>843</v>
      </c>
      <c r="B324" t="s">
        <v>112</v>
      </c>
      <c r="C324" t="s">
        <v>74</v>
      </c>
      <c r="D324">
        <v>1</v>
      </c>
      <c r="E324" t="s">
        <v>815</v>
      </c>
      <c r="F324">
        <v>10226447</v>
      </c>
      <c r="G324" t="s">
        <v>150</v>
      </c>
      <c r="H324" t="s">
        <v>198</v>
      </c>
      <c r="I324">
        <v>1.6</v>
      </c>
      <c r="J324" t="s">
        <v>823</v>
      </c>
      <c r="K324">
        <v>6497450</v>
      </c>
    </row>
    <row r="325" spans="1:11" x14ac:dyDescent="0.2">
      <c r="A325" t="s">
        <v>843</v>
      </c>
      <c r="B325" t="s">
        <v>112</v>
      </c>
      <c r="C325" t="s">
        <v>74</v>
      </c>
      <c r="D325">
        <v>1</v>
      </c>
      <c r="E325" t="s">
        <v>815</v>
      </c>
      <c r="F325">
        <v>10226452</v>
      </c>
      <c r="G325" t="s">
        <v>151</v>
      </c>
      <c r="H325" t="s">
        <v>198</v>
      </c>
      <c r="I325">
        <v>7.3</v>
      </c>
      <c r="J325" t="s">
        <v>823</v>
      </c>
      <c r="K325">
        <v>6497450</v>
      </c>
    </row>
    <row r="326" spans="1:11" x14ac:dyDescent="0.2">
      <c r="A326" t="s">
        <v>843</v>
      </c>
      <c r="B326" t="s">
        <v>112</v>
      </c>
      <c r="C326" t="s">
        <v>74</v>
      </c>
      <c r="D326">
        <v>1</v>
      </c>
      <c r="E326" t="s">
        <v>815</v>
      </c>
      <c r="F326">
        <v>10226454</v>
      </c>
      <c r="G326" t="s">
        <v>152</v>
      </c>
      <c r="H326" t="s">
        <v>198</v>
      </c>
      <c r="I326">
        <v>32.799999999999997</v>
      </c>
      <c r="J326" t="s">
        <v>823</v>
      </c>
      <c r="K326">
        <v>6497450</v>
      </c>
    </row>
    <row r="327" spans="1:11" x14ac:dyDescent="0.2">
      <c r="A327" t="s">
        <v>843</v>
      </c>
      <c r="B327" t="s">
        <v>112</v>
      </c>
      <c r="C327" t="s">
        <v>74</v>
      </c>
      <c r="D327">
        <v>1</v>
      </c>
      <c r="E327" t="s">
        <v>815</v>
      </c>
      <c r="F327">
        <v>10226455</v>
      </c>
      <c r="G327" t="s">
        <v>164</v>
      </c>
      <c r="H327" t="s">
        <v>198</v>
      </c>
      <c r="I327">
        <v>1.4</v>
      </c>
      <c r="J327" t="s">
        <v>823</v>
      </c>
      <c r="K327">
        <v>6497450</v>
      </c>
    </row>
    <row r="328" spans="1:11" x14ac:dyDescent="0.2">
      <c r="A328" t="s">
        <v>843</v>
      </c>
      <c r="B328" t="s">
        <v>112</v>
      </c>
      <c r="C328" t="s">
        <v>74</v>
      </c>
      <c r="D328">
        <v>1</v>
      </c>
      <c r="E328" t="s">
        <v>815</v>
      </c>
      <c r="F328">
        <v>10231474</v>
      </c>
      <c r="G328" t="s">
        <v>176</v>
      </c>
      <c r="H328" t="s">
        <v>198</v>
      </c>
      <c r="I328">
        <v>0.1</v>
      </c>
      <c r="J328" t="s">
        <v>823</v>
      </c>
      <c r="K328">
        <v>6497450</v>
      </c>
    </row>
    <row r="329" spans="1:11" x14ac:dyDescent="0.2">
      <c r="A329" t="s">
        <v>843</v>
      </c>
      <c r="B329" t="s">
        <v>112</v>
      </c>
      <c r="C329" t="s">
        <v>74</v>
      </c>
      <c r="D329">
        <v>1</v>
      </c>
      <c r="E329" t="s">
        <v>815</v>
      </c>
      <c r="F329">
        <v>10231475</v>
      </c>
      <c r="G329" t="s">
        <v>177</v>
      </c>
      <c r="H329" t="s">
        <v>198</v>
      </c>
      <c r="I329">
        <v>0.5</v>
      </c>
      <c r="J329" t="s">
        <v>823</v>
      </c>
      <c r="K329">
        <v>6497450</v>
      </c>
    </row>
    <row r="330" spans="1:11" x14ac:dyDescent="0.2">
      <c r="A330" t="s">
        <v>843</v>
      </c>
      <c r="B330" t="s">
        <v>112</v>
      </c>
      <c r="C330" t="s">
        <v>74</v>
      </c>
      <c r="D330">
        <v>1</v>
      </c>
      <c r="E330" t="s">
        <v>815</v>
      </c>
      <c r="F330">
        <v>10231484</v>
      </c>
      <c r="G330" t="s">
        <v>166</v>
      </c>
      <c r="H330" t="s">
        <v>198</v>
      </c>
      <c r="I330">
        <v>0.1</v>
      </c>
      <c r="J330" t="s">
        <v>823</v>
      </c>
      <c r="K330">
        <v>6497450</v>
      </c>
    </row>
    <row r="331" spans="1:11" x14ac:dyDescent="0.2">
      <c r="A331" t="s">
        <v>843</v>
      </c>
      <c r="B331" t="s">
        <v>112</v>
      </c>
      <c r="C331" t="s">
        <v>74</v>
      </c>
      <c r="D331">
        <v>1</v>
      </c>
      <c r="E331" t="s">
        <v>815</v>
      </c>
      <c r="F331">
        <v>10242280</v>
      </c>
      <c r="G331" t="s">
        <v>154</v>
      </c>
      <c r="H331" t="s">
        <v>198</v>
      </c>
      <c r="I331">
        <v>2</v>
      </c>
      <c r="J331" t="s">
        <v>823</v>
      </c>
      <c r="K331">
        <v>6497450</v>
      </c>
    </row>
    <row r="332" spans="1:11" x14ac:dyDescent="0.2">
      <c r="A332" t="s">
        <v>843</v>
      </c>
      <c r="B332" t="s">
        <v>112</v>
      </c>
      <c r="C332" t="s">
        <v>74</v>
      </c>
      <c r="D332">
        <v>1</v>
      </c>
      <c r="E332" t="s">
        <v>815</v>
      </c>
      <c r="F332">
        <v>50066125</v>
      </c>
      <c r="G332" t="s">
        <v>167</v>
      </c>
      <c r="H332" t="s">
        <v>198</v>
      </c>
      <c r="I332">
        <v>3</v>
      </c>
      <c r="J332" t="s">
        <v>823</v>
      </c>
      <c r="K332">
        <v>6497450</v>
      </c>
    </row>
    <row r="333" spans="1:11" x14ac:dyDescent="0.2">
      <c r="A333" t="s">
        <v>843</v>
      </c>
      <c r="B333" t="s">
        <v>112</v>
      </c>
      <c r="C333" t="s">
        <v>74</v>
      </c>
      <c r="D333">
        <v>1</v>
      </c>
      <c r="E333" t="s">
        <v>815</v>
      </c>
      <c r="F333">
        <v>50066133</v>
      </c>
      <c r="G333" t="s">
        <v>168</v>
      </c>
      <c r="H333" t="s">
        <v>198</v>
      </c>
      <c r="I333">
        <v>3</v>
      </c>
      <c r="J333" t="s">
        <v>823</v>
      </c>
      <c r="K333">
        <v>6497450</v>
      </c>
    </row>
    <row r="334" spans="1:11" x14ac:dyDescent="0.2">
      <c r="A334" t="s">
        <v>843</v>
      </c>
      <c r="B334" t="s">
        <v>112</v>
      </c>
      <c r="C334" t="s">
        <v>74</v>
      </c>
      <c r="D334">
        <v>1</v>
      </c>
      <c r="E334" t="s">
        <v>815</v>
      </c>
      <c r="F334">
        <v>50066135</v>
      </c>
      <c r="G334" t="s">
        <v>178</v>
      </c>
      <c r="H334" t="s">
        <v>198</v>
      </c>
      <c r="I334">
        <v>4</v>
      </c>
      <c r="J334" t="s">
        <v>823</v>
      </c>
      <c r="K334">
        <v>6497450</v>
      </c>
    </row>
    <row r="335" spans="1:11" x14ac:dyDescent="0.2">
      <c r="A335" t="s">
        <v>843</v>
      </c>
      <c r="B335" t="s">
        <v>112</v>
      </c>
      <c r="C335" t="s">
        <v>74</v>
      </c>
      <c r="D335">
        <v>1</v>
      </c>
      <c r="E335" t="s">
        <v>815</v>
      </c>
      <c r="F335">
        <v>50066153</v>
      </c>
      <c r="G335" t="s">
        <v>809</v>
      </c>
      <c r="H335" t="s">
        <v>198</v>
      </c>
      <c r="I335">
        <v>36</v>
      </c>
      <c r="J335" t="s">
        <v>823</v>
      </c>
      <c r="K335">
        <v>6497450</v>
      </c>
    </row>
    <row r="336" spans="1:11" x14ac:dyDescent="0.2">
      <c r="A336" t="s">
        <v>843</v>
      </c>
      <c r="B336" t="s">
        <v>112</v>
      </c>
      <c r="C336" t="s">
        <v>74</v>
      </c>
      <c r="D336">
        <v>1</v>
      </c>
      <c r="E336" t="s">
        <v>815</v>
      </c>
      <c r="F336">
        <v>50066154</v>
      </c>
      <c r="G336" t="s">
        <v>803</v>
      </c>
      <c r="H336" t="s">
        <v>198</v>
      </c>
      <c r="I336">
        <v>12</v>
      </c>
      <c r="J336" t="s">
        <v>823</v>
      </c>
      <c r="K336">
        <v>6497450</v>
      </c>
    </row>
    <row r="337" spans="1:11" x14ac:dyDescent="0.2">
      <c r="A337" t="s">
        <v>843</v>
      </c>
      <c r="B337" t="s">
        <v>112</v>
      </c>
      <c r="C337" t="s">
        <v>74</v>
      </c>
      <c r="D337">
        <v>1</v>
      </c>
      <c r="E337" t="s">
        <v>815</v>
      </c>
      <c r="F337">
        <v>50066417</v>
      </c>
      <c r="G337" t="s">
        <v>213</v>
      </c>
      <c r="H337" t="s">
        <v>198</v>
      </c>
      <c r="I337">
        <v>24</v>
      </c>
      <c r="J337" t="s">
        <v>823</v>
      </c>
      <c r="K337">
        <v>6497450</v>
      </c>
    </row>
    <row r="338" spans="1:11" x14ac:dyDescent="0.2">
      <c r="A338" t="s">
        <v>843</v>
      </c>
      <c r="B338" t="s">
        <v>112</v>
      </c>
      <c r="C338" t="s">
        <v>74</v>
      </c>
      <c r="D338">
        <v>1</v>
      </c>
      <c r="E338" t="s">
        <v>815</v>
      </c>
      <c r="F338">
        <v>50066514</v>
      </c>
      <c r="G338" t="s">
        <v>811</v>
      </c>
      <c r="H338" t="s">
        <v>198</v>
      </c>
      <c r="I338">
        <v>12</v>
      </c>
      <c r="J338" t="s">
        <v>823</v>
      </c>
      <c r="K338">
        <v>6497450</v>
      </c>
    </row>
    <row r="339" spans="1:11" x14ac:dyDescent="0.2">
      <c r="A339" t="s">
        <v>843</v>
      </c>
      <c r="B339" t="s">
        <v>112</v>
      </c>
      <c r="C339" t="s">
        <v>74</v>
      </c>
      <c r="D339">
        <v>1</v>
      </c>
      <c r="E339" t="s">
        <v>815</v>
      </c>
      <c r="F339">
        <v>50066803</v>
      </c>
      <c r="G339" t="s">
        <v>797</v>
      </c>
      <c r="H339" t="s">
        <v>198</v>
      </c>
      <c r="I339">
        <v>12</v>
      </c>
      <c r="J339" t="s">
        <v>823</v>
      </c>
      <c r="K339">
        <v>6497450</v>
      </c>
    </row>
    <row r="340" spans="1:11" x14ac:dyDescent="0.2">
      <c r="A340" t="s">
        <v>843</v>
      </c>
      <c r="B340" t="s">
        <v>112</v>
      </c>
      <c r="C340" t="s">
        <v>74</v>
      </c>
      <c r="D340">
        <v>1</v>
      </c>
      <c r="E340" t="s">
        <v>815</v>
      </c>
      <c r="F340">
        <v>50067083</v>
      </c>
      <c r="G340" t="s">
        <v>214</v>
      </c>
      <c r="H340" t="s">
        <v>198</v>
      </c>
      <c r="I340">
        <v>12</v>
      </c>
      <c r="J340" t="s">
        <v>823</v>
      </c>
      <c r="K340">
        <v>6497450</v>
      </c>
    </row>
    <row r="341" spans="1:11" x14ac:dyDescent="0.2">
      <c r="A341" t="s">
        <v>843</v>
      </c>
      <c r="B341" t="s">
        <v>112</v>
      </c>
      <c r="C341" t="s">
        <v>74</v>
      </c>
      <c r="D341">
        <v>1</v>
      </c>
      <c r="E341" t="s">
        <v>815</v>
      </c>
      <c r="F341">
        <v>50067204</v>
      </c>
      <c r="G341" t="s">
        <v>798</v>
      </c>
      <c r="H341" t="s">
        <v>198</v>
      </c>
      <c r="I341">
        <v>12</v>
      </c>
      <c r="J341" t="s">
        <v>823</v>
      </c>
      <c r="K341">
        <v>6497450</v>
      </c>
    </row>
    <row r="342" spans="1:11" x14ac:dyDescent="0.2">
      <c r="A342" t="s">
        <v>843</v>
      </c>
      <c r="B342" t="s">
        <v>112</v>
      </c>
      <c r="C342" t="s">
        <v>74</v>
      </c>
      <c r="D342">
        <v>1</v>
      </c>
      <c r="E342" t="s">
        <v>815</v>
      </c>
      <c r="F342">
        <v>10226402</v>
      </c>
      <c r="G342" t="s">
        <v>156</v>
      </c>
      <c r="H342" t="s">
        <v>198</v>
      </c>
      <c r="I342">
        <v>2.4</v>
      </c>
      <c r="J342" t="s">
        <v>823</v>
      </c>
      <c r="K342">
        <v>6497450</v>
      </c>
    </row>
    <row r="343" spans="1:11" x14ac:dyDescent="0.2">
      <c r="A343" t="s">
        <v>843</v>
      </c>
      <c r="B343" t="s">
        <v>112</v>
      </c>
      <c r="C343" t="s">
        <v>74</v>
      </c>
      <c r="D343">
        <v>1</v>
      </c>
      <c r="E343" t="s">
        <v>815</v>
      </c>
      <c r="F343">
        <v>50062495</v>
      </c>
      <c r="G343" t="s">
        <v>801</v>
      </c>
      <c r="H343" t="s">
        <v>198</v>
      </c>
      <c r="I343">
        <v>24</v>
      </c>
      <c r="J343" t="s">
        <v>823</v>
      </c>
      <c r="K343">
        <v>6497450</v>
      </c>
    </row>
    <row r="344" spans="1:11" x14ac:dyDescent="0.2">
      <c r="A344" t="s">
        <v>844</v>
      </c>
      <c r="B344" t="s">
        <v>112</v>
      </c>
      <c r="C344" t="s">
        <v>74</v>
      </c>
      <c r="D344">
        <v>1</v>
      </c>
      <c r="E344" t="s">
        <v>815</v>
      </c>
      <c r="F344">
        <v>10226405</v>
      </c>
      <c r="G344" t="s">
        <v>115</v>
      </c>
      <c r="H344" t="s">
        <v>826</v>
      </c>
      <c r="I344">
        <v>4.4000000000000004</v>
      </c>
      <c r="J344" t="s">
        <v>823</v>
      </c>
      <c r="K344">
        <v>6497187</v>
      </c>
    </row>
    <row r="345" spans="1:11" x14ac:dyDescent="0.2">
      <c r="A345" t="s">
        <v>844</v>
      </c>
      <c r="B345" t="s">
        <v>112</v>
      </c>
      <c r="C345" t="s">
        <v>74</v>
      </c>
      <c r="D345">
        <v>1</v>
      </c>
      <c r="E345" t="s">
        <v>815</v>
      </c>
      <c r="F345">
        <v>10223657</v>
      </c>
      <c r="G345" t="s">
        <v>116</v>
      </c>
      <c r="H345" t="s">
        <v>826</v>
      </c>
      <c r="I345">
        <v>1.6</v>
      </c>
      <c r="J345" t="s">
        <v>823</v>
      </c>
      <c r="K345">
        <v>6497187</v>
      </c>
    </row>
    <row r="346" spans="1:11" x14ac:dyDescent="0.2">
      <c r="A346" t="s">
        <v>844</v>
      </c>
      <c r="B346" t="s">
        <v>112</v>
      </c>
      <c r="C346" t="s">
        <v>74</v>
      </c>
      <c r="D346">
        <v>1</v>
      </c>
      <c r="E346" t="s">
        <v>815</v>
      </c>
      <c r="F346">
        <v>10226415</v>
      </c>
      <c r="G346" t="s">
        <v>119</v>
      </c>
      <c r="H346" t="s">
        <v>826</v>
      </c>
      <c r="I346">
        <v>1.2</v>
      </c>
      <c r="J346" t="s">
        <v>823</v>
      </c>
      <c r="K346">
        <v>6497187</v>
      </c>
    </row>
    <row r="347" spans="1:11" x14ac:dyDescent="0.2">
      <c r="A347" t="s">
        <v>844</v>
      </c>
      <c r="B347" t="s">
        <v>112</v>
      </c>
      <c r="C347" t="s">
        <v>74</v>
      </c>
      <c r="D347">
        <v>1</v>
      </c>
      <c r="E347" t="s">
        <v>815</v>
      </c>
      <c r="F347">
        <v>10226399</v>
      </c>
      <c r="G347" t="s">
        <v>120</v>
      </c>
      <c r="H347" t="s">
        <v>826</v>
      </c>
      <c r="I347">
        <v>2</v>
      </c>
      <c r="J347" t="s">
        <v>823</v>
      </c>
      <c r="K347">
        <v>6497187</v>
      </c>
    </row>
    <row r="348" spans="1:11" x14ac:dyDescent="0.2">
      <c r="A348" t="s">
        <v>844</v>
      </c>
      <c r="B348" t="s">
        <v>112</v>
      </c>
      <c r="C348" t="s">
        <v>74</v>
      </c>
      <c r="D348">
        <v>1</v>
      </c>
      <c r="E348" t="s">
        <v>815</v>
      </c>
      <c r="F348">
        <v>10215610</v>
      </c>
      <c r="G348" t="s">
        <v>128</v>
      </c>
      <c r="H348" t="s">
        <v>826</v>
      </c>
      <c r="I348">
        <v>13</v>
      </c>
      <c r="J348" t="s">
        <v>823</v>
      </c>
      <c r="K348">
        <v>6497187</v>
      </c>
    </row>
    <row r="349" spans="1:11" x14ac:dyDescent="0.2">
      <c r="A349" t="s">
        <v>844</v>
      </c>
      <c r="B349" t="s">
        <v>112</v>
      </c>
      <c r="C349" t="s">
        <v>74</v>
      </c>
      <c r="D349">
        <v>1</v>
      </c>
      <c r="E349" t="s">
        <v>815</v>
      </c>
      <c r="F349">
        <v>10215641</v>
      </c>
      <c r="G349" t="s">
        <v>129</v>
      </c>
      <c r="H349" t="s">
        <v>826</v>
      </c>
      <c r="I349">
        <v>0.6</v>
      </c>
      <c r="J349" t="s">
        <v>823</v>
      </c>
      <c r="K349">
        <v>6497187</v>
      </c>
    </row>
    <row r="350" spans="1:11" x14ac:dyDescent="0.2">
      <c r="A350" t="s">
        <v>844</v>
      </c>
      <c r="B350" t="s">
        <v>112</v>
      </c>
      <c r="C350" t="s">
        <v>74</v>
      </c>
      <c r="D350">
        <v>1</v>
      </c>
      <c r="E350" t="s">
        <v>815</v>
      </c>
      <c r="F350">
        <v>10226359</v>
      </c>
      <c r="G350" t="s">
        <v>132</v>
      </c>
      <c r="H350" t="s">
        <v>826</v>
      </c>
      <c r="I350">
        <v>0.6</v>
      </c>
      <c r="J350" t="s">
        <v>823</v>
      </c>
      <c r="K350">
        <v>6497187</v>
      </c>
    </row>
    <row r="351" spans="1:11" x14ac:dyDescent="0.2">
      <c r="A351" t="s">
        <v>844</v>
      </c>
      <c r="B351" t="s">
        <v>112</v>
      </c>
      <c r="C351" t="s">
        <v>74</v>
      </c>
      <c r="D351">
        <v>1</v>
      </c>
      <c r="E351" t="s">
        <v>815</v>
      </c>
      <c r="F351">
        <v>10226367</v>
      </c>
      <c r="G351" t="s">
        <v>133</v>
      </c>
      <c r="H351" t="s">
        <v>826</v>
      </c>
      <c r="I351">
        <v>1.4</v>
      </c>
      <c r="J351" t="s">
        <v>823</v>
      </c>
      <c r="K351">
        <v>6497187</v>
      </c>
    </row>
    <row r="352" spans="1:11" x14ac:dyDescent="0.2">
      <c r="A352" t="s">
        <v>844</v>
      </c>
      <c r="B352" t="s">
        <v>112</v>
      </c>
      <c r="C352" t="s">
        <v>74</v>
      </c>
      <c r="D352">
        <v>1</v>
      </c>
      <c r="E352" t="s">
        <v>815</v>
      </c>
      <c r="F352">
        <v>10226368</v>
      </c>
      <c r="G352" t="s">
        <v>134</v>
      </c>
      <c r="H352" t="s">
        <v>826</v>
      </c>
      <c r="I352">
        <v>1</v>
      </c>
      <c r="J352" t="s">
        <v>823</v>
      </c>
      <c r="K352">
        <v>6497187</v>
      </c>
    </row>
    <row r="353" spans="1:11" x14ac:dyDescent="0.2">
      <c r="A353" t="s">
        <v>844</v>
      </c>
      <c r="B353" t="s">
        <v>112</v>
      </c>
      <c r="C353" t="s">
        <v>74</v>
      </c>
      <c r="D353">
        <v>1</v>
      </c>
      <c r="E353" t="s">
        <v>815</v>
      </c>
      <c r="F353">
        <v>10226373</v>
      </c>
      <c r="G353" t="s">
        <v>135</v>
      </c>
      <c r="H353" t="s">
        <v>826</v>
      </c>
      <c r="I353">
        <v>0.2</v>
      </c>
      <c r="J353" t="s">
        <v>823</v>
      </c>
      <c r="K353">
        <v>6497187</v>
      </c>
    </row>
    <row r="354" spans="1:11" x14ac:dyDescent="0.2">
      <c r="A354" t="s">
        <v>844</v>
      </c>
      <c r="B354" t="s">
        <v>112</v>
      </c>
      <c r="C354" t="s">
        <v>74</v>
      </c>
      <c r="D354">
        <v>1</v>
      </c>
      <c r="E354" t="s">
        <v>815</v>
      </c>
      <c r="F354">
        <v>10226374</v>
      </c>
      <c r="G354" t="s">
        <v>182</v>
      </c>
      <c r="H354" t="s">
        <v>826</v>
      </c>
      <c r="I354">
        <v>2.4</v>
      </c>
      <c r="J354" t="s">
        <v>823</v>
      </c>
      <c r="K354">
        <v>6497187</v>
      </c>
    </row>
    <row r="355" spans="1:11" x14ac:dyDescent="0.2">
      <c r="A355" t="s">
        <v>844</v>
      </c>
      <c r="B355" t="s">
        <v>112</v>
      </c>
      <c r="C355" t="s">
        <v>74</v>
      </c>
      <c r="D355">
        <v>1</v>
      </c>
      <c r="E355" t="s">
        <v>815</v>
      </c>
      <c r="F355">
        <v>10226388</v>
      </c>
      <c r="G355" t="s">
        <v>138</v>
      </c>
      <c r="H355" t="s">
        <v>826</v>
      </c>
      <c r="I355">
        <v>0.8</v>
      </c>
      <c r="J355" t="s">
        <v>823</v>
      </c>
      <c r="K355">
        <v>6497187</v>
      </c>
    </row>
    <row r="356" spans="1:11" x14ac:dyDescent="0.2">
      <c r="A356" t="s">
        <v>844</v>
      </c>
      <c r="B356" t="s">
        <v>112</v>
      </c>
      <c r="C356" t="s">
        <v>74</v>
      </c>
      <c r="D356">
        <v>1</v>
      </c>
      <c r="E356" t="s">
        <v>815</v>
      </c>
      <c r="F356">
        <v>10226392</v>
      </c>
      <c r="G356" t="s">
        <v>139</v>
      </c>
      <c r="H356" t="s">
        <v>826</v>
      </c>
      <c r="I356">
        <v>1.8</v>
      </c>
      <c r="J356" t="s">
        <v>823</v>
      </c>
      <c r="K356">
        <v>6497187</v>
      </c>
    </row>
    <row r="357" spans="1:11" x14ac:dyDescent="0.2">
      <c r="A357" t="s">
        <v>844</v>
      </c>
      <c r="B357" t="s">
        <v>112</v>
      </c>
      <c r="C357" t="s">
        <v>74</v>
      </c>
      <c r="D357">
        <v>1</v>
      </c>
      <c r="E357" t="s">
        <v>815</v>
      </c>
      <c r="F357">
        <v>10226398</v>
      </c>
      <c r="G357" t="s">
        <v>140</v>
      </c>
      <c r="H357" t="s">
        <v>826</v>
      </c>
      <c r="I357">
        <v>1.4</v>
      </c>
      <c r="J357" t="s">
        <v>823</v>
      </c>
      <c r="K357">
        <v>6497187</v>
      </c>
    </row>
    <row r="358" spans="1:11" x14ac:dyDescent="0.2">
      <c r="A358" t="s">
        <v>844</v>
      </c>
      <c r="B358" t="s">
        <v>112</v>
      </c>
      <c r="C358" t="s">
        <v>74</v>
      </c>
      <c r="D358">
        <v>1</v>
      </c>
      <c r="E358" t="s">
        <v>815</v>
      </c>
      <c r="F358">
        <v>10226403</v>
      </c>
      <c r="G358" t="s">
        <v>141</v>
      </c>
      <c r="H358" t="s">
        <v>826</v>
      </c>
      <c r="I358">
        <v>1.2</v>
      </c>
      <c r="J358" t="s">
        <v>823</v>
      </c>
      <c r="K358">
        <v>6497187</v>
      </c>
    </row>
    <row r="359" spans="1:11" x14ac:dyDescent="0.2">
      <c r="A359" t="s">
        <v>844</v>
      </c>
      <c r="B359" t="s">
        <v>112</v>
      </c>
      <c r="C359" t="s">
        <v>74</v>
      </c>
      <c r="D359">
        <v>1</v>
      </c>
      <c r="E359" t="s">
        <v>815</v>
      </c>
      <c r="F359">
        <v>10226417</v>
      </c>
      <c r="G359" t="s">
        <v>143</v>
      </c>
      <c r="H359" t="s">
        <v>826</v>
      </c>
      <c r="I359">
        <v>14.4</v>
      </c>
      <c r="J359" t="s">
        <v>823</v>
      </c>
      <c r="K359">
        <v>6497187</v>
      </c>
    </row>
    <row r="360" spans="1:11" x14ac:dyDescent="0.2">
      <c r="A360" t="s">
        <v>844</v>
      </c>
      <c r="B360" t="s">
        <v>112</v>
      </c>
      <c r="C360" t="s">
        <v>74</v>
      </c>
      <c r="D360">
        <v>1</v>
      </c>
      <c r="E360" t="s">
        <v>815</v>
      </c>
      <c r="F360">
        <v>10226428</v>
      </c>
      <c r="G360" t="s">
        <v>146</v>
      </c>
      <c r="H360" t="s">
        <v>826</v>
      </c>
      <c r="I360">
        <v>1.6</v>
      </c>
      <c r="J360" t="s">
        <v>823</v>
      </c>
      <c r="K360">
        <v>6497187</v>
      </c>
    </row>
    <row r="361" spans="1:11" x14ac:dyDescent="0.2">
      <c r="A361" t="s">
        <v>844</v>
      </c>
      <c r="B361" t="s">
        <v>112</v>
      </c>
      <c r="C361" t="s">
        <v>74</v>
      </c>
      <c r="D361">
        <v>1</v>
      </c>
      <c r="E361" t="s">
        <v>815</v>
      </c>
      <c r="F361">
        <v>10226429</v>
      </c>
      <c r="G361" t="s">
        <v>147</v>
      </c>
      <c r="H361" t="s">
        <v>826</v>
      </c>
      <c r="I361">
        <v>6</v>
      </c>
      <c r="J361" t="s">
        <v>823</v>
      </c>
      <c r="K361">
        <v>6497187</v>
      </c>
    </row>
    <row r="362" spans="1:11" x14ac:dyDescent="0.2">
      <c r="A362" t="s">
        <v>844</v>
      </c>
      <c r="B362" t="s">
        <v>112</v>
      </c>
      <c r="C362" t="s">
        <v>74</v>
      </c>
      <c r="D362">
        <v>1</v>
      </c>
      <c r="E362" t="s">
        <v>815</v>
      </c>
      <c r="F362">
        <v>10226439</v>
      </c>
      <c r="G362" t="s">
        <v>163</v>
      </c>
      <c r="H362" t="s">
        <v>826</v>
      </c>
      <c r="I362">
        <v>0.2</v>
      </c>
      <c r="J362" t="s">
        <v>823</v>
      </c>
      <c r="K362">
        <v>6497187</v>
      </c>
    </row>
    <row r="363" spans="1:11" x14ac:dyDescent="0.2">
      <c r="A363" t="s">
        <v>844</v>
      </c>
      <c r="B363" t="s">
        <v>112</v>
      </c>
      <c r="C363" t="s">
        <v>74</v>
      </c>
      <c r="D363">
        <v>1</v>
      </c>
      <c r="E363" t="s">
        <v>815</v>
      </c>
      <c r="F363">
        <v>10226445</v>
      </c>
      <c r="G363" t="s">
        <v>183</v>
      </c>
      <c r="H363" t="s">
        <v>826</v>
      </c>
      <c r="I363">
        <v>9.1999999999999993</v>
      </c>
      <c r="J363" t="s">
        <v>823</v>
      </c>
      <c r="K363">
        <v>6497187</v>
      </c>
    </row>
    <row r="364" spans="1:11" x14ac:dyDescent="0.2">
      <c r="A364" t="s">
        <v>844</v>
      </c>
      <c r="B364" t="s">
        <v>112</v>
      </c>
      <c r="C364" t="s">
        <v>74</v>
      </c>
      <c r="D364">
        <v>1</v>
      </c>
      <c r="E364" t="s">
        <v>815</v>
      </c>
      <c r="F364">
        <v>10226447</v>
      </c>
      <c r="G364" t="s">
        <v>150</v>
      </c>
      <c r="H364" t="s">
        <v>826</v>
      </c>
      <c r="I364">
        <v>1.2</v>
      </c>
      <c r="J364" t="s">
        <v>823</v>
      </c>
      <c r="K364">
        <v>6497187</v>
      </c>
    </row>
    <row r="365" spans="1:11" x14ac:dyDescent="0.2">
      <c r="A365" t="s">
        <v>844</v>
      </c>
      <c r="B365" t="s">
        <v>112</v>
      </c>
      <c r="C365" t="s">
        <v>74</v>
      </c>
      <c r="D365">
        <v>1</v>
      </c>
      <c r="E365" t="s">
        <v>815</v>
      </c>
      <c r="F365">
        <v>10226454</v>
      </c>
      <c r="G365" t="s">
        <v>152</v>
      </c>
      <c r="H365" t="s">
        <v>826</v>
      </c>
      <c r="I365">
        <v>4.8</v>
      </c>
      <c r="J365" t="s">
        <v>823</v>
      </c>
      <c r="K365">
        <v>6497187</v>
      </c>
    </row>
    <row r="366" spans="1:11" x14ac:dyDescent="0.2">
      <c r="A366" t="s">
        <v>844</v>
      </c>
      <c r="B366" t="s">
        <v>112</v>
      </c>
      <c r="C366" t="s">
        <v>74</v>
      </c>
      <c r="D366">
        <v>1</v>
      </c>
      <c r="E366" t="s">
        <v>815</v>
      </c>
      <c r="F366">
        <v>10226455</v>
      </c>
      <c r="G366" t="s">
        <v>164</v>
      </c>
      <c r="H366" t="s">
        <v>826</v>
      </c>
      <c r="I366">
        <v>1.2</v>
      </c>
      <c r="J366" t="s">
        <v>823</v>
      </c>
      <c r="K366">
        <v>6497187</v>
      </c>
    </row>
    <row r="367" spans="1:11" x14ac:dyDescent="0.2">
      <c r="A367" t="s">
        <v>844</v>
      </c>
      <c r="B367" t="s">
        <v>112</v>
      </c>
      <c r="C367" t="s">
        <v>74</v>
      </c>
      <c r="D367">
        <v>1</v>
      </c>
      <c r="E367" t="s">
        <v>815</v>
      </c>
      <c r="F367">
        <v>50066863</v>
      </c>
      <c r="G367" t="s">
        <v>802</v>
      </c>
      <c r="H367" t="s">
        <v>826</v>
      </c>
      <c r="I367">
        <v>24</v>
      </c>
      <c r="J367" t="s">
        <v>823</v>
      </c>
      <c r="K367">
        <v>6497187</v>
      </c>
    </row>
    <row r="368" spans="1:11" x14ac:dyDescent="0.2">
      <c r="A368" t="s">
        <v>844</v>
      </c>
      <c r="B368" t="s">
        <v>112</v>
      </c>
      <c r="C368" t="s">
        <v>74</v>
      </c>
      <c r="D368">
        <v>1</v>
      </c>
      <c r="E368" t="s">
        <v>815</v>
      </c>
      <c r="F368">
        <v>10226402</v>
      </c>
      <c r="G368" t="s">
        <v>156</v>
      </c>
      <c r="H368" t="s">
        <v>826</v>
      </c>
      <c r="I368">
        <v>1.6</v>
      </c>
      <c r="J368" t="s">
        <v>823</v>
      </c>
      <c r="K368">
        <v>6497187</v>
      </c>
    </row>
    <row r="369" spans="1:11" x14ac:dyDescent="0.2">
      <c r="A369" t="s">
        <v>845</v>
      </c>
      <c r="B369" t="s">
        <v>112</v>
      </c>
      <c r="C369" t="s">
        <v>74</v>
      </c>
      <c r="D369">
        <v>1</v>
      </c>
      <c r="E369" t="s">
        <v>815</v>
      </c>
      <c r="F369">
        <v>10224293</v>
      </c>
      <c r="G369" t="s">
        <v>113</v>
      </c>
      <c r="H369" t="s">
        <v>827</v>
      </c>
      <c r="I369">
        <v>1.2</v>
      </c>
      <c r="J369" t="s">
        <v>823</v>
      </c>
      <c r="K369">
        <v>6497750</v>
      </c>
    </row>
    <row r="370" spans="1:11" x14ac:dyDescent="0.2">
      <c r="A370" t="s">
        <v>845</v>
      </c>
      <c r="B370" t="s">
        <v>112</v>
      </c>
      <c r="C370" t="s">
        <v>74</v>
      </c>
      <c r="D370">
        <v>1</v>
      </c>
      <c r="E370" t="s">
        <v>815</v>
      </c>
      <c r="F370">
        <v>10226405</v>
      </c>
      <c r="G370" t="s">
        <v>115</v>
      </c>
      <c r="H370" t="s">
        <v>827</v>
      </c>
      <c r="I370">
        <v>22.8</v>
      </c>
      <c r="J370" t="s">
        <v>823</v>
      </c>
      <c r="K370">
        <v>6497750</v>
      </c>
    </row>
    <row r="371" spans="1:11" x14ac:dyDescent="0.2">
      <c r="A371" t="s">
        <v>845</v>
      </c>
      <c r="B371" t="s">
        <v>112</v>
      </c>
      <c r="C371" t="s">
        <v>74</v>
      </c>
      <c r="D371">
        <v>1</v>
      </c>
      <c r="E371" t="s">
        <v>815</v>
      </c>
      <c r="F371">
        <v>10198819</v>
      </c>
      <c r="G371" t="s">
        <v>117</v>
      </c>
      <c r="H371" t="s">
        <v>827</v>
      </c>
      <c r="I371">
        <v>0.4</v>
      </c>
      <c r="J371" t="s">
        <v>823</v>
      </c>
      <c r="K371">
        <v>6497750</v>
      </c>
    </row>
    <row r="372" spans="1:11" x14ac:dyDescent="0.2">
      <c r="A372" t="s">
        <v>845</v>
      </c>
      <c r="B372" t="s">
        <v>112</v>
      </c>
      <c r="C372" t="s">
        <v>74</v>
      </c>
      <c r="D372">
        <v>1</v>
      </c>
      <c r="E372" t="s">
        <v>815</v>
      </c>
      <c r="F372">
        <v>10226399</v>
      </c>
      <c r="G372" t="s">
        <v>120</v>
      </c>
      <c r="H372" t="s">
        <v>827</v>
      </c>
      <c r="I372">
        <v>4.2</v>
      </c>
      <c r="J372" t="s">
        <v>823</v>
      </c>
      <c r="K372">
        <v>6497750</v>
      </c>
    </row>
    <row r="373" spans="1:11" x14ac:dyDescent="0.2">
      <c r="A373" t="s">
        <v>845</v>
      </c>
      <c r="B373" t="s">
        <v>112</v>
      </c>
      <c r="C373" t="s">
        <v>74</v>
      </c>
      <c r="D373">
        <v>1</v>
      </c>
      <c r="E373" t="s">
        <v>815</v>
      </c>
      <c r="F373">
        <v>50065406</v>
      </c>
      <c r="G373" t="s">
        <v>159</v>
      </c>
      <c r="H373" t="s">
        <v>827</v>
      </c>
      <c r="I373">
        <v>48</v>
      </c>
      <c r="J373" t="s">
        <v>823</v>
      </c>
      <c r="K373">
        <v>6497750</v>
      </c>
    </row>
    <row r="374" spans="1:11" x14ac:dyDescent="0.2">
      <c r="A374" t="s">
        <v>845</v>
      </c>
      <c r="B374" t="s">
        <v>112</v>
      </c>
      <c r="C374" t="s">
        <v>74</v>
      </c>
      <c r="D374">
        <v>1</v>
      </c>
      <c r="E374" t="s">
        <v>815</v>
      </c>
      <c r="F374">
        <v>50065409</v>
      </c>
      <c r="G374" t="s">
        <v>799</v>
      </c>
      <c r="H374" t="s">
        <v>827</v>
      </c>
      <c r="I374">
        <v>16</v>
      </c>
      <c r="J374" t="s">
        <v>823</v>
      </c>
      <c r="K374">
        <v>6497750</v>
      </c>
    </row>
    <row r="375" spans="1:11" x14ac:dyDescent="0.2">
      <c r="A375" t="s">
        <v>845</v>
      </c>
      <c r="B375" t="s">
        <v>112</v>
      </c>
      <c r="C375" t="s">
        <v>74</v>
      </c>
      <c r="D375">
        <v>1</v>
      </c>
      <c r="E375" t="s">
        <v>815</v>
      </c>
      <c r="F375">
        <v>10242292</v>
      </c>
      <c r="G375" t="s">
        <v>122</v>
      </c>
      <c r="H375" t="s">
        <v>827</v>
      </c>
      <c r="I375">
        <v>5.2</v>
      </c>
      <c r="J375" t="s">
        <v>823</v>
      </c>
      <c r="K375">
        <v>6497750</v>
      </c>
    </row>
    <row r="376" spans="1:11" x14ac:dyDescent="0.2">
      <c r="A376" t="s">
        <v>845</v>
      </c>
      <c r="B376" t="s">
        <v>112</v>
      </c>
      <c r="C376" t="s">
        <v>74</v>
      </c>
      <c r="D376">
        <v>1</v>
      </c>
      <c r="E376" t="s">
        <v>815</v>
      </c>
      <c r="F376">
        <v>10242293</v>
      </c>
      <c r="G376" t="s">
        <v>123</v>
      </c>
      <c r="H376" t="s">
        <v>827</v>
      </c>
      <c r="I376">
        <v>1.6</v>
      </c>
      <c r="J376" t="s">
        <v>823</v>
      </c>
      <c r="K376">
        <v>6497750</v>
      </c>
    </row>
    <row r="377" spans="1:11" x14ac:dyDescent="0.2">
      <c r="A377" t="s">
        <v>845</v>
      </c>
      <c r="B377" t="s">
        <v>112</v>
      </c>
      <c r="C377" t="s">
        <v>74</v>
      </c>
      <c r="D377">
        <v>1</v>
      </c>
      <c r="E377" t="s">
        <v>815</v>
      </c>
      <c r="F377">
        <v>50994945</v>
      </c>
      <c r="G377" t="s">
        <v>124</v>
      </c>
      <c r="H377" t="s">
        <v>827</v>
      </c>
      <c r="I377">
        <v>12</v>
      </c>
      <c r="J377" t="s">
        <v>823</v>
      </c>
      <c r="K377">
        <v>6497750</v>
      </c>
    </row>
    <row r="378" spans="1:11" x14ac:dyDescent="0.2">
      <c r="A378" t="s">
        <v>845</v>
      </c>
      <c r="B378" t="s">
        <v>112</v>
      </c>
      <c r="C378" t="s">
        <v>74</v>
      </c>
      <c r="D378">
        <v>1</v>
      </c>
      <c r="E378" t="s">
        <v>815</v>
      </c>
      <c r="F378">
        <v>10247603</v>
      </c>
      <c r="G378" t="s">
        <v>125</v>
      </c>
      <c r="H378" t="s">
        <v>827</v>
      </c>
      <c r="I378">
        <v>4.0999999999999996</v>
      </c>
      <c r="J378" t="s">
        <v>823</v>
      </c>
      <c r="K378">
        <v>6497750</v>
      </c>
    </row>
    <row r="379" spans="1:11" x14ac:dyDescent="0.2">
      <c r="A379" t="s">
        <v>845</v>
      </c>
      <c r="B379" t="s">
        <v>112</v>
      </c>
      <c r="C379" t="s">
        <v>74</v>
      </c>
      <c r="D379">
        <v>1</v>
      </c>
      <c r="E379" t="s">
        <v>815</v>
      </c>
      <c r="F379">
        <v>50065401</v>
      </c>
      <c r="G379" t="s">
        <v>800</v>
      </c>
      <c r="H379" t="s">
        <v>827</v>
      </c>
      <c r="I379">
        <v>16</v>
      </c>
      <c r="J379" t="s">
        <v>823</v>
      </c>
      <c r="K379">
        <v>6497750</v>
      </c>
    </row>
    <row r="380" spans="1:11" x14ac:dyDescent="0.2">
      <c r="A380" t="s">
        <v>845</v>
      </c>
      <c r="B380" t="s">
        <v>112</v>
      </c>
      <c r="C380" t="s">
        <v>74</v>
      </c>
      <c r="D380">
        <v>1</v>
      </c>
      <c r="E380" t="s">
        <v>815</v>
      </c>
      <c r="F380">
        <v>10215610</v>
      </c>
      <c r="G380" t="s">
        <v>128</v>
      </c>
      <c r="H380" t="s">
        <v>827</v>
      </c>
      <c r="I380">
        <v>22</v>
      </c>
      <c r="J380" t="s">
        <v>823</v>
      </c>
      <c r="K380">
        <v>6497750</v>
      </c>
    </row>
    <row r="381" spans="1:11" x14ac:dyDescent="0.2">
      <c r="A381" t="s">
        <v>845</v>
      </c>
      <c r="B381" t="s">
        <v>112</v>
      </c>
      <c r="C381" t="s">
        <v>74</v>
      </c>
      <c r="D381">
        <v>1</v>
      </c>
      <c r="E381" t="s">
        <v>815</v>
      </c>
      <c r="F381">
        <v>10215641</v>
      </c>
      <c r="G381" t="s">
        <v>129</v>
      </c>
      <c r="H381" t="s">
        <v>827</v>
      </c>
      <c r="I381">
        <v>2.9</v>
      </c>
      <c r="J381" t="s">
        <v>823</v>
      </c>
      <c r="K381">
        <v>6497750</v>
      </c>
    </row>
    <row r="382" spans="1:11" x14ac:dyDescent="0.2">
      <c r="A382" t="s">
        <v>845</v>
      </c>
      <c r="B382" t="s">
        <v>112</v>
      </c>
      <c r="C382" t="s">
        <v>74</v>
      </c>
      <c r="D382">
        <v>1</v>
      </c>
      <c r="E382" t="s">
        <v>815</v>
      </c>
      <c r="F382">
        <v>10223108</v>
      </c>
      <c r="G382" t="s">
        <v>130</v>
      </c>
      <c r="H382" t="s">
        <v>827</v>
      </c>
      <c r="I382">
        <v>1.9</v>
      </c>
      <c r="J382" t="s">
        <v>823</v>
      </c>
      <c r="K382">
        <v>6497750</v>
      </c>
    </row>
    <row r="383" spans="1:11" x14ac:dyDescent="0.2">
      <c r="A383" t="s">
        <v>845</v>
      </c>
      <c r="B383" t="s">
        <v>112</v>
      </c>
      <c r="C383" t="s">
        <v>74</v>
      </c>
      <c r="D383">
        <v>1</v>
      </c>
      <c r="E383" t="s">
        <v>815</v>
      </c>
      <c r="F383">
        <v>10226339</v>
      </c>
      <c r="G383" t="s">
        <v>173</v>
      </c>
      <c r="H383" t="s">
        <v>827</v>
      </c>
      <c r="I383">
        <v>0.4</v>
      </c>
      <c r="J383" t="s">
        <v>823</v>
      </c>
      <c r="K383">
        <v>6497750</v>
      </c>
    </row>
    <row r="384" spans="1:11" x14ac:dyDescent="0.2">
      <c r="A384" t="s">
        <v>845</v>
      </c>
      <c r="B384" t="s">
        <v>112</v>
      </c>
      <c r="C384" t="s">
        <v>74</v>
      </c>
      <c r="D384">
        <v>1</v>
      </c>
      <c r="E384" t="s">
        <v>815</v>
      </c>
      <c r="F384">
        <v>10226367</v>
      </c>
      <c r="G384" t="s">
        <v>133</v>
      </c>
      <c r="H384" t="s">
        <v>827</v>
      </c>
      <c r="I384">
        <v>3.2</v>
      </c>
      <c r="J384" t="s">
        <v>823</v>
      </c>
      <c r="K384">
        <v>6497750</v>
      </c>
    </row>
    <row r="385" spans="1:11" x14ac:dyDescent="0.2">
      <c r="A385" t="s">
        <v>845</v>
      </c>
      <c r="B385" t="s">
        <v>112</v>
      </c>
      <c r="C385" t="s">
        <v>74</v>
      </c>
      <c r="D385">
        <v>1</v>
      </c>
      <c r="E385" t="s">
        <v>815</v>
      </c>
      <c r="F385">
        <v>10226368</v>
      </c>
      <c r="G385" t="s">
        <v>134</v>
      </c>
      <c r="H385" t="s">
        <v>827</v>
      </c>
      <c r="I385">
        <v>2.8</v>
      </c>
      <c r="J385" t="s">
        <v>823</v>
      </c>
      <c r="K385">
        <v>6497750</v>
      </c>
    </row>
    <row r="386" spans="1:11" x14ac:dyDescent="0.2">
      <c r="A386" t="s">
        <v>845</v>
      </c>
      <c r="B386" t="s">
        <v>112</v>
      </c>
      <c r="C386" t="s">
        <v>74</v>
      </c>
      <c r="D386">
        <v>1</v>
      </c>
      <c r="E386" t="s">
        <v>815</v>
      </c>
      <c r="F386">
        <v>10226373</v>
      </c>
      <c r="G386" t="s">
        <v>135</v>
      </c>
      <c r="H386" t="s">
        <v>827</v>
      </c>
      <c r="I386">
        <v>7.3</v>
      </c>
      <c r="J386" t="s">
        <v>823</v>
      </c>
      <c r="K386">
        <v>6497750</v>
      </c>
    </row>
    <row r="387" spans="1:11" x14ac:dyDescent="0.2">
      <c r="A387" t="s">
        <v>845</v>
      </c>
      <c r="B387" t="s">
        <v>112</v>
      </c>
      <c r="C387" t="s">
        <v>74</v>
      </c>
      <c r="D387">
        <v>1</v>
      </c>
      <c r="E387" t="s">
        <v>815</v>
      </c>
      <c r="F387">
        <v>10226377</v>
      </c>
      <c r="G387" t="s">
        <v>136</v>
      </c>
      <c r="H387" t="s">
        <v>827</v>
      </c>
      <c r="I387">
        <v>0.4</v>
      </c>
      <c r="J387" t="s">
        <v>823</v>
      </c>
      <c r="K387">
        <v>6497750</v>
      </c>
    </row>
    <row r="388" spans="1:11" x14ac:dyDescent="0.2">
      <c r="A388" t="s">
        <v>845</v>
      </c>
      <c r="B388" t="s">
        <v>112</v>
      </c>
      <c r="C388" t="s">
        <v>74</v>
      </c>
      <c r="D388">
        <v>1</v>
      </c>
      <c r="E388" t="s">
        <v>815</v>
      </c>
      <c r="F388">
        <v>10226392</v>
      </c>
      <c r="G388" t="s">
        <v>139</v>
      </c>
      <c r="H388" t="s">
        <v>827</v>
      </c>
      <c r="I388">
        <v>2.8</v>
      </c>
      <c r="J388" t="s">
        <v>823</v>
      </c>
      <c r="K388">
        <v>6497750</v>
      </c>
    </row>
    <row r="389" spans="1:11" x14ac:dyDescent="0.2">
      <c r="A389" t="s">
        <v>845</v>
      </c>
      <c r="B389" t="s">
        <v>112</v>
      </c>
      <c r="C389" t="s">
        <v>74</v>
      </c>
      <c r="D389">
        <v>1</v>
      </c>
      <c r="E389" t="s">
        <v>815</v>
      </c>
      <c r="F389">
        <v>10226398</v>
      </c>
      <c r="G389" t="s">
        <v>140</v>
      </c>
      <c r="H389" t="s">
        <v>827</v>
      </c>
      <c r="I389">
        <v>6</v>
      </c>
      <c r="J389" t="s">
        <v>823</v>
      </c>
      <c r="K389">
        <v>6497750</v>
      </c>
    </row>
    <row r="390" spans="1:11" x14ac:dyDescent="0.2">
      <c r="A390" t="s">
        <v>845</v>
      </c>
      <c r="B390" t="s">
        <v>112</v>
      </c>
      <c r="C390" t="s">
        <v>74</v>
      </c>
      <c r="D390">
        <v>1</v>
      </c>
      <c r="E390" t="s">
        <v>815</v>
      </c>
      <c r="F390">
        <v>10226403</v>
      </c>
      <c r="G390" t="s">
        <v>141</v>
      </c>
      <c r="H390" t="s">
        <v>827</v>
      </c>
      <c r="I390">
        <v>3.8</v>
      </c>
      <c r="J390" t="s">
        <v>823</v>
      </c>
      <c r="K390">
        <v>6497750</v>
      </c>
    </row>
    <row r="391" spans="1:11" x14ac:dyDescent="0.2">
      <c r="A391" t="s">
        <v>845</v>
      </c>
      <c r="B391" t="s">
        <v>112</v>
      </c>
      <c r="C391" t="s">
        <v>74</v>
      </c>
      <c r="D391">
        <v>1</v>
      </c>
      <c r="E391" t="s">
        <v>815</v>
      </c>
      <c r="F391">
        <v>10226410</v>
      </c>
      <c r="G391" t="s">
        <v>142</v>
      </c>
      <c r="H391" t="s">
        <v>827</v>
      </c>
      <c r="I391">
        <v>0.4</v>
      </c>
      <c r="J391" t="s">
        <v>823</v>
      </c>
      <c r="K391">
        <v>6497750</v>
      </c>
    </row>
    <row r="392" spans="1:11" x14ac:dyDescent="0.2">
      <c r="A392" t="s">
        <v>845</v>
      </c>
      <c r="B392" t="s">
        <v>112</v>
      </c>
      <c r="C392" t="s">
        <v>74</v>
      </c>
      <c r="D392">
        <v>1</v>
      </c>
      <c r="E392" t="s">
        <v>815</v>
      </c>
      <c r="F392">
        <v>10226417</v>
      </c>
      <c r="G392" t="s">
        <v>143</v>
      </c>
      <c r="H392" t="s">
        <v>827</v>
      </c>
      <c r="I392">
        <v>11</v>
      </c>
      <c r="J392" t="s">
        <v>823</v>
      </c>
      <c r="K392">
        <v>6497750</v>
      </c>
    </row>
    <row r="393" spans="1:11" x14ac:dyDescent="0.2">
      <c r="A393" t="s">
        <v>845</v>
      </c>
      <c r="B393" t="s">
        <v>112</v>
      </c>
      <c r="C393" t="s">
        <v>74</v>
      </c>
      <c r="D393">
        <v>1</v>
      </c>
      <c r="E393" t="s">
        <v>815</v>
      </c>
      <c r="F393">
        <v>10226418</v>
      </c>
      <c r="G393" t="s">
        <v>144</v>
      </c>
      <c r="H393" t="s">
        <v>827</v>
      </c>
      <c r="I393">
        <v>0.4</v>
      </c>
      <c r="J393" t="s">
        <v>823</v>
      </c>
      <c r="K393">
        <v>6497750</v>
      </c>
    </row>
    <row r="394" spans="1:11" x14ac:dyDescent="0.2">
      <c r="A394" t="s">
        <v>845</v>
      </c>
      <c r="B394" t="s">
        <v>112</v>
      </c>
      <c r="C394" t="s">
        <v>74</v>
      </c>
      <c r="D394">
        <v>1</v>
      </c>
      <c r="E394" t="s">
        <v>815</v>
      </c>
      <c r="F394">
        <v>10226422</v>
      </c>
      <c r="G394" t="s">
        <v>162</v>
      </c>
      <c r="H394" t="s">
        <v>827</v>
      </c>
      <c r="I394">
        <v>1.2</v>
      </c>
      <c r="J394" t="s">
        <v>823</v>
      </c>
      <c r="K394">
        <v>6497750</v>
      </c>
    </row>
    <row r="395" spans="1:11" x14ac:dyDescent="0.2">
      <c r="A395" t="s">
        <v>845</v>
      </c>
      <c r="B395" t="s">
        <v>112</v>
      </c>
      <c r="C395" t="s">
        <v>74</v>
      </c>
      <c r="D395">
        <v>1</v>
      </c>
      <c r="E395" t="s">
        <v>815</v>
      </c>
      <c r="F395">
        <v>10226429</v>
      </c>
      <c r="G395" t="s">
        <v>147</v>
      </c>
      <c r="H395" t="s">
        <v>827</v>
      </c>
      <c r="I395">
        <v>11.7</v>
      </c>
      <c r="J395" t="s">
        <v>823</v>
      </c>
      <c r="K395">
        <v>6497750</v>
      </c>
    </row>
    <row r="396" spans="1:11" x14ac:dyDescent="0.2">
      <c r="A396" t="s">
        <v>845</v>
      </c>
      <c r="B396" t="s">
        <v>112</v>
      </c>
      <c r="C396" t="s">
        <v>74</v>
      </c>
      <c r="D396">
        <v>1</v>
      </c>
      <c r="E396" t="s">
        <v>815</v>
      </c>
      <c r="F396">
        <v>10226435</v>
      </c>
      <c r="G396" t="s">
        <v>148</v>
      </c>
      <c r="H396" t="s">
        <v>827</v>
      </c>
      <c r="I396">
        <v>0.4</v>
      </c>
      <c r="J396" t="s">
        <v>823</v>
      </c>
      <c r="K396">
        <v>6497750</v>
      </c>
    </row>
    <row r="397" spans="1:11" x14ac:dyDescent="0.2">
      <c r="A397" t="s">
        <v>845</v>
      </c>
      <c r="B397" t="s">
        <v>112</v>
      </c>
      <c r="C397" t="s">
        <v>74</v>
      </c>
      <c r="D397">
        <v>1</v>
      </c>
      <c r="E397" t="s">
        <v>815</v>
      </c>
      <c r="F397">
        <v>10226444</v>
      </c>
      <c r="G397" t="s">
        <v>200</v>
      </c>
      <c r="H397" t="s">
        <v>827</v>
      </c>
      <c r="I397">
        <v>0.36</v>
      </c>
      <c r="J397" t="s">
        <v>823</v>
      </c>
      <c r="K397">
        <v>6497750</v>
      </c>
    </row>
    <row r="398" spans="1:11" x14ac:dyDescent="0.2">
      <c r="A398" t="s">
        <v>845</v>
      </c>
      <c r="B398" t="s">
        <v>112</v>
      </c>
      <c r="C398" t="s">
        <v>74</v>
      </c>
      <c r="D398">
        <v>1</v>
      </c>
      <c r="E398" t="s">
        <v>815</v>
      </c>
      <c r="F398">
        <v>10226452</v>
      </c>
      <c r="G398" t="s">
        <v>151</v>
      </c>
      <c r="H398" t="s">
        <v>827</v>
      </c>
      <c r="I398">
        <v>1.6</v>
      </c>
      <c r="J398" t="s">
        <v>823</v>
      </c>
      <c r="K398">
        <v>6497750</v>
      </c>
    </row>
    <row r="399" spans="1:11" x14ac:dyDescent="0.2">
      <c r="A399" t="s">
        <v>845</v>
      </c>
      <c r="B399" t="s">
        <v>112</v>
      </c>
      <c r="C399" t="s">
        <v>74</v>
      </c>
      <c r="D399">
        <v>1</v>
      </c>
      <c r="E399" t="s">
        <v>815</v>
      </c>
      <c r="F399">
        <v>10226454</v>
      </c>
      <c r="G399" t="s">
        <v>152</v>
      </c>
      <c r="H399" t="s">
        <v>827</v>
      </c>
      <c r="I399">
        <v>3.5</v>
      </c>
      <c r="J399" t="s">
        <v>823</v>
      </c>
      <c r="K399">
        <v>6497750</v>
      </c>
    </row>
    <row r="400" spans="1:11" x14ac:dyDescent="0.2">
      <c r="A400" t="s">
        <v>845</v>
      </c>
      <c r="B400" t="s">
        <v>112</v>
      </c>
      <c r="C400" t="s">
        <v>74</v>
      </c>
      <c r="D400">
        <v>1</v>
      </c>
      <c r="E400" t="s">
        <v>815</v>
      </c>
      <c r="F400">
        <v>10231484</v>
      </c>
      <c r="G400" t="s">
        <v>166</v>
      </c>
      <c r="H400" t="s">
        <v>827</v>
      </c>
      <c r="I400">
        <v>0.2</v>
      </c>
      <c r="J400" t="s">
        <v>823</v>
      </c>
      <c r="K400">
        <v>6497750</v>
      </c>
    </row>
    <row r="401" spans="1:11" x14ac:dyDescent="0.2">
      <c r="A401" t="s">
        <v>845</v>
      </c>
      <c r="B401" t="s">
        <v>112</v>
      </c>
      <c r="C401" t="s">
        <v>74</v>
      </c>
      <c r="D401">
        <v>1</v>
      </c>
      <c r="E401" t="s">
        <v>815</v>
      </c>
      <c r="F401">
        <v>10226402</v>
      </c>
      <c r="G401" t="s">
        <v>156</v>
      </c>
      <c r="H401" t="s">
        <v>827</v>
      </c>
      <c r="I401">
        <v>0.8</v>
      </c>
      <c r="J401" t="s">
        <v>823</v>
      </c>
      <c r="K401">
        <v>6497750</v>
      </c>
    </row>
    <row r="402" spans="1:11" x14ac:dyDescent="0.2">
      <c r="A402" t="s">
        <v>845</v>
      </c>
      <c r="B402" t="s">
        <v>112</v>
      </c>
      <c r="C402" t="s">
        <v>74</v>
      </c>
      <c r="D402">
        <v>1</v>
      </c>
      <c r="E402" t="s">
        <v>815</v>
      </c>
      <c r="F402">
        <v>50063694</v>
      </c>
      <c r="G402" t="s">
        <v>180</v>
      </c>
      <c r="H402" t="s">
        <v>827</v>
      </c>
      <c r="I402">
        <v>26</v>
      </c>
      <c r="J402" t="s">
        <v>823</v>
      </c>
      <c r="K402">
        <v>6497750</v>
      </c>
    </row>
    <row r="403" spans="1:11" x14ac:dyDescent="0.2">
      <c r="A403" t="s">
        <v>846</v>
      </c>
      <c r="B403" t="s">
        <v>112</v>
      </c>
      <c r="C403" t="s">
        <v>74</v>
      </c>
      <c r="D403">
        <v>1</v>
      </c>
      <c r="E403" t="s">
        <v>815</v>
      </c>
      <c r="F403">
        <v>10224293</v>
      </c>
      <c r="G403" t="s">
        <v>113</v>
      </c>
      <c r="H403" t="s">
        <v>817</v>
      </c>
      <c r="I403">
        <v>4.2</v>
      </c>
      <c r="J403" t="s">
        <v>823</v>
      </c>
      <c r="K403">
        <v>6497427</v>
      </c>
    </row>
    <row r="404" spans="1:11" x14ac:dyDescent="0.2">
      <c r="A404" t="s">
        <v>846</v>
      </c>
      <c r="B404" t="s">
        <v>112</v>
      </c>
      <c r="C404" t="s">
        <v>74</v>
      </c>
      <c r="D404">
        <v>1</v>
      </c>
      <c r="E404" t="s">
        <v>815</v>
      </c>
      <c r="F404">
        <v>10226405</v>
      </c>
      <c r="G404" t="s">
        <v>115</v>
      </c>
      <c r="H404" t="s">
        <v>817</v>
      </c>
      <c r="I404">
        <v>24</v>
      </c>
      <c r="J404" t="s">
        <v>823</v>
      </c>
      <c r="K404">
        <v>6497427</v>
      </c>
    </row>
    <row r="405" spans="1:11" x14ac:dyDescent="0.2">
      <c r="A405" t="s">
        <v>846</v>
      </c>
      <c r="B405" t="s">
        <v>112</v>
      </c>
      <c r="C405" t="s">
        <v>74</v>
      </c>
      <c r="D405">
        <v>1</v>
      </c>
      <c r="E405" t="s">
        <v>815</v>
      </c>
      <c r="F405">
        <v>10223657</v>
      </c>
      <c r="G405" t="s">
        <v>116</v>
      </c>
      <c r="H405" t="s">
        <v>817</v>
      </c>
      <c r="I405">
        <v>3.4</v>
      </c>
      <c r="J405" t="s">
        <v>823</v>
      </c>
      <c r="K405">
        <v>6497427</v>
      </c>
    </row>
    <row r="406" spans="1:11" x14ac:dyDescent="0.2">
      <c r="A406" t="s">
        <v>846</v>
      </c>
      <c r="B406" t="s">
        <v>112</v>
      </c>
      <c r="C406" t="s">
        <v>74</v>
      </c>
      <c r="D406">
        <v>1</v>
      </c>
      <c r="E406" t="s">
        <v>815</v>
      </c>
      <c r="F406">
        <v>10198819</v>
      </c>
      <c r="G406" t="s">
        <v>117</v>
      </c>
      <c r="H406" t="s">
        <v>817</v>
      </c>
      <c r="I406">
        <v>0.4</v>
      </c>
      <c r="J406" t="s">
        <v>823</v>
      </c>
      <c r="K406">
        <v>6497427</v>
      </c>
    </row>
    <row r="407" spans="1:11" x14ac:dyDescent="0.2">
      <c r="A407" t="s">
        <v>846</v>
      </c>
      <c r="B407" t="s">
        <v>112</v>
      </c>
      <c r="C407" t="s">
        <v>74</v>
      </c>
      <c r="D407">
        <v>1</v>
      </c>
      <c r="E407" t="s">
        <v>815</v>
      </c>
      <c r="F407">
        <v>10226361</v>
      </c>
      <c r="G407" t="s">
        <v>118</v>
      </c>
      <c r="H407" t="s">
        <v>817</v>
      </c>
      <c r="I407">
        <v>1</v>
      </c>
      <c r="J407" t="s">
        <v>823</v>
      </c>
      <c r="K407">
        <v>6497427</v>
      </c>
    </row>
    <row r="408" spans="1:11" x14ac:dyDescent="0.2">
      <c r="A408" t="s">
        <v>846</v>
      </c>
      <c r="B408" t="s">
        <v>112</v>
      </c>
      <c r="C408" t="s">
        <v>74</v>
      </c>
      <c r="D408">
        <v>1</v>
      </c>
      <c r="E408" t="s">
        <v>815</v>
      </c>
      <c r="F408">
        <v>10226415</v>
      </c>
      <c r="G408" t="s">
        <v>119</v>
      </c>
      <c r="H408" t="s">
        <v>817</v>
      </c>
      <c r="I408">
        <v>2</v>
      </c>
      <c r="J408" t="s">
        <v>823</v>
      </c>
      <c r="K408">
        <v>6497427</v>
      </c>
    </row>
    <row r="409" spans="1:11" x14ac:dyDescent="0.2">
      <c r="A409" t="s">
        <v>846</v>
      </c>
      <c r="B409" t="s">
        <v>112</v>
      </c>
      <c r="C409" t="s">
        <v>74</v>
      </c>
      <c r="D409">
        <v>1</v>
      </c>
      <c r="E409" t="s">
        <v>815</v>
      </c>
      <c r="F409">
        <v>10226399</v>
      </c>
      <c r="G409" t="s">
        <v>120</v>
      </c>
      <c r="H409" t="s">
        <v>817</v>
      </c>
      <c r="I409">
        <v>6.4</v>
      </c>
      <c r="J409" t="s">
        <v>823</v>
      </c>
      <c r="K409">
        <v>6497427</v>
      </c>
    </row>
    <row r="410" spans="1:11" x14ac:dyDescent="0.2">
      <c r="A410" t="s">
        <v>846</v>
      </c>
      <c r="B410" t="s">
        <v>112</v>
      </c>
      <c r="C410" t="s">
        <v>74</v>
      </c>
      <c r="D410">
        <v>1</v>
      </c>
      <c r="E410" t="s">
        <v>815</v>
      </c>
      <c r="F410">
        <v>10242292</v>
      </c>
      <c r="G410" t="s">
        <v>122</v>
      </c>
      <c r="H410" t="s">
        <v>817</v>
      </c>
      <c r="I410">
        <v>7.2</v>
      </c>
      <c r="J410" t="s">
        <v>823</v>
      </c>
      <c r="K410">
        <v>6497427</v>
      </c>
    </row>
    <row r="411" spans="1:11" x14ac:dyDescent="0.2">
      <c r="A411" t="s">
        <v>846</v>
      </c>
      <c r="B411" t="s">
        <v>112</v>
      </c>
      <c r="C411" t="s">
        <v>74</v>
      </c>
      <c r="D411">
        <v>1</v>
      </c>
      <c r="E411" t="s">
        <v>815</v>
      </c>
      <c r="F411">
        <v>10242293</v>
      </c>
      <c r="G411" t="s">
        <v>123</v>
      </c>
      <c r="H411" t="s">
        <v>817</v>
      </c>
      <c r="I411">
        <v>3.2</v>
      </c>
      <c r="J411" t="s">
        <v>823</v>
      </c>
      <c r="K411">
        <v>6497427</v>
      </c>
    </row>
    <row r="412" spans="1:11" x14ac:dyDescent="0.2">
      <c r="A412" t="s">
        <v>846</v>
      </c>
      <c r="B412" t="s">
        <v>112</v>
      </c>
      <c r="C412" t="s">
        <v>74</v>
      </c>
      <c r="D412">
        <v>1</v>
      </c>
      <c r="E412" t="s">
        <v>815</v>
      </c>
      <c r="F412">
        <v>10247603</v>
      </c>
      <c r="G412" t="s">
        <v>125</v>
      </c>
      <c r="H412" t="s">
        <v>817</v>
      </c>
      <c r="I412">
        <v>3.8</v>
      </c>
      <c r="J412" t="s">
        <v>823</v>
      </c>
      <c r="K412">
        <v>6497427</v>
      </c>
    </row>
    <row r="413" spans="1:11" x14ac:dyDescent="0.2">
      <c r="A413" t="s">
        <v>846</v>
      </c>
      <c r="B413" t="s">
        <v>112</v>
      </c>
      <c r="C413" t="s">
        <v>74</v>
      </c>
      <c r="D413">
        <v>1</v>
      </c>
      <c r="E413" t="s">
        <v>815</v>
      </c>
      <c r="F413">
        <v>10215610</v>
      </c>
      <c r="G413" t="s">
        <v>128</v>
      </c>
      <c r="H413" t="s">
        <v>817</v>
      </c>
      <c r="I413">
        <v>57</v>
      </c>
      <c r="J413" t="s">
        <v>823</v>
      </c>
      <c r="K413">
        <v>6497427</v>
      </c>
    </row>
    <row r="414" spans="1:11" x14ac:dyDescent="0.2">
      <c r="A414" t="s">
        <v>846</v>
      </c>
      <c r="B414" t="s">
        <v>112</v>
      </c>
      <c r="C414" t="s">
        <v>74</v>
      </c>
      <c r="D414">
        <v>1</v>
      </c>
      <c r="E414" t="s">
        <v>815</v>
      </c>
      <c r="F414">
        <v>10215641</v>
      </c>
      <c r="G414" t="s">
        <v>129</v>
      </c>
      <c r="H414" t="s">
        <v>817</v>
      </c>
      <c r="I414">
        <v>9</v>
      </c>
      <c r="J414" t="s">
        <v>823</v>
      </c>
      <c r="K414">
        <v>6497427</v>
      </c>
    </row>
    <row r="415" spans="1:11" x14ac:dyDescent="0.2">
      <c r="A415" t="s">
        <v>846</v>
      </c>
      <c r="B415" t="s">
        <v>112</v>
      </c>
      <c r="C415" t="s">
        <v>74</v>
      </c>
      <c r="D415">
        <v>1</v>
      </c>
      <c r="E415" t="s">
        <v>815</v>
      </c>
      <c r="F415">
        <v>10223108</v>
      </c>
      <c r="G415" t="s">
        <v>130</v>
      </c>
      <c r="H415" t="s">
        <v>817</v>
      </c>
      <c r="I415">
        <v>3</v>
      </c>
      <c r="J415" t="s">
        <v>823</v>
      </c>
      <c r="K415">
        <v>6497427</v>
      </c>
    </row>
    <row r="416" spans="1:11" x14ac:dyDescent="0.2">
      <c r="A416" t="s">
        <v>846</v>
      </c>
      <c r="B416" t="s">
        <v>112</v>
      </c>
      <c r="C416" t="s">
        <v>74</v>
      </c>
      <c r="D416">
        <v>1</v>
      </c>
      <c r="E416" t="s">
        <v>815</v>
      </c>
      <c r="F416">
        <v>10226339</v>
      </c>
      <c r="G416" t="s">
        <v>173</v>
      </c>
      <c r="H416" t="s">
        <v>817</v>
      </c>
      <c r="I416">
        <v>0.2</v>
      </c>
      <c r="J416" t="s">
        <v>823</v>
      </c>
      <c r="K416">
        <v>6497427</v>
      </c>
    </row>
    <row r="417" spans="1:11" x14ac:dyDescent="0.2">
      <c r="A417" t="s">
        <v>846</v>
      </c>
      <c r="B417" t="s">
        <v>112</v>
      </c>
      <c r="C417" t="s">
        <v>74</v>
      </c>
      <c r="D417">
        <v>1</v>
      </c>
      <c r="E417" t="s">
        <v>815</v>
      </c>
      <c r="F417">
        <v>10226359</v>
      </c>
      <c r="G417" t="s">
        <v>132</v>
      </c>
      <c r="H417" t="s">
        <v>817</v>
      </c>
      <c r="I417">
        <v>0.2</v>
      </c>
      <c r="J417" t="s">
        <v>823</v>
      </c>
      <c r="K417">
        <v>6497427</v>
      </c>
    </row>
    <row r="418" spans="1:11" x14ac:dyDescent="0.2">
      <c r="A418" t="s">
        <v>846</v>
      </c>
      <c r="B418" t="s">
        <v>112</v>
      </c>
      <c r="C418" t="s">
        <v>74</v>
      </c>
      <c r="D418">
        <v>1</v>
      </c>
      <c r="E418" t="s">
        <v>815</v>
      </c>
      <c r="F418">
        <v>10226363</v>
      </c>
      <c r="G418" t="s">
        <v>816</v>
      </c>
      <c r="H418" t="s">
        <v>817</v>
      </c>
      <c r="I418">
        <v>0.2</v>
      </c>
      <c r="J418" t="s">
        <v>823</v>
      </c>
      <c r="K418">
        <v>6497427</v>
      </c>
    </row>
    <row r="419" spans="1:11" x14ac:dyDescent="0.2">
      <c r="A419" t="s">
        <v>846</v>
      </c>
      <c r="B419" t="s">
        <v>112</v>
      </c>
      <c r="C419" t="s">
        <v>74</v>
      </c>
      <c r="D419">
        <v>1</v>
      </c>
      <c r="E419" t="s">
        <v>815</v>
      </c>
      <c r="F419">
        <v>10226367</v>
      </c>
      <c r="G419" t="s">
        <v>133</v>
      </c>
      <c r="H419" t="s">
        <v>817</v>
      </c>
      <c r="I419">
        <v>1.6</v>
      </c>
      <c r="J419" t="s">
        <v>823</v>
      </c>
      <c r="K419">
        <v>6497427</v>
      </c>
    </row>
    <row r="420" spans="1:11" x14ac:dyDescent="0.2">
      <c r="A420" t="s">
        <v>846</v>
      </c>
      <c r="B420" t="s">
        <v>112</v>
      </c>
      <c r="C420" t="s">
        <v>74</v>
      </c>
      <c r="D420">
        <v>1</v>
      </c>
      <c r="E420" t="s">
        <v>815</v>
      </c>
      <c r="F420">
        <v>10226368</v>
      </c>
      <c r="G420" t="s">
        <v>134</v>
      </c>
      <c r="H420" t="s">
        <v>817</v>
      </c>
      <c r="I420">
        <v>1.8</v>
      </c>
      <c r="J420" t="s">
        <v>823</v>
      </c>
      <c r="K420">
        <v>6497427</v>
      </c>
    </row>
    <row r="421" spans="1:11" x14ac:dyDescent="0.2">
      <c r="A421" t="s">
        <v>846</v>
      </c>
      <c r="B421" t="s">
        <v>112</v>
      </c>
      <c r="C421" t="s">
        <v>74</v>
      </c>
      <c r="D421">
        <v>1</v>
      </c>
      <c r="E421" t="s">
        <v>815</v>
      </c>
      <c r="F421">
        <v>10226373</v>
      </c>
      <c r="G421" t="s">
        <v>135</v>
      </c>
      <c r="H421" t="s">
        <v>817</v>
      </c>
      <c r="I421">
        <v>5.4</v>
      </c>
      <c r="J421" t="s">
        <v>823</v>
      </c>
      <c r="K421">
        <v>6497427</v>
      </c>
    </row>
    <row r="422" spans="1:11" x14ac:dyDescent="0.2">
      <c r="A422" t="s">
        <v>846</v>
      </c>
      <c r="B422" t="s">
        <v>112</v>
      </c>
      <c r="C422" t="s">
        <v>74</v>
      </c>
      <c r="D422">
        <v>1</v>
      </c>
      <c r="E422" t="s">
        <v>815</v>
      </c>
      <c r="F422">
        <v>10226377</v>
      </c>
      <c r="G422" t="s">
        <v>136</v>
      </c>
      <c r="H422" t="s">
        <v>817</v>
      </c>
      <c r="I422">
        <v>0.3</v>
      </c>
      <c r="J422" t="s">
        <v>823</v>
      </c>
      <c r="K422">
        <v>6497427</v>
      </c>
    </row>
    <row r="423" spans="1:11" x14ac:dyDescent="0.2">
      <c r="A423" t="s">
        <v>846</v>
      </c>
      <c r="B423" t="s">
        <v>112</v>
      </c>
      <c r="C423" t="s">
        <v>74</v>
      </c>
      <c r="D423">
        <v>1</v>
      </c>
      <c r="E423" t="s">
        <v>815</v>
      </c>
      <c r="F423">
        <v>10226385</v>
      </c>
      <c r="G423" t="s">
        <v>137</v>
      </c>
      <c r="H423" t="s">
        <v>817</v>
      </c>
      <c r="I423">
        <v>0.1</v>
      </c>
      <c r="J423" t="s">
        <v>823</v>
      </c>
      <c r="K423">
        <v>6497427</v>
      </c>
    </row>
    <row r="424" spans="1:11" x14ac:dyDescent="0.2">
      <c r="A424" t="s">
        <v>846</v>
      </c>
      <c r="B424" t="s">
        <v>112</v>
      </c>
      <c r="C424" t="s">
        <v>74</v>
      </c>
      <c r="D424">
        <v>1</v>
      </c>
      <c r="E424" t="s">
        <v>815</v>
      </c>
      <c r="F424">
        <v>10226388</v>
      </c>
      <c r="G424" t="s">
        <v>138</v>
      </c>
      <c r="H424" t="s">
        <v>817</v>
      </c>
      <c r="I424">
        <v>2.8</v>
      </c>
      <c r="J424" t="s">
        <v>823</v>
      </c>
      <c r="K424">
        <v>6497427</v>
      </c>
    </row>
    <row r="425" spans="1:11" x14ac:dyDescent="0.2">
      <c r="A425" t="s">
        <v>846</v>
      </c>
      <c r="B425" t="s">
        <v>112</v>
      </c>
      <c r="C425" t="s">
        <v>74</v>
      </c>
      <c r="D425">
        <v>1</v>
      </c>
      <c r="E425" t="s">
        <v>815</v>
      </c>
      <c r="F425">
        <v>10226392</v>
      </c>
      <c r="G425" t="s">
        <v>139</v>
      </c>
      <c r="H425" t="s">
        <v>817</v>
      </c>
      <c r="I425">
        <v>2.2000000000000002</v>
      </c>
      <c r="J425" t="s">
        <v>823</v>
      </c>
      <c r="K425">
        <v>6497427</v>
      </c>
    </row>
    <row r="426" spans="1:11" x14ac:dyDescent="0.2">
      <c r="A426" t="s">
        <v>846</v>
      </c>
      <c r="B426" t="s">
        <v>112</v>
      </c>
      <c r="C426" t="s">
        <v>74</v>
      </c>
      <c r="D426">
        <v>1</v>
      </c>
      <c r="E426" t="s">
        <v>815</v>
      </c>
      <c r="F426">
        <v>10226398</v>
      </c>
      <c r="G426" t="s">
        <v>140</v>
      </c>
      <c r="H426" t="s">
        <v>817</v>
      </c>
      <c r="I426">
        <v>7.6</v>
      </c>
      <c r="J426" t="s">
        <v>823</v>
      </c>
      <c r="K426">
        <v>6497427</v>
      </c>
    </row>
    <row r="427" spans="1:11" x14ac:dyDescent="0.2">
      <c r="A427" t="s">
        <v>846</v>
      </c>
      <c r="B427" t="s">
        <v>112</v>
      </c>
      <c r="C427" t="s">
        <v>74</v>
      </c>
      <c r="D427">
        <v>1</v>
      </c>
      <c r="E427" t="s">
        <v>815</v>
      </c>
      <c r="F427">
        <v>10226403</v>
      </c>
      <c r="G427" t="s">
        <v>141</v>
      </c>
      <c r="H427" t="s">
        <v>817</v>
      </c>
      <c r="I427">
        <v>5.0999999999999996</v>
      </c>
      <c r="J427" t="s">
        <v>823</v>
      </c>
      <c r="K427">
        <v>6497427</v>
      </c>
    </row>
    <row r="428" spans="1:11" x14ac:dyDescent="0.2">
      <c r="A428" t="s">
        <v>846</v>
      </c>
      <c r="B428" t="s">
        <v>112</v>
      </c>
      <c r="C428" t="s">
        <v>74</v>
      </c>
      <c r="D428">
        <v>1</v>
      </c>
      <c r="E428" t="s">
        <v>815</v>
      </c>
      <c r="F428">
        <v>10226417</v>
      </c>
      <c r="G428" t="s">
        <v>143</v>
      </c>
      <c r="H428" t="s">
        <v>817</v>
      </c>
      <c r="I428">
        <v>12.4</v>
      </c>
      <c r="J428" t="s">
        <v>823</v>
      </c>
      <c r="K428">
        <v>6497427</v>
      </c>
    </row>
    <row r="429" spans="1:11" x14ac:dyDescent="0.2">
      <c r="A429" t="s">
        <v>846</v>
      </c>
      <c r="B429" t="s">
        <v>112</v>
      </c>
      <c r="C429" t="s">
        <v>74</v>
      </c>
      <c r="D429">
        <v>1</v>
      </c>
      <c r="E429" t="s">
        <v>815</v>
      </c>
      <c r="F429">
        <v>10226418</v>
      </c>
      <c r="G429" t="s">
        <v>144</v>
      </c>
      <c r="H429" t="s">
        <v>817</v>
      </c>
      <c r="I429">
        <v>0.4</v>
      </c>
      <c r="J429" t="s">
        <v>823</v>
      </c>
      <c r="K429">
        <v>6497427</v>
      </c>
    </row>
    <row r="430" spans="1:11" x14ac:dyDescent="0.2">
      <c r="A430" t="s">
        <v>846</v>
      </c>
      <c r="B430" t="s">
        <v>112</v>
      </c>
      <c r="C430" t="s">
        <v>74</v>
      </c>
      <c r="D430">
        <v>1</v>
      </c>
      <c r="E430" t="s">
        <v>815</v>
      </c>
      <c r="F430">
        <v>10226425</v>
      </c>
      <c r="G430" t="s">
        <v>145</v>
      </c>
      <c r="H430" t="s">
        <v>817</v>
      </c>
      <c r="I430">
        <v>2.2000000000000002</v>
      </c>
      <c r="J430" t="s">
        <v>823</v>
      </c>
      <c r="K430">
        <v>6497427</v>
      </c>
    </row>
    <row r="431" spans="1:11" x14ac:dyDescent="0.2">
      <c r="A431" t="s">
        <v>846</v>
      </c>
      <c r="B431" t="s">
        <v>112</v>
      </c>
      <c r="C431" t="s">
        <v>74</v>
      </c>
      <c r="D431">
        <v>1</v>
      </c>
      <c r="E431" t="s">
        <v>815</v>
      </c>
      <c r="F431">
        <v>10226428</v>
      </c>
      <c r="G431" t="s">
        <v>146</v>
      </c>
      <c r="H431" t="s">
        <v>817</v>
      </c>
      <c r="I431">
        <v>1.3</v>
      </c>
      <c r="J431" t="s">
        <v>823</v>
      </c>
      <c r="K431">
        <v>6497427</v>
      </c>
    </row>
    <row r="432" spans="1:11" x14ac:dyDescent="0.2">
      <c r="A432" t="s">
        <v>846</v>
      </c>
      <c r="B432" t="s">
        <v>112</v>
      </c>
      <c r="C432" t="s">
        <v>74</v>
      </c>
      <c r="D432">
        <v>1</v>
      </c>
      <c r="E432" t="s">
        <v>815</v>
      </c>
      <c r="F432">
        <v>10226429</v>
      </c>
      <c r="G432" t="s">
        <v>147</v>
      </c>
      <c r="H432" t="s">
        <v>817</v>
      </c>
      <c r="I432">
        <v>14.8</v>
      </c>
      <c r="J432" t="s">
        <v>823</v>
      </c>
      <c r="K432">
        <v>6497427</v>
      </c>
    </row>
    <row r="433" spans="1:11" x14ac:dyDescent="0.2">
      <c r="A433" t="s">
        <v>846</v>
      </c>
      <c r="B433" t="s">
        <v>112</v>
      </c>
      <c r="C433" t="s">
        <v>74</v>
      </c>
      <c r="D433">
        <v>1</v>
      </c>
      <c r="E433" t="s">
        <v>815</v>
      </c>
      <c r="F433">
        <v>10226447</v>
      </c>
      <c r="G433" t="s">
        <v>150</v>
      </c>
      <c r="H433" t="s">
        <v>817</v>
      </c>
      <c r="I433">
        <v>1.6</v>
      </c>
      <c r="J433" t="s">
        <v>823</v>
      </c>
      <c r="K433">
        <v>6497427</v>
      </c>
    </row>
    <row r="434" spans="1:11" x14ac:dyDescent="0.2">
      <c r="A434" t="s">
        <v>846</v>
      </c>
      <c r="B434" t="s">
        <v>112</v>
      </c>
      <c r="C434" t="s">
        <v>74</v>
      </c>
      <c r="D434">
        <v>1</v>
      </c>
      <c r="E434" t="s">
        <v>815</v>
      </c>
      <c r="F434">
        <v>10226452</v>
      </c>
      <c r="G434" t="s">
        <v>151</v>
      </c>
      <c r="H434" t="s">
        <v>817</v>
      </c>
      <c r="I434">
        <v>1.2</v>
      </c>
      <c r="J434" t="s">
        <v>823</v>
      </c>
      <c r="K434">
        <v>6497427</v>
      </c>
    </row>
    <row r="435" spans="1:11" x14ac:dyDescent="0.2">
      <c r="A435" t="s">
        <v>846</v>
      </c>
      <c r="B435" t="s">
        <v>112</v>
      </c>
      <c r="C435" t="s">
        <v>74</v>
      </c>
      <c r="D435">
        <v>1</v>
      </c>
      <c r="E435" t="s">
        <v>815</v>
      </c>
      <c r="F435">
        <v>10226454</v>
      </c>
      <c r="G435" t="s">
        <v>152</v>
      </c>
      <c r="H435" t="s">
        <v>817</v>
      </c>
      <c r="I435">
        <v>11</v>
      </c>
      <c r="J435" t="s">
        <v>823</v>
      </c>
      <c r="K435">
        <v>6497427</v>
      </c>
    </row>
    <row r="436" spans="1:11" x14ac:dyDescent="0.2">
      <c r="A436" t="s">
        <v>846</v>
      </c>
      <c r="B436" t="s">
        <v>112</v>
      </c>
      <c r="C436" t="s">
        <v>74</v>
      </c>
      <c r="D436">
        <v>1</v>
      </c>
      <c r="E436" t="s">
        <v>815</v>
      </c>
      <c r="F436">
        <v>10226455</v>
      </c>
      <c r="G436" t="s">
        <v>164</v>
      </c>
      <c r="H436" t="s">
        <v>817</v>
      </c>
      <c r="I436">
        <v>3.2</v>
      </c>
      <c r="J436" t="s">
        <v>823</v>
      </c>
      <c r="K436">
        <v>6497427</v>
      </c>
    </row>
    <row r="437" spans="1:11" x14ac:dyDescent="0.2">
      <c r="A437" t="s">
        <v>846</v>
      </c>
      <c r="B437" t="s">
        <v>112</v>
      </c>
      <c r="C437" t="s">
        <v>74</v>
      </c>
      <c r="D437">
        <v>1</v>
      </c>
      <c r="E437" t="s">
        <v>815</v>
      </c>
      <c r="F437">
        <v>10226402</v>
      </c>
      <c r="G437" t="s">
        <v>156</v>
      </c>
      <c r="H437" t="s">
        <v>817</v>
      </c>
      <c r="I437">
        <v>2</v>
      </c>
      <c r="J437" t="s">
        <v>823</v>
      </c>
      <c r="K437">
        <v>6497427</v>
      </c>
    </row>
    <row r="438" spans="1:11" x14ac:dyDescent="0.2">
      <c r="A438" t="s">
        <v>847</v>
      </c>
      <c r="B438" t="s">
        <v>112</v>
      </c>
      <c r="C438" t="s">
        <v>74</v>
      </c>
      <c r="D438">
        <v>1</v>
      </c>
      <c r="E438" t="s">
        <v>815</v>
      </c>
      <c r="F438">
        <v>50063028</v>
      </c>
      <c r="G438" t="s">
        <v>185</v>
      </c>
      <c r="H438" t="s">
        <v>208</v>
      </c>
      <c r="I438">
        <v>24</v>
      </c>
      <c r="J438" t="s">
        <v>823</v>
      </c>
      <c r="K438">
        <v>6497807</v>
      </c>
    </row>
    <row r="439" spans="1:11" x14ac:dyDescent="0.2">
      <c r="A439" t="s">
        <v>847</v>
      </c>
      <c r="B439" t="s">
        <v>112</v>
      </c>
      <c r="C439" t="s">
        <v>74</v>
      </c>
      <c r="D439">
        <v>1</v>
      </c>
      <c r="E439" t="s">
        <v>815</v>
      </c>
      <c r="F439">
        <v>10224293</v>
      </c>
      <c r="G439" t="s">
        <v>113</v>
      </c>
      <c r="H439" t="s">
        <v>208</v>
      </c>
      <c r="I439">
        <v>10.8</v>
      </c>
      <c r="J439" t="s">
        <v>823</v>
      </c>
      <c r="K439">
        <v>6497807</v>
      </c>
    </row>
    <row r="440" spans="1:11" x14ac:dyDescent="0.2">
      <c r="A440" t="s">
        <v>847</v>
      </c>
      <c r="B440" t="s">
        <v>112</v>
      </c>
      <c r="C440" t="s">
        <v>74</v>
      </c>
      <c r="D440">
        <v>1</v>
      </c>
      <c r="E440" t="s">
        <v>815</v>
      </c>
      <c r="F440">
        <v>10226405</v>
      </c>
      <c r="G440" t="s">
        <v>115</v>
      </c>
      <c r="H440" t="s">
        <v>208</v>
      </c>
      <c r="I440">
        <v>5.6</v>
      </c>
      <c r="J440" t="s">
        <v>823</v>
      </c>
      <c r="K440">
        <v>6497807</v>
      </c>
    </row>
    <row r="441" spans="1:11" x14ac:dyDescent="0.2">
      <c r="A441" t="s">
        <v>847</v>
      </c>
      <c r="B441" t="s">
        <v>112</v>
      </c>
      <c r="C441" t="s">
        <v>74</v>
      </c>
      <c r="D441">
        <v>1</v>
      </c>
      <c r="E441" t="s">
        <v>815</v>
      </c>
      <c r="F441">
        <v>10223657</v>
      </c>
      <c r="G441" t="s">
        <v>116</v>
      </c>
      <c r="H441" t="s">
        <v>208</v>
      </c>
      <c r="I441">
        <v>10</v>
      </c>
      <c r="J441" t="s">
        <v>823</v>
      </c>
      <c r="K441">
        <v>6497807</v>
      </c>
    </row>
    <row r="442" spans="1:11" x14ac:dyDescent="0.2">
      <c r="A442" t="s">
        <v>847</v>
      </c>
      <c r="B442" t="s">
        <v>112</v>
      </c>
      <c r="C442" t="s">
        <v>74</v>
      </c>
      <c r="D442">
        <v>1</v>
      </c>
      <c r="E442" t="s">
        <v>815</v>
      </c>
      <c r="F442">
        <v>10198819</v>
      </c>
      <c r="G442" t="s">
        <v>117</v>
      </c>
      <c r="H442" t="s">
        <v>208</v>
      </c>
      <c r="I442">
        <v>1.4</v>
      </c>
      <c r="J442" t="s">
        <v>823</v>
      </c>
      <c r="K442">
        <v>6497807</v>
      </c>
    </row>
    <row r="443" spans="1:11" x14ac:dyDescent="0.2">
      <c r="A443" t="s">
        <v>847</v>
      </c>
      <c r="B443" t="s">
        <v>112</v>
      </c>
      <c r="C443" t="s">
        <v>74</v>
      </c>
      <c r="D443">
        <v>1</v>
      </c>
      <c r="E443" t="s">
        <v>815</v>
      </c>
      <c r="F443">
        <v>10226361</v>
      </c>
      <c r="G443" t="s">
        <v>118</v>
      </c>
      <c r="H443" t="s">
        <v>208</v>
      </c>
      <c r="I443">
        <v>3.8</v>
      </c>
      <c r="J443" t="s">
        <v>823</v>
      </c>
      <c r="K443">
        <v>6497807</v>
      </c>
    </row>
    <row r="444" spans="1:11" x14ac:dyDescent="0.2">
      <c r="A444" t="s">
        <v>847</v>
      </c>
      <c r="B444" t="s">
        <v>112</v>
      </c>
      <c r="C444" t="s">
        <v>74</v>
      </c>
      <c r="D444">
        <v>1</v>
      </c>
      <c r="E444" t="s">
        <v>815</v>
      </c>
      <c r="F444">
        <v>10226415</v>
      </c>
      <c r="G444" t="s">
        <v>119</v>
      </c>
      <c r="H444" t="s">
        <v>208</v>
      </c>
      <c r="I444">
        <v>1.4</v>
      </c>
      <c r="J444" t="s">
        <v>823</v>
      </c>
      <c r="K444">
        <v>6497807</v>
      </c>
    </row>
    <row r="445" spans="1:11" x14ac:dyDescent="0.2">
      <c r="A445" t="s">
        <v>847</v>
      </c>
      <c r="B445" t="s">
        <v>112</v>
      </c>
      <c r="C445" t="s">
        <v>74</v>
      </c>
      <c r="D445">
        <v>1</v>
      </c>
      <c r="E445" t="s">
        <v>815</v>
      </c>
      <c r="F445">
        <v>10226399</v>
      </c>
      <c r="G445" t="s">
        <v>120</v>
      </c>
      <c r="H445" t="s">
        <v>208</v>
      </c>
      <c r="I445">
        <v>2.8</v>
      </c>
      <c r="J445" t="s">
        <v>823</v>
      </c>
      <c r="K445">
        <v>6497807</v>
      </c>
    </row>
    <row r="446" spans="1:11" x14ac:dyDescent="0.2">
      <c r="A446" t="s">
        <v>847</v>
      </c>
      <c r="B446" t="s">
        <v>112</v>
      </c>
      <c r="C446" t="s">
        <v>74</v>
      </c>
      <c r="D446">
        <v>1</v>
      </c>
      <c r="E446" t="s">
        <v>815</v>
      </c>
      <c r="F446">
        <v>50994931</v>
      </c>
      <c r="G446" t="s">
        <v>121</v>
      </c>
      <c r="H446" t="s">
        <v>208</v>
      </c>
      <c r="I446">
        <v>72</v>
      </c>
      <c r="J446" t="s">
        <v>823</v>
      </c>
      <c r="K446">
        <v>6497807</v>
      </c>
    </row>
    <row r="447" spans="1:11" x14ac:dyDescent="0.2">
      <c r="A447" t="s">
        <v>847</v>
      </c>
      <c r="B447" t="s">
        <v>112</v>
      </c>
      <c r="C447" t="s">
        <v>74</v>
      </c>
      <c r="D447">
        <v>1</v>
      </c>
      <c r="E447" t="s">
        <v>815</v>
      </c>
      <c r="F447">
        <v>10242292</v>
      </c>
      <c r="G447" t="s">
        <v>122</v>
      </c>
      <c r="H447" t="s">
        <v>208</v>
      </c>
      <c r="I447">
        <v>5.8</v>
      </c>
      <c r="J447" t="s">
        <v>823</v>
      </c>
      <c r="K447">
        <v>6497807</v>
      </c>
    </row>
    <row r="448" spans="1:11" x14ac:dyDescent="0.2">
      <c r="A448" t="s">
        <v>847</v>
      </c>
      <c r="B448" t="s">
        <v>112</v>
      </c>
      <c r="C448" t="s">
        <v>74</v>
      </c>
      <c r="D448">
        <v>1</v>
      </c>
      <c r="E448" t="s">
        <v>815</v>
      </c>
      <c r="F448">
        <v>10242293</v>
      </c>
      <c r="G448" t="s">
        <v>123</v>
      </c>
      <c r="H448" t="s">
        <v>208</v>
      </c>
      <c r="I448">
        <v>2.4</v>
      </c>
      <c r="J448" t="s">
        <v>823</v>
      </c>
      <c r="K448">
        <v>6497807</v>
      </c>
    </row>
    <row r="449" spans="1:11" x14ac:dyDescent="0.2">
      <c r="A449" t="s">
        <v>847</v>
      </c>
      <c r="B449" t="s">
        <v>112</v>
      </c>
      <c r="C449" t="s">
        <v>74</v>
      </c>
      <c r="D449">
        <v>1</v>
      </c>
      <c r="E449" t="s">
        <v>815</v>
      </c>
      <c r="F449">
        <v>50994945</v>
      </c>
      <c r="G449" t="s">
        <v>124</v>
      </c>
      <c r="H449" t="s">
        <v>208</v>
      </c>
      <c r="I449">
        <v>60</v>
      </c>
      <c r="J449" t="s">
        <v>823</v>
      </c>
      <c r="K449">
        <v>6497807</v>
      </c>
    </row>
    <row r="450" spans="1:11" x14ac:dyDescent="0.2">
      <c r="A450" t="s">
        <v>847</v>
      </c>
      <c r="B450" t="s">
        <v>112</v>
      </c>
      <c r="C450" t="s">
        <v>74</v>
      </c>
      <c r="D450">
        <v>1</v>
      </c>
      <c r="E450" t="s">
        <v>815</v>
      </c>
      <c r="F450">
        <v>10247603</v>
      </c>
      <c r="G450" t="s">
        <v>125</v>
      </c>
      <c r="H450" t="s">
        <v>208</v>
      </c>
      <c r="I450">
        <v>5.2</v>
      </c>
      <c r="J450" t="s">
        <v>823</v>
      </c>
      <c r="K450">
        <v>6497807</v>
      </c>
    </row>
    <row r="451" spans="1:11" x14ac:dyDescent="0.2">
      <c r="A451" t="s">
        <v>847</v>
      </c>
      <c r="B451" t="s">
        <v>112</v>
      </c>
      <c r="C451" t="s">
        <v>74</v>
      </c>
      <c r="D451">
        <v>1</v>
      </c>
      <c r="E451" t="s">
        <v>815</v>
      </c>
      <c r="F451">
        <v>10208004</v>
      </c>
      <c r="G451" t="s">
        <v>126</v>
      </c>
      <c r="H451" t="s">
        <v>208</v>
      </c>
      <c r="I451">
        <v>1.6</v>
      </c>
      <c r="J451" t="s">
        <v>823</v>
      </c>
      <c r="K451">
        <v>6497807</v>
      </c>
    </row>
    <row r="452" spans="1:11" x14ac:dyDescent="0.2">
      <c r="A452" t="s">
        <v>847</v>
      </c>
      <c r="B452" t="s">
        <v>112</v>
      </c>
      <c r="C452" t="s">
        <v>74</v>
      </c>
      <c r="D452">
        <v>1</v>
      </c>
      <c r="E452" t="s">
        <v>815</v>
      </c>
      <c r="F452">
        <v>10208167</v>
      </c>
      <c r="G452" t="s">
        <v>127</v>
      </c>
      <c r="H452" t="s">
        <v>208</v>
      </c>
      <c r="I452">
        <v>0.2</v>
      </c>
      <c r="J452" t="s">
        <v>823</v>
      </c>
      <c r="K452">
        <v>6497807</v>
      </c>
    </row>
    <row r="453" spans="1:11" x14ac:dyDescent="0.2">
      <c r="A453" t="s">
        <v>847</v>
      </c>
      <c r="B453" t="s">
        <v>112</v>
      </c>
      <c r="C453" t="s">
        <v>74</v>
      </c>
      <c r="D453">
        <v>1</v>
      </c>
      <c r="E453" t="s">
        <v>815</v>
      </c>
      <c r="F453">
        <v>10215610</v>
      </c>
      <c r="G453" t="s">
        <v>128</v>
      </c>
      <c r="H453" t="s">
        <v>208</v>
      </c>
      <c r="I453">
        <v>70</v>
      </c>
      <c r="J453" t="s">
        <v>823</v>
      </c>
      <c r="K453">
        <v>6497807</v>
      </c>
    </row>
    <row r="454" spans="1:11" x14ac:dyDescent="0.2">
      <c r="A454" t="s">
        <v>847</v>
      </c>
      <c r="B454" t="s">
        <v>112</v>
      </c>
      <c r="C454" t="s">
        <v>74</v>
      </c>
      <c r="D454">
        <v>1</v>
      </c>
      <c r="E454" t="s">
        <v>815</v>
      </c>
      <c r="F454">
        <v>10215641</v>
      </c>
      <c r="G454" t="s">
        <v>129</v>
      </c>
      <c r="H454" t="s">
        <v>208</v>
      </c>
      <c r="I454">
        <v>33.200000000000003</v>
      </c>
      <c r="J454" t="s">
        <v>823</v>
      </c>
      <c r="K454">
        <v>6497807</v>
      </c>
    </row>
    <row r="455" spans="1:11" x14ac:dyDescent="0.2">
      <c r="A455" t="s">
        <v>847</v>
      </c>
      <c r="B455" t="s">
        <v>112</v>
      </c>
      <c r="C455" t="s">
        <v>74</v>
      </c>
      <c r="D455">
        <v>1</v>
      </c>
      <c r="E455" t="s">
        <v>815</v>
      </c>
      <c r="F455">
        <v>10223108</v>
      </c>
      <c r="G455" t="s">
        <v>130</v>
      </c>
      <c r="H455" t="s">
        <v>208</v>
      </c>
      <c r="I455">
        <v>7.8</v>
      </c>
      <c r="J455" t="s">
        <v>823</v>
      </c>
      <c r="K455">
        <v>6497807</v>
      </c>
    </row>
    <row r="456" spans="1:11" x14ac:dyDescent="0.2">
      <c r="A456" t="s">
        <v>847</v>
      </c>
      <c r="B456" t="s">
        <v>112</v>
      </c>
      <c r="C456" t="s">
        <v>74</v>
      </c>
      <c r="D456">
        <v>1</v>
      </c>
      <c r="E456" t="s">
        <v>815</v>
      </c>
      <c r="F456">
        <v>10223435</v>
      </c>
      <c r="G456" t="s">
        <v>172</v>
      </c>
      <c r="H456" t="s">
        <v>208</v>
      </c>
      <c r="I456">
        <v>1.2</v>
      </c>
      <c r="J456" t="s">
        <v>823</v>
      </c>
      <c r="K456">
        <v>6497807</v>
      </c>
    </row>
    <row r="457" spans="1:11" x14ac:dyDescent="0.2">
      <c r="A457" t="s">
        <v>847</v>
      </c>
      <c r="B457" t="s">
        <v>112</v>
      </c>
      <c r="C457" t="s">
        <v>74</v>
      </c>
      <c r="D457">
        <v>1</v>
      </c>
      <c r="E457" t="s">
        <v>815</v>
      </c>
      <c r="F457">
        <v>10224472</v>
      </c>
      <c r="G457" t="s">
        <v>131</v>
      </c>
      <c r="H457" t="s">
        <v>208</v>
      </c>
      <c r="I457">
        <v>0.4</v>
      </c>
      <c r="J457" t="s">
        <v>823</v>
      </c>
      <c r="K457">
        <v>6497807</v>
      </c>
    </row>
    <row r="458" spans="1:11" x14ac:dyDescent="0.2">
      <c r="A458" t="s">
        <v>847</v>
      </c>
      <c r="B458" t="s">
        <v>112</v>
      </c>
      <c r="C458" t="s">
        <v>74</v>
      </c>
      <c r="D458">
        <v>1</v>
      </c>
      <c r="E458" t="s">
        <v>815</v>
      </c>
      <c r="F458">
        <v>10226339</v>
      </c>
      <c r="G458" t="s">
        <v>173</v>
      </c>
      <c r="H458" t="s">
        <v>208</v>
      </c>
      <c r="I458">
        <v>0.2</v>
      </c>
      <c r="J458" t="s">
        <v>823</v>
      </c>
      <c r="K458">
        <v>6497807</v>
      </c>
    </row>
    <row r="459" spans="1:11" x14ac:dyDescent="0.2">
      <c r="A459" t="s">
        <v>847</v>
      </c>
      <c r="B459" t="s">
        <v>112</v>
      </c>
      <c r="C459" t="s">
        <v>74</v>
      </c>
      <c r="D459">
        <v>1</v>
      </c>
      <c r="E459" t="s">
        <v>815</v>
      </c>
      <c r="F459">
        <v>10226359</v>
      </c>
      <c r="G459" t="s">
        <v>132</v>
      </c>
      <c r="H459" t="s">
        <v>208</v>
      </c>
      <c r="I459">
        <v>0.6</v>
      </c>
      <c r="J459" t="s">
        <v>823</v>
      </c>
      <c r="K459">
        <v>6497807</v>
      </c>
    </row>
    <row r="460" spans="1:11" x14ac:dyDescent="0.2">
      <c r="A460" t="s">
        <v>847</v>
      </c>
      <c r="B460" t="s">
        <v>112</v>
      </c>
      <c r="C460" t="s">
        <v>74</v>
      </c>
      <c r="D460">
        <v>1</v>
      </c>
      <c r="E460" t="s">
        <v>815</v>
      </c>
      <c r="F460">
        <v>10226367</v>
      </c>
      <c r="G460" t="s">
        <v>133</v>
      </c>
      <c r="H460" t="s">
        <v>208</v>
      </c>
      <c r="I460">
        <v>4.8</v>
      </c>
      <c r="J460" t="s">
        <v>823</v>
      </c>
      <c r="K460">
        <v>6497807</v>
      </c>
    </row>
    <row r="461" spans="1:11" x14ac:dyDescent="0.2">
      <c r="A461" t="s">
        <v>847</v>
      </c>
      <c r="B461" t="s">
        <v>112</v>
      </c>
      <c r="C461" t="s">
        <v>74</v>
      </c>
      <c r="D461">
        <v>1</v>
      </c>
      <c r="E461" t="s">
        <v>815</v>
      </c>
      <c r="F461">
        <v>10226368</v>
      </c>
      <c r="G461" t="s">
        <v>134</v>
      </c>
      <c r="H461" t="s">
        <v>208</v>
      </c>
      <c r="I461">
        <v>5.8</v>
      </c>
      <c r="J461" t="s">
        <v>823</v>
      </c>
      <c r="K461">
        <v>6497807</v>
      </c>
    </row>
    <row r="462" spans="1:11" x14ac:dyDescent="0.2">
      <c r="A462" t="s">
        <v>847</v>
      </c>
      <c r="B462" t="s">
        <v>112</v>
      </c>
      <c r="C462" t="s">
        <v>74</v>
      </c>
      <c r="D462">
        <v>1</v>
      </c>
      <c r="E462" t="s">
        <v>815</v>
      </c>
      <c r="F462">
        <v>10226373</v>
      </c>
      <c r="G462" t="s">
        <v>135</v>
      </c>
      <c r="H462" t="s">
        <v>208</v>
      </c>
      <c r="I462">
        <v>5.6</v>
      </c>
      <c r="J462" t="s">
        <v>823</v>
      </c>
      <c r="K462">
        <v>6497807</v>
      </c>
    </row>
    <row r="463" spans="1:11" x14ac:dyDescent="0.2">
      <c r="A463" t="s">
        <v>847</v>
      </c>
      <c r="B463" t="s">
        <v>112</v>
      </c>
      <c r="C463" t="s">
        <v>74</v>
      </c>
      <c r="D463">
        <v>1</v>
      </c>
      <c r="E463" t="s">
        <v>815</v>
      </c>
      <c r="F463">
        <v>10226377</v>
      </c>
      <c r="G463" t="s">
        <v>136</v>
      </c>
      <c r="H463" t="s">
        <v>208</v>
      </c>
      <c r="I463">
        <v>2.2000000000000002</v>
      </c>
      <c r="J463" t="s">
        <v>823</v>
      </c>
      <c r="K463">
        <v>6497807</v>
      </c>
    </row>
    <row r="464" spans="1:11" x14ac:dyDescent="0.2">
      <c r="A464" t="s">
        <v>847</v>
      </c>
      <c r="B464" t="s">
        <v>112</v>
      </c>
      <c r="C464" t="s">
        <v>74</v>
      </c>
      <c r="D464">
        <v>1</v>
      </c>
      <c r="E464" t="s">
        <v>815</v>
      </c>
      <c r="F464">
        <v>10226385</v>
      </c>
      <c r="G464" t="s">
        <v>137</v>
      </c>
      <c r="H464" t="s">
        <v>208</v>
      </c>
      <c r="I464">
        <v>2.6</v>
      </c>
      <c r="J464" t="s">
        <v>823</v>
      </c>
      <c r="K464">
        <v>6497807</v>
      </c>
    </row>
    <row r="465" spans="1:11" x14ac:dyDescent="0.2">
      <c r="A465" t="s">
        <v>847</v>
      </c>
      <c r="B465" t="s">
        <v>112</v>
      </c>
      <c r="C465" t="s">
        <v>74</v>
      </c>
      <c r="D465">
        <v>1</v>
      </c>
      <c r="E465" t="s">
        <v>815</v>
      </c>
      <c r="F465">
        <v>10226388</v>
      </c>
      <c r="G465" t="s">
        <v>138</v>
      </c>
      <c r="H465" t="s">
        <v>208</v>
      </c>
      <c r="I465">
        <v>1.6</v>
      </c>
      <c r="J465" t="s">
        <v>823</v>
      </c>
      <c r="K465">
        <v>6497807</v>
      </c>
    </row>
    <row r="466" spans="1:11" x14ac:dyDescent="0.2">
      <c r="A466" t="s">
        <v>847</v>
      </c>
      <c r="B466" t="s">
        <v>112</v>
      </c>
      <c r="C466" t="s">
        <v>74</v>
      </c>
      <c r="D466">
        <v>1</v>
      </c>
      <c r="E466" t="s">
        <v>815</v>
      </c>
      <c r="F466">
        <v>10226392</v>
      </c>
      <c r="G466" t="s">
        <v>139</v>
      </c>
      <c r="H466" t="s">
        <v>208</v>
      </c>
      <c r="I466">
        <v>2</v>
      </c>
      <c r="J466" t="s">
        <v>823</v>
      </c>
      <c r="K466">
        <v>6497807</v>
      </c>
    </row>
    <row r="467" spans="1:11" x14ac:dyDescent="0.2">
      <c r="A467" t="s">
        <v>847</v>
      </c>
      <c r="B467" t="s">
        <v>112</v>
      </c>
      <c r="C467" t="s">
        <v>74</v>
      </c>
      <c r="D467">
        <v>1</v>
      </c>
      <c r="E467" t="s">
        <v>815</v>
      </c>
      <c r="F467">
        <v>10226398</v>
      </c>
      <c r="G467" t="s">
        <v>140</v>
      </c>
      <c r="H467" t="s">
        <v>208</v>
      </c>
      <c r="I467">
        <v>4</v>
      </c>
      <c r="J467" t="s">
        <v>823</v>
      </c>
      <c r="K467">
        <v>6497807</v>
      </c>
    </row>
    <row r="468" spans="1:11" x14ac:dyDescent="0.2">
      <c r="A468" t="s">
        <v>847</v>
      </c>
      <c r="B468" t="s">
        <v>112</v>
      </c>
      <c r="C468" t="s">
        <v>74</v>
      </c>
      <c r="D468">
        <v>1</v>
      </c>
      <c r="E468" t="s">
        <v>815</v>
      </c>
      <c r="F468">
        <v>10226403</v>
      </c>
      <c r="G468" t="s">
        <v>141</v>
      </c>
      <c r="H468" t="s">
        <v>208</v>
      </c>
      <c r="I468">
        <v>4.8</v>
      </c>
      <c r="J468" t="s">
        <v>823</v>
      </c>
      <c r="K468">
        <v>6497807</v>
      </c>
    </row>
    <row r="469" spans="1:11" x14ac:dyDescent="0.2">
      <c r="A469" t="s">
        <v>847</v>
      </c>
      <c r="B469" t="s">
        <v>112</v>
      </c>
      <c r="C469" t="s">
        <v>74</v>
      </c>
      <c r="D469">
        <v>1</v>
      </c>
      <c r="E469" t="s">
        <v>815</v>
      </c>
      <c r="F469">
        <v>10226410</v>
      </c>
      <c r="G469" t="s">
        <v>142</v>
      </c>
      <c r="H469" t="s">
        <v>208</v>
      </c>
      <c r="I469">
        <v>0.2</v>
      </c>
      <c r="J469" t="s">
        <v>823</v>
      </c>
      <c r="K469">
        <v>6497807</v>
      </c>
    </row>
    <row r="470" spans="1:11" x14ac:dyDescent="0.2">
      <c r="A470" t="s">
        <v>847</v>
      </c>
      <c r="B470" t="s">
        <v>112</v>
      </c>
      <c r="C470" t="s">
        <v>74</v>
      </c>
      <c r="D470">
        <v>1</v>
      </c>
      <c r="E470" t="s">
        <v>815</v>
      </c>
      <c r="F470">
        <v>10226417</v>
      </c>
      <c r="G470" t="s">
        <v>143</v>
      </c>
      <c r="H470" t="s">
        <v>208</v>
      </c>
      <c r="I470">
        <v>30.6</v>
      </c>
      <c r="J470" t="s">
        <v>823</v>
      </c>
      <c r="K470">
        <v>6497807</v>
      </c>
    </row>
    <row r="471" spans="1:11" x14ac:dyDescent="0.2">
      <c r="A471" t="s">
        <v>847</v>
      </c>
      <c r="B471" t="s">
        <v>112</v>
      </c>
      <c r="C471" t="s">
        <v>74</v>
      </c>
      <c r="D471">
        <v>1</v>
      </c>
      <c r="E471" t="s">
        <v>815</v>
      </c>
      <c r="F471">
        <v>10226418</v>
      </c>
      <c r="G471" t="s">
        <v>144</v>
      </c>
      <c r="H471" t="s">
        <v>208</v>
      </c>
      <c r="I471">
        <v>0.6</v>
      </c>
      <c r="J471" t="s">
        <v>823</v>
      </c>
      <c r="K471">
        <v>6497807</v>
      </c>
    </row>
    <row r="472" spans="1:11" x14ac:dyDescent="0.2">
      <c r="A472" t="s">
        <v>847</v>
      </c>
      <c r="B472" t="s">
        <v>112</v>
      </c>
      <c r="C472" t="s">
        <v>74</v>
      </c>
      <c r="D472">
        <v>1</v>
      </c>
      <c r="E472" t="s">
        <v>815</v>
      </c>
      <c r="F472">
        <v>10226425</v>
      </c>
      <c r="G472" t="s">
        <v>145</v>
      </c>
      <c r="H472" t="s">
        <v>208</v>
      </c>
      <c r="I472">
        <v>6.2</v>
      </c>
      <c r="J472" t="s">
        <v>823</v>
      </c>
      <c r="K472">
        <v>6497807</v>
      </c>
    </row>
    <row r="473" spans="1:11" x14ac:dyDescent="0.2">
      <c r="A473" t="s">
        <v>847</v>
      </c>
      <c r="B473" t="s">
        <v>112</v>
      </c>
      <c r="C473" t="s">
        <v>74</v>
      </c>
      <c r="D473">
        <v>1</v>
      </c>
      <c r="E473" t="s">
        <v>815</v>
      </c>
      <c r="F473">
        <v>10226428</v>
      </c>
      <c r="G473" t="s">
        <v>146</v>
      </c>
      <c r="H473" t="s">
        <v>208</v>
      </c>
      <c r="I473">
        <v>1.6</v>
      </c>
      <c r="J473" t="s">
        <v>823</v>
      </c>
      <c r="K473">
        <v>6497807</v>
      </c>
    </row>
    <row r="474" spans="1:11" x14ac:dyDescent="0.2">
      <c r="A474" t="s">
        <v>847</v>
      </c>
      <c r="B474" t="s">
        <v>112</v>
      </c>
      <c r="C474" t="s">
        <v>74</v>
      </c>
      <c r="D474">
        <v>1</v>
      </c>
      <c r="E474" t="s">
        <v>815</v>
      </c>
      <c r="F474">
        <v>10226429</v>
      </c>
      <c r="G474" t="s">
        <v>147</v>
      </c>
      <c r="H474" t="s">
        <v>208</v>
      </c>
      <c r="I474">
        <v>22.8</v>
      </c>
      <c r="J474" t="s">
        <v>823</v>
      </c>
      <c r="K474">
        <v>6497807</v>
      </c>
    </row>
    <row r="475" spans="1:11" x14ac:dyDescent="0.2">
      <c r="A475" t="s">
        <v>847</v>
      </c>
      <c r="B475" t="s">
        <v>112</v>
      </c>
      <c r="C475" t="s">
        <v>74</v>
      </c>
      <c r="D475">
        <v>1</v>
      </c>
      <c r="E475" t="s">
        <v>815</v>
      </c>
      <c r="F475">
        <v>10226435</v>
      </c>
      <c r="G475" t="s">
        <v>148</v>
      </c>
      <c r="H475" t="s">
        <v>208</v>
      </c>
      <c r="I475">
        <v>1.2</v>
      </c>
      <c r="J475" t="s">
        <v>823</v>
      </c>
      <c r="K475">
        <v>6497807</v>
      </c>
    </row>
    <row r="476" spans="1:11" x14ac:dyDescent="0.2">
      <c r="A476" t="s">
        <v>847</v>
      </c>
      <c r="B476" t="s">
        <v>112</v>
      </c>
      <c r="C476" t="s">
        <v>74</v>
      </c>
      <c r="D476">
        <v>1</v>
      </c>
      <c r="E476" t="s">
        <v>815</v>
      </c>
      <c r="F476">
        <v>10226444</v>
      </c>
      <c r="G476" t="s">
        <v>200</v>
      </c>
      <c r="H476" t="s">
        <v>208</v>
      </c>
      <c r="I476">
        <v>0.4</v>
      </c>
      <c r="J476" t="s">
        <v>823</v>
      </c>
      <c r="K476">
        <v>6497807</v>
      </c>
    </row>
    <row r="477" spans="1:11" x14ac:dyDescent="0.2">
      <c r="A477" t="s">
        <v>847</v>
      </c>
      <c r="B477" t="s">
        <v>112</v>
      </c>
      <c r="C477" t="s">
        <v>74</v>
      </c>
      <c r="D477">
        <v>1</v>
      </c>
      <c r="E477" t="s">
        <v>815</v>
      </c>
      <c r="F477">
        <v>10226452</v>
      </c>
      <c r="G477" t="s">
        <v>151</v>
      </c>
      <c r="H477" t="s">
        <v>208</v>
      </c>
      <c r="I477">
        <v>3</v>
      </c>
      <c r="J477" t="s">
        <v>823</v>
      </c>
      <c r="K477">
        <v>6497807</v>
      </c>
    </row>
    <row r="478" spans="1:11" x14ac:dyDescent="0.2">
      <c r="A478" t="s">
        <v>847</v>
      </c>
      <c r="B478" t="s">
        <v>112</v>
      </c>
      <c r="C478" t="s">
        <v>74</v>
      </c>
      <c r="D478">
        <v>1</v>
      </c>
      <c r="E478" t="s">
        <v>815</v>
      </c>
      <c r="F478">
        <v>10226454</v>
      </c>
      <c r="G478" t="s">
        <v>152</v>
      </c>
      <c r="H478" t="s">
        <v>208</v>
      </c>
      <c r="I478">
        <v>12.4</v>
      </c>
      <c r="J478" t="s">
        <v>823</v>
      </c>
      <c r="K478">
        <v>6497807</v>
      </c>
    </row>
    <row r="479" spans="1:11" x14ac:dyDescent="0.2">
      <c r="A479" t="s">
        <v>847</v>
      </c>
      <c r="B479" t="s">
        <v>112</v>
      </c>
      <c r="C479" t="s">
        <v>74</v>
      </c>
      <c r="D479">
        <v>1</v>
      </c>
      <c r="E479" t="s">
        <v>815</v>
      </c>
      <c r="F479">
        <v>10226455</v>
      </c>
      <c r="G479" t="s">
        <v>164</v>
      </c>
      <c r="H479" t="s">
        <v>208</v>
      </c>
      <c r="I479">
        <v>0.6</v>
      </c>
      <c r="J479" t="s">
        <v>823</v>
      </c>
      <c r="K479">
        <v>6497807</v>
      </c>
    </row>
    <row r="480" spans="1:11" x14ac:dyDescent="0.2">
      <c r="A480" t="s">
        <v>847</v>
      </c>
      <c r="B480" t="s">
        <v>112</v>
      </c>
      <c r="C480" t="s">
        <v>74</v>
      </c>
      <c r="D480">
        <v>1</v>
      </c>
      <c r="E480" t="s">
        <v>815</v>
      </c>
      <c r="F480">
        <v>10227896</v>
      </c>
      <c r="G480" t="s">
        <v>153</v>
      </c>
      <c r="H480" t="s">
        <v>208</v>
      </c>
      <c r="I480">
        <v>0.4</v>
      </c>
      <c r="J480" t="s">
        <v>823</v>
      </c>
      <c r="K480">
        <v>6497807</v>
      </c>
    </row>
    <row r="481" spans="1:11" x14ac:dyDescent="0.2">
      <c r="A481" t="s">
        <v>847</v>
      </c>
      <c r="B481" t="s">
        <v>112</v>
      </c>
      <c r="C481" t="s">
        <v>74</v>
      </c>
      <c r="D481">
        <v>1</v>
      </c>
      <c r="E481" t="s">
        <v>815</v>
      </c>
      <c r="F481">
        <v>10242291</v>
      </c>
      <c r="G481" t="s">
        <v>155</v>
      </c>
      <c r="H481" t="s">
        <v>208</v>
      </c>
      <c r="I481">
        <v>0.2</v>
      </c>
      <c r="J481" t="s">
        <v>823</v>
      </c>
      <c r="K481">
        <v>6497807</v>
      </c>
    </row>
    <row r="482" spans="1:11" x14ac:dyDescent="0.2">
      <c r="A482" t="s">
        <v>847</v>
      </c>
      <c r="B482" t="s">
        <v>112</v>
      </c>
      <c r="C482" t="s">
        <v>74</v>
      </c>
      <c r="D482">
        <v>1</v>
      </c>
      <c r="E482" t="s">
        <v>815</v>
      </c>
      <c r="F482">
        <v>50063026</v>
      </c>
      <c r="G482" t="s">
        <v>184</v>
      </c>
      <c r="H482" t="s">
        <v>208</v>
      </c>
      <c r="I482">
        <v>24</v>
      </c>
      <c r="J482" t="s">
        <v>823</v>
      </c>
      <c r="K482">
        <v>6497807</v>
      </c>
    </row>
    <row r="483" spans="1:11" x14ac:dyDescent="0.2">
      <c r="A483" t="s">
        <v>847</v>
      </c>
      <c r="B483" t="s">
        <v>112</v>
      </c>
      <c r="C483" t="s">
        <v>74</v>
      </c>
      <c r="D483">
        <v>1</v>
      </c>
      <c r="E483" t="s">
        <v>815</v>
      </c>
      <c r="F483">
        <v>50066153</v>
      </c>
      <c r="G483" t="s">
        <v>809</v>
      </c>
      <c r="H483" t="s">
        <v>208</v>
      </c>
      <c r="I483">
        <v>12</v>
      </c>
      <c r="J483" t="s">
        <v>823</v>
      </c>
      <c r="K483">
        <v>6497807</v>
      </c>
    </row>
    <row r="484" spans="1:11" x14ac:dyDescent="0.2">
      <c r="A484" t="s">
        <v>847</v>
      </c>
      <c r="B484" t="s">
        <v>112</v>
      </c>
      <c r="C484" t="s">
        <v>74</v>
      </c>
      <c r="D484">
        <v>1</v>
      </c>
      <c r="E484" t="s">
        <v>815</v>
      </c>
      <c r="F484">
        <v>50066154</v>
      </c>
      <c r="G484" t="s">
        <v>803</v>
      </c>
      <c r="H484" t="s">
        <v>208</v>
      </c>
      <c r="I484">
        <v>12</v>
      </c>
      <c r="J484" t="s">
        <v>823</v>
      </c>
      <c r="K484">
        <v>6497807</v>
      </c>
    </row>
    <row r="485" spans="1:11" x14ac:dyDescent="0.2">
      <c r="A485" t="s">
        <v>847</v>
      </c>
      <c r="B485" t="s">
        <v>112</v>
      </c>
      <c r="C485" t="s">
        <v>74</v>
      </c>
      <c r="D485">
        <v>1</v>
      </c>
      <c r="E485" t="s">
        <v>815</v>
      </c>
      <c r="F485">
        <v>50066417</v>
      </c>
      <c r="G485" t="s">
        <v>213</v>
      </c>
      <c r="H485" t="s">
        <v>208</v>
      </c>
      <c r="I485">
        <v>12</v>
      </c>
      <c r="J485" t="s">
        <v>823</v>
      </c>
      <c r="K485">
        <v>6497807</v>
      </c>
    </row>
    <row r="486" spans="1:11" x14ac:dyDescent="0.2">
      <c r="A486" t="s">
        <v>847</v>
      </c>
      <c r="B486" t="s">
        <v>112</v>
      </c>
      <c r="C486" t="s">
        <v>74</v>
      </c>
      <c r="D486">
        <v>1</v>
      </c>
      <c r="E486" t="s">
        <v>815</v>
      </c>
      <c r="F486">
        <v>10226402</v>
      </c>
      <c r="G486" t="s">
        <v>156</v>
      </c>
      <c r="H486" t="s">
        <v>208</v>
      </c>
      <c r="I486">
        <v>7.2</v>
      </c>
      <c r="J486" t="s">
        <v>823</v>
      </c>
      <c r="K486">
        <v>6497807</v>
      </c>
    </row>
    <row r="487" spans="1:11" x14ac:dyDescent="0.2">
      <c r="A487" t="s">
        <v>848</v>
      </c>
      <c r="B487" t="s">
        <v>112</v>
      </c>
      <c r="C487" t="s">
        <v>74</v>
      </c>
      <c r="D487">
        <v>1</v>
      </c>
      <c r="E487" t="s">
        <v>815</v>
      </c>
      <c r="F487">
        <v>10224293</v>
      </c>
      <c r="G487" t="s">
        <v>113</v>
      </c>
      <c r="H487" t="s">
        <v>209</v>
      </c>
      <c r="I487">
        <v>2.6</v>
      </c>
      <c r="J487" t="s">
        <v>823</v>
      </c>
      <c r="K487">
        <v>6497865</v>
      </c>
    </row>
    <row r="488" spans="1:11" x14ac:dyDescent="0.2">
      <c r="A488" t="s">
        <v>848</v>
      </c>
      <c r="B488" t="s">
        <v>112</v>
      </c>
      <c r="C488" t="s">
        <v>74</v>
      </c>
      <c r="D488">
        <v>1</v>
      </c>
      <c r="E488" t="s">
        <v>815</v>
      </c>
      <c r="F488">
        <v>10226405</v>
      </c>
      <c r="G488" t="s">
        <v>115</v>
      </c>
      <c r="H488" t="s">
        <v>209</v>
      </c>
      <c r="I488">
        <v>44.4</v>
      </c>
      <c r="J488" t="s">
        <v>823</v>
      </c>
      <c r="K488">
        <v>6497865</v>
      </c>
    </row>
    <row r="489" spans="1:11" x14ac:dyDescent="0.2">
      <c r="A489" t="s">
        <v>848</v>
      </c>
      <c r="B489" t="s">
        <v>112</v>
      </c>
      <c r="C489" t="s">
        <v>74</v>
      </c>
      <c r="D489">
        <v>1</v>
      </c>
      <c r="E489" t="s">
        <v>815</v>
      </c>
      <c r="F489">
        <v>10223657</v>
      </c>
      <c r="G489" t="s">
        <v>116</v>
      </c>
      <c r="H489" t="s">
        <v>209</v>
      </c>
      <c r="I489">
        <v>3.5</v>
      </c>
      <c r="J489" t="s">
        <v>823</v>
      </c>
      <c r="K489">
        <v>6497865</v>
      </c>
    </row>
    <row r="490" spans="1:11" x14ac:dyDescent="0.2">
      <c r="A490" t="s">
        <v>848</v>
      </c>
      <c r="B490" t="s">
        <v>112</v>
      </c>
      <c r="C490" t="s">
        <v>74</v>
      </c>
      <c r="D490">
        <v>1</v>
      </c>
      <c r="E490" t="s">
        <v>815</v>
      </c>
      <c r="F490">
        <v>10198819</v>
      </c>
      <c r="G490" t="s">
        <v>117</v>
      </c>
      <c r="H490" t="s">
        <v>209</v>
      </c>
      <c r="I490">
        <v>1</v>
      </c>
      <c r="J490" t="s">
        <v>823</v>
      </c>
      <c r="K490">
        <v>6497865</v>
      </c>
    </row>
    <row r="491" spans="1:11" x14ac:dyDescent="0.2">
      <c r="A491" t="s">
        <v>848</v>
      </c>
      <c r="B491" t="s">
        <v>112</v>
      </c>
      <c r="C491" t="s">
        <v>74</v>
      </c>
      <c r="D491">
        <v>1</v>
      </c>
      <c r="E491" t="s">
        <v>815</v>
      </c>
      <c r="F491">
        <v>10226361</v>
      </c>
      <c r="G491" t="s">
        <v>118</v>
      </c>
      <c r="H491" t="s">
        <v>209</v>
      </c>
      <c r="I491">
        <v>0.1</v>
      </c>
      <c r="J491" t="s">
        <v>823</v>
      </c>
      <c r="K491">
        <v>6497865</v>
      </c>
    </row>
    <row r="492" spans="1:11" x14ac:dyDescent="0.2">
      <c r="A492" t="s">
        <v>848</v>
      </c>
      <c r="B492" t="s">
        <v>112</v>
      </c>
      <c r="C492" t="s">
        <v>74</v>
      </c>
      <c r="D492">
        <v>1</v>
      </c>
      <c r="E492" t="s">
        <v>815</v>
      </c>
      <c r="F492">
        <v>10226415</v>
      </c>
      <c r="G492" t="s">
        <v>119</v>
      </c>
      <c r="H492" t="s">
        <v>209</v>
      </c>
      <c r="I492">
        <v>1.3</v>
      </c>
      <c r="J492" t="s">
        <v>823</v>
      </c>
      <c r="K492">
        <v>6497865</v>
      </c>
    </row>
    <row r="493" spans="1:11" x14ac:dyDescent="0.2">
      <c r="A493" t="s">
        <v>848</v>
      </c>
      <c r="B493" t="s">
        <v>112</v>
      </c>
      <c r="C493" t="s">
        <v>74</v>
      </c>
      <c r="D493">
        <v>1</v>
      </c>
      <c r="E493" t="s">
        <v>815</v>
      </c>
      <c r="F493">
        <v>10226441</v>
      </c>
      <c r="G493" t="s">
        <v>171</v>
      </c>
      <c r="H493" t="s">
        <v>209</v>
      </c>
      <c r="I493">
        <v>0.4</v>
      </c>
      <c r="J493" t="s">
        <v>823</v>
      </c>
      <c r="K493">
        <v>6497865</v>
      </c>
    </row>
    <row r="494" spans="1:11" x14ac:dyDescent="0.2">
      <c r="A494" t="s">
        <v>848</v>
      </c>
      <c r="B494" t="s">
        <v>112</v>
      </c>
      <c r="C494" t="s">
        <v>74</v>
      </c>
      <c r="D494">
        <v>1</v>
      </c>
      <c r="E494" t="s">
        <v>815</v>
      </c>
      <c r="F494">
        <v>10226399</v>
      </c>
      <c r="G494" t="s">
        <v>120</v>
      </c>
      <c r="H494" t="s">
        <v>209</v>
      </c>
      <c r="I494">
        <v>4.8</v>
      </c>
      <c r="J494" t="s">
        <v>823</v>
      </c>
      <c r="K494">
        <v>6497865</v>
      </c>
    </row>
    <row r="495" spans="1:11" x14ac:dyDescent="0.2">
      <c r="A495" t="s">
        <v>848</v>
      </c>
      <c r="B495" t="s">
        <v>112</v>
      </c>
      <c r="C495" t="s">
        <v>74</v>
      </c>
      <c r="D495">
        <v>1</v>
      </c>
      <c r="E495" t="s">
        <v>815</v>
      </c>
      <c r="F495">
        <v>50994931</v>
      </c>
      <c r="G495" t="s">
        <v>121</v>
      </c>
      <c r="H495" t="s">
        <v>209</v>
      </c>
      <c r="I495">
        <v>732</v>
      </c>
      <c r="J495" t="s">
        <v>823</v>
      </c>
      <c r="K495">
        <v>6497865</v>
      </c>
    </row>
    <row r="496" spans="1:11" x14ac:dyDescent="0.2">
      <c r="A496" t="s">
        <v>848</v>
      </c>
      <c r="B496" t="s">
        <v>112</v>
      </c>
      <c r="C496" t="s">
        <v>74</v>
      </c>
      <c r="D496">
        <v>1</v>
      </c>
      <c r="E496" t="s">
        <v>815</v>
      </c>
      <c r="F496">
        <v>50065408</v>
      </c>
      <c r="G496" t="s">
        <v>186</v>
      </c>
      <c r="H496" t="s">
        <v>209</v>
      </c>
      <c r="I496">
        <v>32</v>
      </c>
      <c r="J496" t="s">
        <v>823</v>
      </c>
      <c r="K496">
        <v>6497865</v>
      </c>
    </row>
    <row r="497" spans="1:11" x14ac:dyDescent="0.2">
      <c r="A497" t="s">
        <v>848</v>
      </c>
      <c r="B497" t="s">
        <v>112</v>
      </c>
      <c r="C497" t="s">
        <v>74</v>
      </c>
      <c r="D497">
        <v>1</v>
      </c>
      <c r="E497" t="s">
        <v>815</v>
      </c>
      <c r="F497">
        <v>10242292</v>
      </c>
      <c r="G497" t="s">
        <v>122</v>
      </c>
      <c r="H497" t="s">
        <v>209</v>
      </c>
      <c r="I497">
        <v>2.8</v>
      </c>
      <c r="J497" t="s">
        <v>823</v>
      </c>
      <c r="K497">
        <v>6497865</v>
      </c>
    </row>
    <row r="498" spans="1:11" x14ac:dyDescent="0.2">
      <c r="A498" t="s">
        <v>848</v>
      </c>
      <c r="B498" t="s">
        <v>112</v>
      </c>
      <c r="C498" t="s">
        <v>74</v>
      </c>
      <c r="D498">
        <v>1</v>
      </c>
      <c r="E498" t="s">
        <v>815</v>
      </c>
      <c r="F498">
        <v>10242293</v>
      </c>
      <c r="G498" t="s">
        <v>123</v>
      </c>
      <c r="H498" t="s">
        <v>209</v>
      </c>
      <c r="I498">
        <v>0.6</v>
      </c>
      <c r="J498" t="s">
        <v>823</v>
      </c>
      <c r="K498">
        <v>6497865</v>
      </c>
    </row>
    <row r="499" spans="1:11" x14ac:dyDescent="0.2">
      <c r="A499" t="s">
        <v>848</v>
      </c>
      <c r="B499" t="s">
        <v>112</v>
      </c>
      <c r="C499" t="s">
        <v>74</v>
      </c>
      <c r="D499">
        <v>1</v>
      </c>
      <c r="E499" t="s">
        <v>815</v>
      </c>
      <c r="F499">
        <v>50994945</v>
      </c>
      <c r="G499" t="s">
        <v>124</v>
      </c>
      <c r="H499" t="s">
        <v>209</v>
      </c>
      <c r="I499">
        <v>288</v>
      </c>
      <c r="J499" t="s">
        <v>823</v>
      </c>
      <c r="K499">
        <v>6497865</v>
      </c>
    </row>
    <row r="500" spans="1:11" x14ac:dyDescent="0.2">
      <c r="A500" t="s">
        <v>848</v>
      </c>
      <c r="B500" t="s">
        <v>112</v>
      </c>
      <c r="C500" t="s">
        <v>74</v>
      </c>
      <c r="D500">
        <v>1</v>
      </c>
      <c r="E500" t="s">
        <v>815</v>
      </c>
      <c r="F500">
        <v>10247603</v>
      </c>
      <c r="G500" t="s">
        <v>125</v>
      </c>
      <c r="H500" t="s">
        <v>209</v>
      </c>
      <c r="I500">
        <v>6.5</v>
      </c>
      <c r="J500" t="s">
        <v>823</v>
      </c>
      <c r="K500">
        <v>6497865</v>
      </c>
    </row>
    <row r="501" spans="1:11" x14ac:dyDescent="0.2">
      <c r="A501" t="s">
        <v>848</v>
      </c>
      <c r="B501" t="s">
        <v>112</v>
      </c>
      <c r="C501" t="s">
        <v>74</v>
      </c>
      <c r="D501">
        <v>1</v>
      </c>
      <c r="E501" t="s">
        <v>815</v>
      </c>
      <c r="F501">
        <v>10208004</v>
      </c>
      <c r="G501" t="s">
        <v>126</v>
      </c>
      <c r="H501" t="s">
        <v>209</v>
      </c>
      <c r="I501">
        <v>0.8</v>
      </c>
      <c r="J501" t="s">
        <v>823</v>
      </c>
      <c r="K501">
        <v>6497865</v>
      </c>
    </row>
    <row r="502" spans="1:11" x14ac:dyDescent="0.2">
      <c r="A502" t="s">
        <v>848</v>
      </c>
      <c r="B502" t="s">
        <v>112</v>
      </c>
      <c r="C502" t="s">
        <v>74</v>
      </c>
      <c r="D502">
        <v>1</v>
      </c>
      <c r="E502" t="s">
        <v>815</v>
      </c>
      <c r="F502">
        <v>10208167</v>
      </c>
      <c r="G502" t="s">
        <v>127</v>
      </c>
      <c r="H502" t="s">
        <v>209</v>
      </c>
      <c r="I502">
        <v>0.4</v>
      </c>
      <c r="J502" t="s">
        <v>823</v>
      </c>
      <c r="K502">
        <v>6497865</v>
      </c>
    </row>
    <row r="503" spans="1:11" x14ac:dyDescent="0.2">
      <c r="A503" t="s">
        <v>848</v>
      </c>
      <c r="B503" t="s">
        <v>112</v>
      </c>
      <c r="C503" t="s">
        <v>74</v>
      </c>
      <c r="D503">
        <v>1</v>
      </c>
      <c r="E503" t="s">
        <v>815</v>
      </c>
      <c r="F503">
        <v>10215610</v>
      </c>
      <c r="G503" t="s">
        <v>128</v>
      </c>
      <c r="H503" t="s">
        <v>209</v>
      </c>
      <c r="I503">
        <v>21.8</v>
      </c>
      <c r="J503" t="s">
        <v>823</v>
      </c>
      <c r="K503">
        <v>6497865</v>
      </c>
    </row>
    <row r="504" spans="1:11" x14ac:dyDescent="0.2">
      <c r="A504" t="s">
        <v>848</v>
      </c>
      <c r="B504" t="s">
        <v>112</v>
      </c>
      <c r="C504" t="s">
        <v>74</v>
      </c>
      <c r="D504">
        <v>1</v>
      </c>
      <c r="E504" t="s">
        <v>815</v>
      </c>
      <c r="F504">
        <v>10215641</v>
      </c>
      <c r="G504" t="s">
        <v>129</v>
      </c>
      <c r="H504" t="s">
        <v>209</v>
      </c>
      <c r="I504">
        <v>8.9</v>
      </c>
      <c r="J504" t="s">
        <v>823</v>
      </c>
      <c r="K504">
        <v>6497865</v>
      </c>
    </row>
    <row r="505" spans="1:11" x14ac:dyDescent="0.2">
      <c r="A505" t="s">
        <v>848</v>
      </c>
      <c r="B505" t="s">
        <v>112</v>
      </c>
      <c r="C505" t="s">
        <v>74</v>
      </c>
      <c r="D505">
        <v>1</v>
      </c>
      <c r="E505" t="s">
        <v>815</v>
      </c>
      <c r="F505">
        <v>10223108</v>
      </c>
      <c r="G505" t="s">
        <v>130</v>
      </c>
      <c r="H505" t="s">
        <v>209</v>
      </c>
      <c r="I505">
        <v>1.3</v>
      </c>
      <c r="J505" t="s">
        <v>823</v>
      </c>
      <c r="K505">
        <v>6497865</v>
      </c>
    </row>
    <row r="506" spans="1:11" x14ac:dyDescent="0.2">
      <c r="A506" t="s">
        <v>848</v>
      </c>
      <c r="B506" t="s">
        <v>112</v>
      </c>
      <c r="C506" t="s">
        <v>74</v>
      </c>
      <c r="D506">
        <v>1</v>
      </c>
      <c r="E506" t="s">
        <v>815</v>
      </c>
      <c r="F506">
        <v>10226363</v>
      </c>
      <c r="G506" t="s">
        <v>816</v>
      </c>
      <c r="H506" t="s">
        <v>209</v>
      </c>
      <c r="I506">
        <v>0.6</v>
      </c>
      <c r="J506" t="s">
        <v>823</v>
      </c>
      <c r="K506">
        <v>6497865</v>
      </c>
    </row>
    <row r="507" spans="1:11" x14ac:dyDescent="0.2">
      <c r="A507" t="s">
        <v>848</v>
      </c>
      <c r="B507" t="s">
        <v>112</v>
      </c>
      <c r="C507" t="s">
        <v>74</v>
      </c>
      <c r="D507">
        <v>1</v>
      </c>
      <c r="E507" t="s">
        <v>815</v>
      </c>
      <c r="F507">
        <v>10226367</v>
      </c>
      <c r="G507" t="s">
        <v>133</v>
      </c>
      <c r="H507" t="s">
        <v>209</v>
      </c>
      <c r="I507">
        <v>0.2</v>
      </c>
      <c r="J507" t="s">
        <v>823</v>
      </c>
      <c r="K507">
        <v>6497865</v>
      </c>
    </row>
    <row r="508" spans="1:11" x14ac:dyDescent="0.2">
      <c r="A508" t="s">
        <v>848</v>
      </c>
      <c r="B508" t="s">
        <v>112</v>
      </c>
      <c r="C508" t="s">
        <v>74</v>
      </c>
      <c r="D508">
        <v>1</v>
      </c>
      <c r="E508" t="s">
        <v>815</v>
      </c>
      <c r="F508">
        <v>10226368</v>
      </c>
      <c r="G508" t="s">
        <v>134</v>
      </c>
      <c r="H508" t="s">
        <v>209</v>
      </c>
      <c r="I508">
        <v>4.8</v>
      </c>
      <c r="J508" t="s">
        <v>823</v>
      </c>
      <c r="K508">
        <v>6497865</v>
      </c>
    </row>
    <row r="509" spans="1:11" x14ac:dyDescent="0.2">
      <c r="A509" t="s">
        <v>848</v>
      </c>
      <c r="B509" t="s">
        <v>112</v>
      </c>
      <c r="C509" t="s">
        <v>74</v>
      </c>
      <c r="D509">
        <v>1</v>
      </c>
      <c r="E509" t="s">
        <v>815</v>
      </c>
      <c r="F509">
        <v>10226373</v>
      </c>
      <c r="G509" t="s">
        <v>135</v>
      </c>
      <c r="H509" t="s">
        <v>209</v>
      </c>
      <c r="I509">
        <v>2.8</v>
      </c>
      <c r="J509" t="s">
        <v>823</v>
      </c>
      <c r="K509">
        <v>6497865</v>
      </c>
    </row>
    <row r="510" spans="1:11" x14ac:dyDescent="0.2">
      <c r="A510" t="s">
        <v>848</v>
      </c>
      <c r="B510" t="s">
        <v>112</v>
      </c>
      <c r="C510" t="s">
        <v>74</v>
      </c>
      <c r="D510">
        <v>1</v>
      </c>
      <c r="E510" t="s">
        <v>815</v>
      </c>
      <c r="F510">
        <v>10226385</v>
      </c>
      <c r="G510" t="s">
        <v>137</v>
      </c>
      <c r="H510" t="s">
        <v>209</v>
      </c>
      <c r="I510">
        <v>1.2</v>
      </c>
      <c r="J510" t="s">
        <v>823</v>
      </c>
      <c r="K510">
        <v>6497865</v>
      </c>
    </row>
    <row r="511" spans="1:11" x14ac:dyDescent="0.2">
      <c r="A511" t="s">
        <v>848</v>
      </c>
      <c r="B511" t="s">
        <v>112</v>
      </c>
      <c r="C511" t="s">
        <v>74</v>
      </c>
      <c r="D511">
        <v>1</v>
      </c>
      <c r="E511" t="s">
        <v>815</v>
      </c>
      <c r="F511">
        <v>10226388</v>
      </c>
      <c r="G511" t="s">
        <v>138</v>
      </c>
      <c r="H511" t="s">
        <v>209</v>
      </c>
      <c r="I511">
        <v>0.8</v>
      </c>
      <c r="J511" t="s">
        <v>823</v>
      </c>
      <c r="K511">
        <v>6497865</v>
      </c>
    </row>
    <row r="512" spans="1:11" x14ac:dyDescent="0.2">
      <c r="A512" t="s">
        <v>848</v>
      </c>
      <c r="B512" t="s">
        <v>112</v>
      </c>
      <c r="C512" t="s">
        <v>74</v>
      </c>
      <c r="D512">
        <v>1</v>
      </c>
      <c r="E512" t="s">
        <v>815</v>
      </c>
      <c r="F512">
        <v>10226390</v>
      </c>
      <c r="G512" t="s">
        <v>174</v>
      </c>
      <c r="H512" t="s">
        <v>209</v>
      </c>
      <c r="I512">
        <v>0.4</v>
      </c>
      <c r="J512" t="s">
        <v>823</v>
      </c>
      <c r="K512">
        <v>6497865</v>
      </c>
    </row>
    <row r="513" spans="1:11" x14ac:dyDescent="0.2">
      <c r="A513" t="s">
        <v>848</v>
      </c>
      <c r="B513" t="s">
        <v>112</v>
      </c>
      <c r="C513" t="s">
        <v>74</v>
      </c>
      <c r="D513">
        <v>1</v>
      </c>
      <c r="E513" t="s">
        <v>815</v>
      </c>
      <c r="F513">
        <v>10226392</v>
      </c>
      <c r="G513" t="s">
        <v>139</v>
      </c>
      <c r="H513" t="s">
        <v>209</v>
      </c>
      <c r="I513">
        <v>0.2</v>
      </c>
      <c r="J513" t="s">
        <v>823</v>
      </c>
      <c r="K513">
        <v>6497865</v>
      </c>
    </row>
    <row r="514" spans="1:11" x14ac:dyDescent="0.2">
      <c r="A514" t="s">
        <v>848</v>
      </c>
      <c r="B514" t="s">
        <v>112</v>
      </c>
      <c r="C514" t="s">
        <v>74</v>
      </c>
      <c r="D514">
        <v>1</v>
      </c>
      <c r="E514" t="s">
        <v>815</v>
      </c>
      <c r="F514">
        <v>10226398</v>
      </c>
      <c r="G514" t="s">
        <v>140</v>
      </c>
      <c r="H514" t="s">
        <v>209</v>
      </c>
      <c r="I514">
        <v>2.5</v>
      </c>
      <c r="J514" t="s">
        <v>823</v>
      </c>
      <c r="K514">
        <v>6497865</v>
      </c>
    </row>
    <row r="515" spans="1:11" x14ac:dyDescent="0.2">
      <c r="A515" t="s">
        <v>848</v>
      </c>
      <c r="B515" t="s">
        <v>112</v>
      </c>
      <c r="C515" t="s">
        <v>74</v>
      </c>
      <c r="D515">
        <v>1</v>
      </c>
      <c r="E515" t="s">
        <v>815</v>
      </c>
      <c r="F515">
        <v>10226403</v>
      </c>
      <c r="G515" t="s">
        <v>141</v>
      </c>
      <c r="H515" t="s">
        <v>209</v>
      </c>
      <c r="I515">
        <v>4.4000000000000004</v>
      </c>
      <c r="J515" t="s">
        <v>823</v>
      </c>
      <c r="K515">
        <v>6497865</v>
      </c>
    </row>
    <row r="516" spans="1:11" x14ac:dyDescent="0.2">
      <c r="A516" t="s">
        <v>848</v>
      </c>
      <c r="B516" t="s">
        <v>112</v>
      </c>
      <c r="C516" t="s">
        <v>74</v>
      </c>
      <c r="D516">
        <v>1</v>
      </c>
      <c r="E516" t="s">
        <v>815</v>
      </c>
      <c r="F516">
        <v>10226410</v>
      </c>
      <c r="G516" t="s">
        <v>142</v>
      </c>
      <c r="H516" t="s">
        <v>209</v>
      </c>
      <c r="I516">
        <v>0.6</v>
      </c>
      <c r="J516" t="s">
        <v>823</v>
      </c>
      <c r="K516">
        <v>6497865</v>
      </c>
    </row>
    <row r="517" spans="1:11" x14ac:dyDescent="0.2">
      <c r="A517" t="s">
        <v>848</v>
      </c>
      <c r="B517" t="s">
        <v>112</v>
      </c>
      <c r="C517" t="s">
        <v>74</v>
      </c>
      <c r="D517">
        <v>1</v>
      </c>
      <c r="E517" t="s">
        <v>815</v>
      </c>
      <c r="F517">
        <v>10226417</v>
      </c>
      <c r="G517" t="s">
        <v>143</v>
      </c>
      <c r="H517" t="s">
        <v>209</v>
      </c>
      <c r="I517">
        <v>11</v>
      </c>
      <c r="J517" t="s">
        <v>823</v>
      </c>
      <c r="K517">
        <v>6497865</v>
      </c>
    </row>
    <row r="518" spans="1:11" x14ac:dyDescent="0.2">
      <c r="A518" t="s">
        <v>848</v>
      </c>
      <c r="B518" t="s">
        <v>112</v>
      </c>
      <c r="C518" t="s">
        <v>74</v>
      </c>
      <c r="D518">
        <v>1</v>
      </c>
      <c r="E518" t="s">
        <v>815</v>
      </c>
      <c r="F518">
        <v>10226418</v>
      </c>
      <c r="G518" t="s">
        <v>144</v>
      </c>
      <c r="H518" t="s">
        <v>209</v>
      </c>
      <c r="I518">
        <v>0.4</v>
      </c>
      <c r="J518" t="s">
        <v>823</v>
      </c>
      <c r="K518">
        <v>6497865</v>
      </c>
    </row>
    <row r="519" spans="1:11" x14ac:dyDescent="0.2">
      <c r="A519" t="s">
        <v>848</v>
      </c>
      <c r="B519" t="s">
        <v>112</v>
      </c>
      <c r="C519" t="s">
        <v>74</v>
      </c>
      <c r="D519">
        <v>1</v>
      </c>
      <c r="E519" t="s">
        <v>815</v>
      </c>
      <c r="F519">
        <v>10226425</v>
      </c>
      <c r="G519" t="s">
        <v>145</v>
      </c>
      <c r="H519" t="s">
        <v>209</v>
      </c>
      <c r="I519">
        <v>1.3</v>
      </c>
      <c r="J519" t="s">
        <v>823</v>
      </c>
      <c r="K519">
        <v>6497865</v>
      </c>
    </row>
    <row r="520" spans="1:11" x14ac:dyDescent="0.2">
      <c r="A520" t="s">
        <v>848</v>
      </c>
      <c r="B520" t="s">
        <v>112</v>
      </c>
      <c r="C520" t="s">
        <v>74</v>
      </c>
      <c r="D520">
        <v>1</v>
      </c>
      <c r="E520" t="s">
        <v>815</v>
      </c>
      <c r="F520">
        <v>10226428</v>
      </c>
      <c r="G520" t="s">
        <v>146</v>
      </c>
      <c r="H520" t="s">
        <v>209</v>
      </c>
      <c r="I520">
        <v>0.1</v>
      </c>
      <c r="J520" t="s">
        <v>823</v>
      </c>
      <c r="K520">
        <v>6497865</v>
      </c>
    </row>
    <row r="521" spans="1:11" x14ac:dyDescent="0.2">
      <c r="A521" t="s">
        <v>848</v>
      </c>
      <c r="B521" t="s">
        <v>112</v>
      </c>
      <c r="C521" t="s">
        <v>74</v>
      </c>
      <c r="D521">
        <v>1</v>
      </c>
      <c r="E521" t="s">
        <v>815</v>
      </c>
      <c r="F521">
        <v>10226429</v>
      </c>
      <c r="G521" t="s">
        <v>147</v>
      </c>
      <c r="H521" t="s">
        <v>209</v>
      </c>
      <c r="I521">
        <v>29.2</v>
      </c>
      <c r="J521" t="s">
        <v>823</v>
      </c>
      <c r="K521">
        <v>6497865</v>
      </c>
    </row>
    <row r="522" spans="1:11" x14ac:dyDescent="0.2">
      <c r="A522" t="s">
        <v>848</v>
      </c>
      <c r="B522" t="s">
        <v>112</v>
      </c>
      <c r="C522" t="s">
        <v>74</v>
      </c>
      <c r="D522">
        <v>1</v>
      </c>
      <c r="E522" t="s">
        <v>815</v>
      </c>
      <c r="F522">
        <v>10226435</v>
      </c>
      <c r="G522" t="s">
        <v>148</v>
      </c>
      <c r="H522" t="s">
        <v>209</v>
      </c>
      <c r="I522">
        <v>1</v>
      </c>
      <c r="J522" t="s">
        <v>823</v>
      </c>
      <c r="K522">
        <v>6497865</v>
      </c>
    </row>
    <row r="523" spans="1:11" x14ac:dyDescent="0.2">
      <c r="A523" t="s">
        <v>848</v>
      </c>
      <c r="B523" t="s">
        <v>112</v>
      </c>
      <c r="C523" t="s">
        <v>74</v>
      </c>
      <c r="D523">
        <v>1</v>
      </c>
      <c r="E523" t="s">
        <v>815</v>
      </c>
      <c r="F523">
        <v>10226442</v>
      </c>
      <c r="G523" t="s">
        <v>149</v>
      </c>
      <c r="H523" t="s">
        <v>209</v>
      </c>
      <c r="I523">
        <v>0.2</v>
      </c>
      <c r="J523" t="s">
        <v>823</v>
      </c>
      <c r="K523">
        <v>6497865</v>
      </c>
    </row>
    <row r="524" spans="1:11" x14ac:dyDescent="0.2">
      <c r="A524" t="s">
        <v>848</v>
      </c>
      <c r="B524" t="s">
        <v>112</v>
      </c>
      <c r="C524" t="s">
        <v>74</v>
      </c>
      <c r="D524">
        <v>1</v>
      </c>
      <c r="E524" t="s">
        <v>815</v>
      </c>
      <c r="F524">
        <v>10226452</v>
      </c>
      <c r="G524" t="s">
        <v>151</v>
      </c>
      <c r="H524" t="s">
        <v>209</v>
      </c>
      <c r="I524">
        <v>0.4</v>
      </c>
      <c r="J524" t="s">
        <v>823</v>
      </c>
      <c r="K524">
        <v>6497865</v>
      </c>
    </row>
    <row r="525" spans="1:11" x14ac:dyDescent="0.2">
      <c r="A525" t="s">
        <v>848</v>
      </c>
      <c r="B525" t="s">
        <v>112</v>
      </c>
      <c r="C525" t="s">
        <v>74</v>
      </c>
      <c r="D525">
        <v>1</v>
      </c>
      <c r="E525" t="s">
        <v>815</v>
      </c>
      <c r="F525">
        <v>10226454</v>
      </c>
      <c r="G525" t="s">
        <v>152</v>
      </c>
      <c r="H525" t="s">
        <v>209</v>
      </c>
      <c r="I525">
        <v>11.5</v>
      </c>
      <c r="J525" t="s">
        <v>823</v>
      </c>
      <c r="K525">
        <v>6497865</v>
      </c>
    </row>
    <row r="526" spans="1:11" x14ac:dyDescent="0.2">
      <c r="A526" t="s">
        <v>848</v>
      </c>
      <c r="B526" t="s">
        <v>112</v>
      </c>
      <c r="C526" t="s">
        <v>74</v>
      </c>
      <c r="D526">
        <v>1</v>
      </c>
      <c r="E526" t="s">
        <v>815</v>
      </c>
      <c r="F526">
        <v>10226455</v>
      </c>
      <c r="G526" t="s">
        <v>164</v>
      </c>
      <c r="H526" t="s">
        <v>209</v>
      </c>
      <c r="I526">
        <v>0.8</v>
      </c>
      <c r="J526" t="s">
        <v>823</v>
      </c>
      <c r="K526">
        <v>6497865</v>
      </c>
    </row>
    <row r="527" spans="1:11" x14ac:dyDescent="0.2">
      <c r="A527" t="s">
        <v>848</v>
      </c>
      <c r="B527" t="s">
        <v>112</v>
      </c>
      <c r="C527" t="s">
        <v>74</v>
      </c>
      <c r="D527">
        <v>1</v>
      </c>
      <c r="E527" t="s">
        <v>815</v>
      </c>
      <c r="F527">
        <v>10231474</v>
      </c>
      <c r="G527" t="s">
        <v>176</v>
      </c>
      <c r="H527" t="s">
        <v>209</v>
      </c>
      <c r="I527">
        <v>0.4</v>
      </c>
      <c r="J527" t="s">
        <v>823</v>
      </c>
      <c r="K527">
        <v>6497865</v>
      </c>
    </row>
    <row r="528" spans="1:11" x14ac:dyDescent="0.2">
      <c r="A528" t="s">
        <v>848</v>
      </c>
      <c r="B528" t="s">
        <v>112</v>
      </c>
      <c r="C528" t="s">
        <v>74</v>
      </c>
      <c r="D528">
        <v>1</v>
      </c>
      <c r="E528" t="s">
        <v>815</v>
      </c>
      <c r="F528">
        <v>10231475</v>
      </c>
      <c r="G528" t="s">
        <v>177</v>
      </c>
      <c r="H528" t="s">
        <v>209</v>
      </c>
      <c r="I528">
        <v>0.2</v>
      </c>
      <c r="J528" t="s">
        <v>823</v>
      </c>
      <c r="K528">
        <v>6497865</v>
      </c>
    </row>
    <row r="529" spans="1:11" x14ac:dyDescent="0.2">
      <c r="A529" t="s">
        <v>848</v>
      </c>
      <c r="B529" t="s">
        <v>112</v>
      </c>
      <c r="C529" t="s">
        <v>74</v>
      </c>
      <c r="D529">
        <v>1</v>
      </c>
      <c r="E529" t="s">
        <v>815</v>
      </c>
      <c r="F529">
        <v>10231484</v>
      </c>
      <c r="G529" t="s">
        <v>166</v>
      </c>
      <c r="H529" t="s">
        <v>209</v>
      </c>
      <c r="I529">
        <v>0.4</v>
      </c>
      <c r="J529" t="s">
        <v>823</v>
      </c>
      <c r="K529">
        <v>6497865</v>
      </c>
    </row>
    <row r="530" spans="1:11" x14ac:dyDescent="0.2">
      <c r="A530" t="s">
        <v>848</v>
      </c>
      <c r="B530" t="s">
        <v>112</v>
      </c>
      <c r="C530" t="s">
        <v>74</v>
      </c>
      <c r="D530">
        <v>1</v>
      </c>
      <c r="E530" t="s">
        <v>815</v>
      </c>
      <c r="F530">
        <v>50066417</v>
      </c>
      <c r="G530" t="s">
        <v>213</v>
      </c>
      <c r="H530" t="s">
        <v>209</v>
      </c>
      <c r="I530">
        <v>12</v>
      </c>
      <c r="J530" t="s">
        <v>823</v>
      </c>
      <c r="K530">
        <v>6497865</v>
      </c>
    </row>
    <row r="531" spans="1:11" x14ac:dyDescent="0.2">
      <c r="A531" t="s">
        <v>848</v>
      </c>
      <c r="B531" t="s">
        <v>112</v>
      </c>
      <c r="C531" t="s">
        <v>74</v>
      </c>
      <c r="D531">
        <v>1</v>
      </c>
      <c r="E531" t="s">
        <v>815</v>
      </c>
      <c r="F531">
        <v>50066820</v>
      </c>
      <c r="G531" t="s">
        <v>194</v>
      </c>
      <c r="H531" t="s">
        <v>209</v>
      </c>
      <c r="I531">
        <v>32</v>
      </c>
      <c r="J531" t="s">
        <v>823</v>
      </c>
      <c r="K531">
        <v>6497865</v>
      </c>
    </row>
    <row r="532" spans="1:11" x14ac:dyDescent="0.2">
      <c r="A532" t="s">
        <v>848</v>
      </c>
      <c r="B532" t="s">
        <v>112</v>
      </c>
      <c r="C532" t="s">
        <v>74</v>
      </c>
      <c r="D532">
        <v>1</v>
      </c>
      <c r="E532" t="s">
        <v>815</v>
      </c>
      <c r="F532">
        <v>50066861</v>
      </c>
      <c r="G532" t="s">
        <v>195</v>
      </c>
      <c r="H532" t="s">
        <v>209</v>
      </c>
      <c r="I532">
        <v>16</v>
      </c>
      <c r="J532" t="s">
        <v>823</v>
      </c>
      <c r="K532">
        <v>6497865</v>
      </c>
    </row>
    <row r="533" spans="1:11" x14ac:dyDescent="0.2">
      <c r="A533" t="s">
        <v>848</v>
      </c>
      <c r="B533" t="s">
        <v>112</v>
      </c>
      <c r="C533" t="s">
        <v>74</v>
      </c>
      <c r="D533">
        <v>1</v>
      </c>
      <c r="E533" t="s">
        <v>815</v>
      </c>
      <c r="F533">
        <v>50067083</v>
      </c>
      <c r="G533" t="s">
        <v>214</v>
      </c>
      <c r="H533" t="s">
        <v>209</v>
      </c>
      <c r="I533">
        <v>12</v>
      </c>
      <c r="J533" t="s">
        <v>823</v>
      </c>
      <c r="K533">
        <v>6497865</v>
      </c>
    </row>
    <row r="534" spans="1:11" x14ac:dyDescent="0.2">
      <c r="A534" t="s">
        <v>848</v>
      </c>
      <c r="B534" t="s">
        <v>112</v>
      </c>
      <c r="C534" t="s">
        <v>74</v>
      </c>
      <c r="D534">
        <v>1</v>
      </c>
      <c r="E534" t="s">
        <v>815</v>
      </c>
      <c r="F534">
        <v>50067094</v>
      </c>
      <c r="G534" t="s">
        <v>212</v>
      </c>
      <c r="H534" t="s">
        <v>209</v>
      </c>
      <c r="I534">
        <v>12</v>
      </c>
      <c r="J534" t="s">
        <v>823</v>
      </c>
      <c r="K534">
        <v>6497865</v>
      </c>
    </row>
    <row r="535" spans="1:11" x14ac:dyDescent="0.2">
      <c r="A535" t="s">
        <v>848</v>
      </c>
      <c r="B535" t="s">
        <v>112</v>
      </c>
      <c r="C535" t="s">
        <v>74</v>
      </c>
      <c r="D535">
        <v>1</v>
      </c>
      <c r="E535" t="s">
        <v>815</v>
      </c>
      <c r="F535">
        <v>10226402</v>
      </c>
      <c r="G535" t="s">
        <v>156</v>
      </c>
      <c r="H535" t="s">
        <v>209</v>
      </c>
      <c r="I535">
        <v>1.8</v>
      </c>
      <c r="J535" t="s">
        <v>823</v>
      </c>
      <c r="K535">
        <v>6497865</v>
      </c>
    </row>
    <row r="536" spans="1:11" x14ac:dyDescent="0.2">
      <c r="A536" t="s">
        <v>849</v>
      </c>
      <c r="B536" t="s">
        <v>112</v>
      </c>
      <c r="C536" t="s">
        <v>74</v>
      </c>
      <c r="D536">
        <v>1</v>
      </c>
      <c r="E536" t="s">
        <v>815</v>
      </c>
      <c r="F536">
        <v>10224293</v>
      </c>
      <c r="G536" t="s">
        <v>113</v>
      </c>
      <c r="H536" t="s">
        <v>210</v>
      </c>
      <c r="I536">
        <v>0.7</v>
      </c>
      <c r="J536" t="s">
        <v>823</v>
      </c>
      <c r="K536">
        <v>6497120</v>
      </c>
    </row>
    <row r="537" spans="1:11" x14ac:dyDescent="0.2">
      <c r="A537" t="s">
        <v>849</v>
      </c>
      <c r="B537" t="s">
        <v>112</v>
      </c>
      <c r="C537" t="s">
        <v>74</v>
      </c>
      <c r="D537">
        <v>1</v>
      </c>
      <c r="E537" t="s">
        <v>815</v>
      </c>
      <c r="F537">
        <v>10226405</v>
      </c>
      <c r="G537" t="s">
        <v>115</v>
      </c>
      <c r="H537" t="s">
        <v>210</v>
      </c>
      <c r="I537">
        <v>28</v>
      </c>
      <c r="J537" t="s">
        <v>823</v>
      </c>
      <c r="K537">
        <v>6497120</v>
      </c>
    </row>
    <row r="538" spans="1:11" x14ac:dyDescent="0.2">
      <c r="A538" t="s">
        <v>849</v>
      </c>
      <c r="B538" t="s">
        <v>112</v>
      </c>
      <c r="C538" t="s">
        <v>74</v>
      </c>
      <c r="D538">
        <v>1</v>
      </c>
      <c r="E538" t="s">
        <v>815</v>
      </c>
      <c r="F538">
        <v>10223657</v>
      </c>
      <c r="G538" t="s">
        <v>116</v>
      </c>
      <c r="H538" t="s">
        <v>210</v>
      </c>
      <c r="I538">
        <v>1</v>
      </c>
      <c r="J538" t="s">
        <v>823</v>
      </c>
      <c r="K538">
        <v>6497120</v>
      </c>
    </row>
    <row r="539" spans="1:11" x14ac:dyDescent="0.2">
      <c r="A539" t="s">
        <v>849</v>
      </c>
      <c r="B539" t="s">
        <v>112</v>
      </c>
      <c r="C539" t="s">
        <v>74</v>
      </c>
      <c r="D539">
        <v>1</v>
      </c>
      <c r="E539" t="s">
        <v>815</v>
      </c>
      <c r="F539">
        <v>10198819</v>
      </c>
      <c r="G539" t="s">
        <v>117</v>
      </c>
      <c r="H539" t="s">
        <v>210</v>
      </c>
      <c r="I539">
        <v>0.4</v>
      </c>
      <c r="J539" t="s">
        <v>823</v>
      </c>
      <c r="K539">
        <v>6497120</v>
      </c>
    </row>
    <row r="540" spans="1:11" x14ac:dyDescent="0.2">
      <c r="A540" t="s">
        <v>849</v>
      </c>
      <c r="B540" t="s">
        <v>112</v>
      </c>
      <c r="C540" t="s">
        <v>74</v>
      </c>
      <c r="D540">
        <v>1</v>
      </c>
      <c r="E540" t="s">
        <v>815</v>
      </c>
      <c r="F540">
        <v>10226361</v>
      </c>
      <c r="G540" t="s">
        <v>118</v>
      </c>
      <c r="H540" t="s">
        <v>210</v>
      </c>
      <c r="I540">
        <v>0.2</v>
      </c>
      <c r="J540" t="s">
        <v>823</v>
      </c>
      <c r="K540">
        <v>6497120</v>
      </c>
    </row>
    <row r="541" spans="1:11" x14ac:dyDescent="0.2">
      <c r="A541" t="s">
        <v>849</v>
      </c>
      <c r="B541" t="s">
        <v>112</v>
      </c>
      <c r="C541" t="s">
        <v>74</v>
      </c>
      <c r="D541">
        <v>1</v>
      </c>
      <c r="E541" t="s">
        <v>815</v>
      </c>
      <c r="F541">
        <v>10226415</v>
      </c>
      <c r="G541" t="s">
        <v>119</v>
      </c>
      <c r="H541" t="s">
        <v>210</v>
      </c>
      <c r="I541">
        <v>2</v>
      </c>
      <c r="J541" t="s">
        <v>823</v>
      </c>
      <c r="K541">
        <v>6497120</v>
      </c>
    </row>
    <row r="542" spans="1:11" x14ac:dyDescent="0.2">
      <c r="A542" t="s">
        <v>849</v>
      </c>
      <c r="B542" t="s">
        <v>112</v>
      </c>
      <c r="C542" t="s">
        <v>74</v>
      </c>
      <c r="D542">
        <v>1</v>
      </c>
      <c r="E542" t="s">
        <v>815</v>
      </c>
      <c r="F542">
        <v>10226399</v>
      </c>
      <c r="G542" t="s">
        <v>120</v>
      </c>
      <c r="H542" t="s">
        <v>210</v>
      </c>
      <c r="I542">
        <v>7.2</v>
      </c>
      <c r="J542" t="s">
        <v>823</v>
      </c>
      <c r="K542">
        <v>6497120</v>
      </c>
    </row>
    <row r="543" spans="1:11" x14ac:dyDescent="0.2">
      <c r="A543" t="s">
        <v>849</v>
      </c>
      <c r="B543" t="s">
        <v>112</v>
      </c>
      <c r="C543" t="s">
        <v>74</v>
      </c>
      <c r="D543">
        <v>1</v>
      </c>
      <c r="E543" t="s">
        <v>815</v>
      </c>
      <c r="F543">
        <v>50994931</v>
      </c>
      <c r="G543" t="s">
        <v>121</v>
      </c>
      <c r="H543" t="s">
        <v>210</v>
      </c>
      <c r="I543">
        <v>132</v>
      </c>
      <c r="J543" t="s">
        <v>823</v>
      </c>
      <c r="K543">
        <v>6497120</v>
      </c>
    </row>
    <row r="544" spans="1:11" x14ac:dyDescent="0.2">
      <c r="A544" t="s">
        <v>849</v>
      </c>
      <c r="B544" t="s">
        <v>112</v>
      </c>
      <c r="C544" t="s">
        <v>74</v>
      </c>
      <c r="D544">
        <v>1</v>
      </c>
      <c r="E544" t="s">
        <v>815</v>
      </c>
      <c r="F544">
        <v>50065405</v>
      </c>
      <c r="G544" t="s">
        <v>160</v>
      </c>
      <c r="H544" t="s">
        <v>210</v>
      </c>
      <c r="I544">
        <v>48</v>
      </c>
      <c r="J544" t="s">
        <v>823</v>
      </c>
      <c r="K544">
        <v>6497120</v>
      </c>
    </row>
    <row r="545" spans="1:11" x14ac:dyDescent="0.2">
      <c r="A545" t="s">
        <v>849</v>
      </c>
      <c r="B545" t="s">
        <v>112</v>
      </c>
      <c r="C545" t="s">
        <v>74</v>
      </c>
      <c r="D545">
        <v>1</v>
      </c>
      <c r="E545" t="s">
        <v>815</v>
      </c>
      <c r="F545">
        <v>50065407</v>
      </c>
      <c r="G545" t="s">
        <v>161</v>
      </c>
      <c r="H545" t="s">
        <v>210</v>
      </c>
      <c r="I545">
        <v>40</v>
      </c>
      <c r="J545" t="s">
        <v>823</v>
      </c>
      <c r="K545">
        <v>6497120</v>
      </c>
    </row>
    <row r="546" spans="1:11" x14ac:dyDescent="0.2">
      <c r="A546" t="s">
        <v>849</v>
      </c>
      <c r="B546" t="s">
        <v>112</v>
      </c>
      <c r="C546" t="s">
        <v>74</v>
      </c>
      <c r="D546">
        <v>1</v>
      </c>
      <c r="E546" t="s">
        <v>815</v>
      </c>
      <c r="F546">
        <v>10242292</v>
      </c>
      <c r="G546" t="s">
        <v>122</v>
      </c>
      <c r="H546" t="s">
        <v>210</v>
      </c>
      <c r="I546">
        <v>24.6</v>
      </c>
      <c r="J546" t="s">
        <v>823</v>
      </c>
      <c r="K546">
        <v>6497120</v>
      </c>
    </row>
    <row r="547" spans="1:11" x14ac:dyDescent="0.2">
      <c r="A547" t="s">
        <v>849</v>
      </c>
      <c r="B547" t="s">
        <v>112</v>
      </c>
      <c r="C547" t="s">
        <v>74</v>
      </c>
      <c r="D547">
        <v>1</v>
      </c>
      <c r="E547" t="s">
        <v>815</v>
      </c>
      <c r="F547">
        <v>10242293</v>
      </c>
      <c r="G547" t="s">
        <v>123</v>
      </c>
      <c r="H547" t="s">
        <v>210</v>
      </c>
      <c r="I547">
        <v>3.6</v>
      </c>
      <c r="J547" t="s">
        <v>823</v>
      </c>
      <c r="K547">
        <v>6497120</v>
      </c>
    </row>
    <row r="548" spans="1:11" x14ac:dyDescent="0.2">
      <c r="A548" t="s">
        <v>849</v>
      </c>
      <c r="B548" t="s">
        <v>112</v>
      </c>
      <c r="C548" t="s">
        <v>74</v>
      </c>
      <c r="D548">
        <v>1</v>
      </c>
      <c r="E548" t="s">
        <v>815</v>
      </c>
      <c r="F548">
        <v>50994945</v>
      </c>
      <c r="G548" t="s">
        <v>124</v>
      </c>
      <c r="H548" t="s">
        <v>210</v>
      </c>
      <c r="I548">
        <v>84</v>
      </c>
      <c r="J548" t="s">
        <v>823</v>
      </c>
      <c r="K548">
        <v>6497120</v>
      </c>
    </row>
    <row r="549" spans="1:11" x14ac:dyDescent="0.2">
      <c r="A549" t="s">
        <v>849</v>
      </c>
      <c r="B549" t="s">
        <v>112</v>
      </c>
      <c r="C549" t="s">
        <v>74</v>
      </c>
      <c r="D549">
        <v>1</v>
      </c>
      <c r="E549" t="s">
        <v>815</v>
      </c>
      <c r="F549">
        <v>10247603</v>
      </c>
      <c r="G549" t="s">
        <v>125</v>
      </c>
      <c r="H549" t="s">
        <v>210</v>
      </c>
      <c r="I549">
        <v>10.6</v>
      </c>
      <c r="J549" t="s">
        <v>823</v>
      </c>
      <c r="K549">
        <v>6497120</v>
      </c>
    </row>
    <row r="550" spans="1:11" x14ac:dyDescent="0.2">
      <c r="A550" t="s">
        <v>849</v>
      </c>
      <c r="B550" t="s">
        <v>112</v>
      </c>
      <c r="C550" t="s">
        <v>74</v>
      </c>
      <c r="D550">
        <v>1</v>
      </c>
      <c r="E550" t="s">
        <v>815</v>
      </c>
      <c r="F550">
        <v>10208004</v>
      </c>
      <c r="G550" t="s">
        <v>126</v>
      </c>
      <c r="H550" t="s">
        <v>210</v>
      </c>
      <c r="I550">
        <v>2.6</v>
      </c>
      <c r="J550" t="s">
        <v>823</v>
      </c>
      <c r="K550">
        <v>6497120</v>
      </c>
    </row>
    <row r="551" spans="1:11" x14ac:dyDescent="0.2">
      <c r="A551" t="s">
        <v>849</v>
      </c>
      <c r="B551" t="s">
        <v>112</v>
      </c>
      <c r="C551" t="s">
        <v>74</v>
      </c>
      <c r="D551">
        <v>1</v>
      </c>
      <c r="E551" t="s">
        <v>815</v>
      </c>
      <c r="F551">
        <v>10208167</v>
      </c>
      <c r="G551" t="s">
        <v>127</v>
      </c>
      <c r="H551" t="s">
        <v>210</v>
      </c>
      <c r="I551">
        <v>0.7</v>
      </c>
      <c r="J551" t="s">
        <v>823</v>
      </c>
      <c r="K551">
        <v>6497120</v>
      </c>
    </row>
    <row r="552" spans="1:11" x14ac:dyDescent="0.2">
      <c r="A552" t="s">
        <v>849</v>
      </c>
      <c r="B552" t="s">
        <v>112</v>
      </c>
      <c r="C552" t="s">
        <v>74</v>
      </c>
      <c r="D552">
        <v>1</v>
      </c>
      <c r="E552" t="s">
        <v>815</v>
      </c>
      <c r="F552">
        <v>10215610</v>
      </c>
      <c r="G552" t="s">
        <v>128</v>
      </c>
      <c r="H552" t="s">
        <v>210</v>
      </c>
      <c r="I552">
        <v>60.8</v>
      </c>
      <c r="J552" t="s">
        <v>823</v>
      </c>
      <c r="K552">
        <v>6497120</v>
      </c>
    </row>
    <row r="553" spans="1:11" x14ac:dyDescent="0.2">
      <c r="A553" t="s">
        <v>849</v>
      </c>
      <c r="B553" t="s">
        <v>112</v>
      </c>
      <c r="C553" t="s">
        <v>74</v>
      </c>
      <c r="D553">
        <v>1</v>
      </c>
      <c r="E553" t="s">
        <v>815</v>
      </c>
      <c r="F553">
        <v>10215641</v>
      </c>
      <c r="G553" t="s">
        <v>129</v>
      </c>
      <c r="H553" t="s">
        <v>210</v>
      </c>
      <c r="I553">
        <v>4.5999999999999996</v>
      </c>
      <c r="J553" t="s">
        <v>823</v>
      </c>
      <c r="K553">
        <v>6497120</v>
      </c>
    </row>
    <row r="554" spans="1:11" x14ac:dyDescent="0.2">
      <c r="A554" t="s">
        <v>849</v>
      </c>
      <c r="B554" t="s">
        <v>112</v>
      </c>
      <c r="C554" t="s">
        <v>74</v>
      </c>
      <c r="D554">
        <v>1</v>
      </c>
      <c r="E554" t="s">
        <v>815</v>
      </c>
      <c r="F554">
        <v>10223108</v>
      </c>
      <c r="G554" t="s">
        <v>130</v>
      </c>
      <c r="H554" t="s">
        <v>210</v>
      </c>
      <c r="I554">
        <v>1</v>
      </c>
      <c r="J554" t="s">
        <v>823</v>
      </c>
      <c r="K554">
        <v>6497120</v>
      </c>
    </row>
    <row r="555" spans="1:11" x14ac:dyDescent="0.2">
      <c r="A555" t="s">
        <v>849</v>
      </c>
      <c r="B555" t="s">
        <v>112</v>
      </c>
      <c r="C555" t="s">
        <v>74</v>
      </c>
      <c r="D555">
        <v>1</v>
      </c>
      <c r="E555" t="s">
        <v>815</v>
      </c>
      <c r="F555">
        <v>10226339</v>
      </c>
      <c r="G555" t="s">
        <v>173</v>
      </c>
      <c r="H555" t="s">
        <v>210</v>
      </c>
      <c r="I555">
        <v>0.8</v>
      </c>
      <c r="J555" t="s">
        <v>823</v>
      </c>
      <c r="K555">
        <v>6497120</v>
      </c>
    </row>
    <row r="556" spans="1:11" x14ac:dyDescent="0.2">
      <c r="A556" t="s">
        <v>849</v>
      </c>
      <c r="B556" t="s">
        <v>112</v>
      </c>
      <c r="C556" t="s">
        <v>74</v>
      </c>
      <c r="D556">
        <v>1</v>
      </c>
      <c r="E556" t="s">
        <v>815</v>
      </c>
      <c r="F556">
        <v>10226367</v>
      </c>
      <c r="G556" t="s">
        <v>133</v>
      </c>
      <c r="H556" t="s">
        <v>210</v>
      </c>
      <c r="I556">
        <v>6.4</v>
      </c>
      <c r="J556" t="s">
        <v>823</v>
      </c>
      <c r="K556">
        <v>6497120</v>
      </c>
    </row>
    <row r="557" spans="1:11" x14ac:dyDescent="0.2">
      <c r="A557" t="s">
        <v>849</v>
      </c>
      <c r="B557" t="s">
        <v>112</v>
      </c>
      <c r="C557" t="s">
        <v>74</v>
      </c>
      <c r="D557">
        <v>1</v>
      </c>
      <c r="E557" t="s">
        <v>815</v>
      </c>
      <c r="F557">
        <v>10226368</v>
      </c>
      <c r="G557" t="s">
        <v>134</v>
      </c>
      <c r="H557" t="s">
        <v>210</v>
      </c>
      <c r="I557">
        <v>4</v>
      </c>
      <c r="J557" t="s">
        <v>823</v>
      </c>
      <c r="K557">
        <v>6497120</v>
      </c>
    </row>
    <row r="558" spans="1:11" x14ac:dyDescent="0.2">
      <c r="A558" t="s">
        <v>849</v>
      </c>
      <c r="B558" t="s">
        <v>112</v>
      </c>
      <c r="C558" t="s">
        <v>74</v>
      </c>
      <c r="D558">
        <v>1</v>
      </c>
      <c r="E558" t="s">
        <v>815</v>
      </c>
      <c r="F558">
        <v>10226373</v>
      </c>
      <c r="G558" t="s">
        <v>135</v>
      </c>
      <c r="H558" t="s">
        <v>210</v>
      </c>
      <c r="I558">
        <v>6.2</v>
      </c>
      <c r="J558" t="s">
        <v>823</v>
      </c>
      <c r="K558">
        <v>6497120</v>
      </c>
    </row>
    <row r="559" spans="1:11" x14ac:dyDescent="0.2">
      <c r="A559" t="s">
        <v>849</v>
      </c>
      <c r="B559" t="s">
        <v>112</v>
      </c>
      <c r="C559" t="s">
        <v>74</v>
      </c>
      <c r="D559">
        <v>1</v>
      </c>
      <c r="E559" t="s">
        <v>815</v>
      </c>
      <c r="F559">
        <v>10226388</v>
      </c>
      <c r="G559" t="s">
        <v>138</v>
      </c>
      <c r="H559" t="s">
        <v>210</v>
      </c>
      <c r="I559">
        <v>2.6</v>
      </c>
      <c r="J559" t="s">
        <v>823</v>
      </c>
      <c r="K559">
        <v>6497120</v>
      </c>
    </row>
    <row r="560" spans="1:11" x14ac:dyDescent="0.2">
      <c r="A560" t="s">
        <v>849</v>
      </c>
      <c r="B560" t="s">
        <v>112</v>
      </c>
      <c r="C560" t="s">
        <v>74</v>
      </c>
      <c r="D560">
        <v>1</v>
      </c>
      <c r="E560" t="s">
        <v>815</v>
      </c>
      <c r="F560">
        <v>10226392</v>
      </c>
      <c r="G560" t="s">
        <v>139</v>
      </c>
      <c r="H560" t="s">
        <v>210</v>
      </c>
      <c r="I560">
        <v>1.6</v>
      </c>
      <c r="J560" t="s">
        <v>823</v>
      </c>
      <c r="K560">
        <v>6497120</v>
      </c>
    </row>
    <row r="561" spans="1:11" x14ac:dyDescent="0.2">
      <c r="A561" t="s">
        <v>849</v>
      </c>
      <c r="B561" t="s">
        <v>112</v>
      </c>
      <c r="C561" t="s">
        <v>74</v>
      </c>
      <c r="D561">
        <v>1</v>
      </c>
      <c r="E561" t="s">
        <v>815</v>
      </c>
      <c r="F561">
        <v>10226398</v>
      </c>
      <c r="G561" t="s">
        <v>140</v>
      </c>
      <c r="H561" t="s">
        <v>210</v>
      </c>
      <c r="I561">
        <v>8.4</v>
      </c>
      <c r="J561" t="s">
        <v>823</v>
      </c>
      <c r="K561">
        <v>6497120</v>
      </c>
    </row>
    <row r="562" spans="1:11" ht="13.5" customHeight="1" x14ac:dyDescent="0.2">
      <c r="A562" t="s">
        <v>849</v>
      </c>
      <c r="B562" t="s">
        <v>112</v>
      </c>
      <c r="C562" t="s">
        <v>74</v>
      </c>
      <c r="D562">
        <v>1</v>
      </c>
      <c r="E562" t="s">
        <v>815</v>
      </c>
      <c r="F562">
        <v>10226403</v>
      </c>
      <c r="G562" t="s">
        <v>141</v>
      </c>
      <c r="H562" t="s">
        <v>210</v>
      </c>
      <c r="I562">
        <v>6.6</v>
      </c>
      <c r="J562" t="s">
        <v>823</v>
      </c>
      <c r="K562">
        <v>6497120</v>
      </c>
    </row>
    <row r="563" spans="1:11" x14ac:dyDescent="0.2">
      <c r="A563" t="s">
        <v>849</v>
      </c>
      <c r="B563" t="s">
        <v>112</v>
      </c>
      <c r="C563" t="s">
        <v>74</v>
      </c>
      <c r="D563">
        <v>1</v>
      </c>
      <c r="E563" t="s">
        <v>815</v>
      </c>
      <c r="F563">
        <v>10226417</v>
      </c>
      <c r="G563" t="s">
        <v>143</v>
      </c>
      <c r="H563" t="s">
        <v>210</v>
      </c>
      <c r="I563">
        <v>27.8</v>
      </c>
      <c r="J563" t="s">
        <v>823</v>
      </c>
      <c r="K563">
        <v>6497120</v>
      </c>
    </row>
    <row r="564" spans="1:11" x14ac:dyDescent="0.2">
      <c r="A564" t="s">
        <v>849</v>
      </c>
      <c r="B564" t="s">
        <v>112</v>
      </c>
      <c r="C564" t="s">
        <v>74</v>
      </c>
      <c r="D564">
        <v>1</v>
      </c>
      <c r="E564" t="s">
        <v>815</v>
      </c>
      <c r="F564">
        <v>10226418</v>
      </c>
      <c r="G564" t="s">
        <v>144</v>
      </c>
      <c r="H564" t="s">
        <v>210</v>
      </c>
      <c r="I564">
        <v>0.2</v>
      </c>
      <c r="J564" t="s">
        <v>823</v>
      </c>
      <c r="K564">
        <v>6497120</v>
      </c>
    </row>
    <row r="565" spans="1:11" x14ac:dyDescent="0.2">
      <c r="A565" t="s">
        <v>849</v>
      </c>
      <c r="B565" t="s">
        <v>112</v>
      </c>
      <c r="C565" t="s">
        <v>74</v>
      </c>
      <c r="D565">
        <v>1</v>
      </c>
      <c r="E565" t="s">
        <v>815</v>
      </c>
      <c r="F565">
        <v>10226422</v>
      </c>
      <c r="G565" t="s">
        <v>162</v>
      </c>
      <c r="H565" t="s">
        <v>210</v>
      </c>
      <c r="I565">
        <v>1.4</v>
      </c>
      <c r="J565" t="s">
        <v>823</v>
      </c>
      <c r="K565">
        <v>6497120</v>
      </c>
    </row>
    <row r="566" spans="1:11" x14ac:dyDescent="0.2">
      <c r="A566" t="s">
        <v>849</v>
      </c>
      <c r="B566" t="s">
        <v>112</v>
      </c>
      <c r="C566" t="s">
        <v>74</v>
      </c>
      <c r="D566">
        <v>1</v>
      </c>
      <c r="E566" t="s">
        <v>815</v>
      </c>
      <c r="F566">
        <v>10226425</v>
      </c>
      <c r="G566" t="s">
        <v>145</v>
      </c>
      <c r="H566" t="s">
        <v>210</v>
      </c>
      <c r="I566">
        <v>3.4</v>
      </c>
      <c r="J566" t="s">
        <v>823</v>
      </c>
      <c r="K566">
        <v>6497120</v>
      </c>
    </row>
    <row r="567" spans="1:11" x14ac:dyDescent="0.2">
      <c r="A567" t="s">
        <v>849</v>
      </c>
      <c r="B567" t="s">
        <v>112</v>
      </c>
      <c r="C567" t="s">
        <v>74</v>
      </c>
      <c r="D567">
        <v>1</v>
      </c>
      <c r="E567" t="s">
        <v>815</v>
      </c>
      <c r="F567">
        <v>10226428</v>
      </c>
      <c r="G567" t="s">
        <v>146</v>
      </c>
      <c r="H567" t="s">
        <v>210</v>
      </c>
      <c r="I567">
        <v>1.2</v>
      </c>
      <c r="J567" t="s">
        <v>823</v>
      </c>
      <c r="K567">
        <v>6497120</v>
      </c>
    </row>
    <row r="568" spans="1:11" x14ac:dyDescent="0.2">
      <c r="A568" t="s">
        <v>849</v>
      </c>
      <c r="B568" t="s">
        <v>112</v>
      </c>
      <c r="C568" t="s">
        <v>74</v>
      </c>
      <c r="D568">
        <v>1</v>
      </c>
      <c r="E568" t="s">
        <v>815</v>
      </c>
      <c r="F568">
        <v>10226429</v>
      </c>
      <c r="G568" t="s">
        <v>147</v>
      </c>
      <c r="H568" t="s">
        <v>210</v>
      </c>
      <c r="I568">
        <v>23.4</v>
      </c>
      <c r="J568" t="s">
        <v>823</v>
      </c>
      <c r="K568">
        <v>6497120</v>
      </c>
    </row>
    <row r="569" spans="1:11" x14ac:dyDescent="0.2">
      <c r="A569" t="s">
        <v>849</v>
      </c>
      <c r="B569" t="s">
        <v>112</v>
      </c>
      <c r="C569" t="s">
        <v>74</v>
      </c>
      <c r="D569">
        <v>1</v>
      </c>
      <c r="E569" t="s">
        <v>815</v>
      </c>
      <c r="F569">
        <v>10226435</v>
      </c>
      <c r="G569" t="s">
        <v>148</v>
      </c>
      <c r="H569" t="s">
        <v>210</v>
      </c>
      <c r="I569">
        <v>0.4</v>
      </c>
      <c r="J569" t="s">
        <v>823</v>
      </c>
      <c r="K569">
        <v>6497120</v>
      </c>
    </row>
    <row r="570" spans="1:11" x14ac:dyDescent="0.2">
      <c r="A570" t="s">
        <v>849</v>
      </c>
      <c r="B570" t="s">
        <v>112</v>
      </c>
      <c r="C570" t="s">
        <v>74</v>
      </c>
      <c r="D570">
        <v>1</v>
      </c>
      <c r="E570" t="s">
        <v>815</v>
      </c>
      <c r="F570">
        <v>10226442</v>
      </c>
      <c r="G570" t="s">
        <v>149</v>
      </c>
      <c r="H570" t="s">
        <v>210</v>
      </c>
      <c r="I570">
        <v>2.6</v>
      </c>
      <c r="J570" t="s">
        <v>823</v>
      </c>
      <c r="K570">
        <v>6497120</v>
      </c>
    </row>
    <row r="571" spans="1:11" x14ac:dyDescent="0.2">
      <c r="A571" t="s">
        <v>849</v>
      </c>
      <c r="B571" t="s">
        <v>112</v>
      </c>
      <c r="C571" t="s">
        <v>74</v>
      </c>
      <c r="D571">
        <v>1</v>
      </c>
      <c r="E571" t="s">
        <v>815</v>
      </c>
      <c r="F571">
        <v>10226447</v>
      </c>
      <c r="G571" t="s">
        <v>150</v>
      </c>
      <c r="H571" t="s">
        <v>210</v>
      </c>
      <c r="I571">
        <v>2.4</v>
      </c>
      <c r="J571" t="s">
        <v>823</v>
      </c>
      <c r="K571">
        <v>6497120</v>
      </c>
    </row>
    <row r="572" spans="1:11" x14ac:dyDescent="0.2">
      <c r="A572" t="s">
        <v>849</v>
      </c>
      <c r="B572" t="s">
        <v>112</v>
      </c>
      <c r="C572" t="s">
        <v>74</v>
      </c>
      <c r="D572">
        <v>1</v>
      </c>
      <c r="E572" t="s">
        <v>815</v>
      </c>
      <c r="F572">
        <v>10226452</v>
      </c>
      <c r="G572" t="s">
        <v>151</v>
      </c>
      <c r="H572" t="s">
        <v>210</v>
      </c>
      <c r="I572">
        <v>3</v>
      </c>
      <c r="J572" t="s">
        <v>823</v>
      </c>
      <c r="K572">
        <v>6497120</v>
      </c>
    </row>
    <row r="573" spans="1:11" x14ac:dyDescent="0.2">
      <c r="A573" t="s">
        <v>849</v>
      </c>
      <c r="B573" t="s">
        <v>112</v>
      </c>
      <c r="C573" t="s">
        <v>74</v>
      </c>
      <c r="D573">
        <v>1</v>
      </c>
      <c r="E573" t="s">
        <v>815</v>
      </c>
      <c r="F573">
        <v>10226454</v>
      </c>
      <c r="G573" t="s">
        <v>152</v>
      </c>
      <c r="H573" t="s">
        <v>210</v>
      </c>
      <c r="I573">
        <v>8.6</v>
      </c>
      <c r="J573" t="s">
        <v>823</v>
      </c>
      <c r="K573">
        <v>6497120</v>
      </c>
    </row>
    <row r="574" spans="1:11" x14ac:dyDescent="0.2">
      <c r="A574" t="s">
        <v>849</v>
      </c>
      <c r="B574" t="s">
        <v>112</v>
      </c>
      <c r="C574" t="s">
        <v>74</v>
      </c>
      <c r="D574">
        <v>1</v>
      </c>
      <c r="E574" t="s">
        <v>815</v>
      </c>
      <c r="F574">
        <v>10226455</v>
      </c>
      <c r="G574" t="s">
        <v>164</v>
      </c>
      <c r="H574" t="s">
        <v>210</v>
      </c>
      <c r="I574">
        <v>1.8</v>
      </c>
      <c r="J574" t="s">
        <v>823</v>
      </c>
      <c r="K574">
        <v>6497120</v>
      </c>
    </row>
    <row r="575" spans="1:11" x14ac:dyDescent="0.2">
      <c r="A575" t="s">
        <v>849</v>
      </c>
      <c r="B575" t="s">
        <v>112</v>
      </c>
      <c r="C575" t="s">
        <v>74</v>
      </c>
      <c r="D575">
        <v>1</v>
      </c>
      <c r="E575" t="s">
        <v>815</v>
      </c>
      <c r="F575">
        <v>10227896</v>
      </c>
      <c r="G575" t="s">
        <v>153</v>
      </c>
      <c r="H575" t="s">
        <v>210</v>
      </c>
      <c r="I575">
        <v>0.4</v>
      </c>
      <c r="J575" t="s">
        <v>823</v>
      </c>
      <c r="K575">
        <v>6497120</v>
      </c>
    </row>
    <row r="576" spans="1:11" x14ac:dyDescent="0.2">
      <c r="A576" t="s">
        <v>849</v>
      </c>
      <c r="B576" t="s">
        <v>112</v>
      </c>
      <c r="C576" t="s">
        <v>74</v>
      </c>
      <c r="D576">
        <v>1</v>
      </c>
      <c r="E576" t="s">
        <v>815</v>
      </c>
      <c r="F576">
        <v>10231474</v>
      </c>
      <c r="G576" t="s">
        <v>176</v>
      </c>
      <c r="H576" t="s">
        <v>210</v>
      </c>
      <c r="I576">
        <v>0.2</v>
      </c>
      <c r="J576" t="s">
        <v>823</v>
      </c>
      <c r="K576">
        <v>6497120</v>
      </c>
    </row>
    <row r="577" spans="1:11" x14ac:dyDescent="0.2">
      <c r="A577" t="s">
        <v>849</v>
      </c>
      <c r="B577" t="s">
        <v>112</v>
      </c>
      <c r="C577" t="s">
        <v>74</v>
      </c>
      <c r="D577">
        <v>1</v>
      </c>
      <c r="E577" t="s">
        <v>815</v>
      </c>
      <c r="F577">
        <v>10231475</v>
      </c>
      <c r="G577" t="s">
        <v>177</v>
      </c>
      <c r="H577" t="s">
        <v>210</v>
      </c>
      <c r="I577">
        <v>1.2</v>
      </c>
      <c r="J577" t="s">
        <v>823</v>
      </c>
      <c r="K577">
        <v>6497120</v>
      </c>
    </row>
    <row r="578" spans="1:11" x14ac:dyDescent="0.2">
      <c r="A578" t="s">
        <v>849</v>
      </c>
      <c r="B578" t="s">
        <v>112</v>
      </c>
      <c r="C578" t="s">
        <v>74</v>
      </c>
      <c r="D578">
        <v>1</v>
      </c>
      <c r="E578" t="s">
        <v>815</v>
      </c>
      <c r="F578">
        <v>10231484</v>
      </c>
      <c r="G578" t="s">
        <v>166</v>
      </c>
      <c r="H578" t="s">
        <v>210</v>
      </c>
      <c r="I578">
        <v>0.2</v>
      </c>
      <c r="J578" t="s">
        <v>823</v>
      </c>
      <c r="K578">
        <v>6497120</v>
      </c>
    </row>
    <row r="579" spans="1:11" x14ac:dyDescent="0.2">
      <c r="A579" t="s">
        <v>849</v>
      </c>
      <c r="B579" t="s">
        <v>112</v>
      </c>
      <c r="C579" t="s">
        <v>74</v>
      </c>
      <c r="D579">
        <v>1</v>
      </c>
      <c r="E579" t="s">
        <v>815</v>
      </c>
      <c r="F579">
        <v>10242280</v>
      </c>
      <c r="G579" t="s">
        <v>154</v>
      </c>
      <c r="H579" t="s">
        <v>210</v>
      </c>
      <c r="I579">
        <v>0.2</v>
      </c>
      <c r="J579" t="s">
        <v>823</v>
      </c>
      <c r="K579">
        <v>6497120</v>
      </c>
    </row>
    <row r="580" spans="1:11" x14ac:dyDescent="0.2">
      <c r="A580" t="s">
        <v>849</v>
      </c>
      <c r="B580" t="s">
        <v>112</v>
      </c>
      <c r="C580" t="s">
        <v>74</v>
      </c>
      <c r="D580">
        <v>1</v>
      </c>
      <c r="E580" t="s">
        <v>815</v>
      </c>
      <c r="F580">
        <v>50066993</v>
      </c>
      <c r="G580" t="s">
        <v>206</v>
      </c>
      <c r="H580" t="s">
        <v>210</v>
      </c>
      <c r="I580">
        <v>12</v>
      </c>
      <c r="J580" t="s">
        <v>823</v>
      </c>
      <c r="K580">
        <v>6497120</v>
      </c>
    </row>
    <row r="581" spans="1:11" x14ac:dyDescent="0.2">
      <c r="A581" t="s">
        <v>849</v>
      </c>
      <c r="B581" t="s">
        <v>112</v>
      </c>
      <c r="C581" t="s">
        <v>74</v>
      </c>
      <c r="D581">
        <v>1</v>
      </c>
      <c r="E581" t="s">
        <v>815</v>
      </c>
      <c r="F581">
        <v>50067522</v>
      </c>
      <c r="G581" t="s">
        <v>814</v>
      </c>
      <c r="H581" t="s">
        <v>210</v>
      </c>
      <c r="I581">
        <v>12</v>
      </c>
      <c r="J581" t="s">
        <v>823</v>
      </c>
      <c r="K581">
        <v>6497120</v>
      </c>
    </row>
    <row r="582" spans="1:11" x14ac:dyDescent="0.2">
      <c r="A582" t="s">
        <v>849</v>
      </c>
      <c r="B582" t="s">
        <v>112</v>
      </c>
      <c r="C582" t="s">
        <v>74</v>
      </c>
      <c r="D582">
        <v>1</v>
      </c>
      <c r="E582" t="s">
        <v>815</v>
      </c>
      <c r="F582">
        <v>50067615</v>
      </c>
      <c r="G582" t="s">
        <v>179</v>
      </c>
      <c r="H582" t="s">
        <v>210</v>
      </c>
      <c r="I582">
        <v>12</v>
      </c>
      <c r="J582" t="s">
        <v>823</v>
      </c>
      <c r="K582">
        <v>6497120</v>
      </c>
    </row>
    <row r="583" spans="1:11" x14ac:dyDescent="0.2">
      <c r="A583" t="s">
        <v>849</v>
      </c>
      <c r="B583" t="s">
        <v>112</v>
      </c>
      <c r="C583" t="s">
        <v>74</v>
      </c>
      <c r="D583">
        <v>1</v>
      </c>
      <c r="E583" t="s">
        <v>815</v>
      </c>
      <c r="F583">
        <v>10226402</v>
      </c>
      <c r="G583" t="s">
        <v>156</v>
      </c>
      <c r="H583" t="s">
        <v>210</v>
      </c>
      <c r="I583">
        <v>2.8</v>
      </c>
      <c r="J583" t="s">
        <v>823</v>
      </c>
      <c r="K583">
        <v>6497120</v>
      </c>
    </row>
    <row r="584" spans="1:11" x14ac:dyDescent="0.2">
      <c r="A584" t="s">
        <v>849</v>
      </c>
      <c r="B584" t="s">
        <v>112</v>
      </c>
      <c r="C584" t="s">
        <v>74</v>
      </c>
      <c r="D584">
        <v>1</v>
      </c>
      <c r="E584" t="s">
        <v>815</v>
      </c>
      <c r="F584">
        <v>50062496</v>
      </c>
      <c r="G584" t="s">
        <v>202</v>
      </c>
      <c r="H584" t="s">
        <v>210</v>
      </c>
      <c r="I584">
        <v>24</v>
      </c>
      <c r="J584" t="s">
        <v>823</v>
      </c>
      <c r="K584">
        <v>6497120</v>
      </c>
    </row>
    <row r="585" spans="1:11" x14ac:dyDescent="0.2">
      <c r="A585" t="s">
        <v>850</v>
      </c>
      <c r="B585" t="s">
        <v>112</v>
      </c>
      <c r="C585" t="s">
        <v>74</v>
      </c>
      <c r="D585">
        <v>1</v>
      </c>
      <c r="E585" t="s">
        <v>815</v>
      </c>
      <c r="F585">
        <v>10208167</v>
      </c>
      <c r="G585" t="s">
        <v>127</v>
      </c>
      <c r="H585" t="s">
        <v>818</v>
      </c>
      <c r="I585">
        <v>33.6</v>
      </c>
      <c r="J585" t="s">
        <v>823</v>
      </c>
      <c r="K585">
        <v>6497930</v>
      </c>
    </row>
    <row r="586" spans="1:11" x14ac:dyDescent="0.2">
      <c r="A586" t="s">
        <v>850</v>
      </c>
      <c r="B586" t="s">
        <v>112</v>
      </c>
      <c r="C586" t="s">
        <v>74</v>
      </c>
      <c r="D586">
        <v>1</v>
      </c>
      <c r="E586" t="s">
        <v>815</v>
      </c>
      <c r="F586">
        <v>10215610</v>
      </c>
      <c r="G586" t="s">
        <v>128</v>
      </c>
      <c r="H586" t="s">
        <v>818</v>
      </c>
      <c r="I586">
        <v>0.2</v>
      </c>
      <c r="J586" t="s">
        <v>823</v>
      </c>
      <c r="K586">
        <v>6497930</v>
      </c>
    </row>
    <row r="587" spans="1:11" x14ac:dyDescent="0.2">
      <c r="A587" t="s">
        <v>851</v>
      </c>
      <c r="B587" t="s">
        <v>112</v>
      </c>
      <c r="C587" t="s">
        <v>74</v>
      </c>
      <c r="D587">
        <v>1</v>
      </c>
      <c r="E587" t="s">
        <v>815</v>
      </c>
      <c r="F587">
        <v>50994931</v>
      </c>
      <c r="G587" t="s">
        <v>121</v>
      </c>
      <c r="H587" t="s">
        <v>820</v>
      </c>
      <c r="I587">
        <v>264</v>
      </c>
      <c r="J587" t="s">
        <v>823</v>
      </c>
      <c r="K587">
        <v>6497919</v>
      </c>
    </row>
    <row r="588" spans="1:11" x14ac:dyDescent="0.2">
      <c r="A588" t="s">
        <v>851</v>
      </c>
      <c r="B588" t="s">
        <v>112</v>
      </c>
      <c r="C588" t="s">
        <v>74</v>
      </c>
      <c r="D588">
        <v>1</v>
      </c>
      <c r="E588" t="s">
        <v>815</v>
      </c>
      <c r="F588">
        <v>50994945</v>
      </c>
      <c r="G588" t="s">
        <v>124</v>
      </c>
      <c r="H588" t="s">
        <v>820</v>
      </c>
      <c r="I588">
        <v>528</v>
      </c>
      <c r="J588" t="s">
        <v>823</v>
      </c>
      <c r="K588">
        <v>6497919</v>
      </c>
    </row>
    <row r="589" spans="1:11" x14ac:dyDescent="0.2">
      <c r="A589" t="s">
        <v>851</v>
      </c>
      <c r="B589" t="s">
        <v>112</v>
      </c>
      <c r="C589" t="s">
        <v>74</v>
      </c>
      <c r="D589">
        <v>1</v>
      </c>
      <c r="E589" t="s">
        <v>815</v>
      </c>
      <c r="F589">
        <v>10208167</v>
      </c>
      <c r="G589" t="s">
        <v>127</v>
      </c>
      <c r="H589" t="s">
        <v>820</v>
      </c>
      <c r="I589">
        <v>2</v>
      </c>
      <c r="J589" t="s">
        <v>823</v>
      </c>
      <c r="K589">
        <v>6497919</v>
      </c>
    </row>
    <row r="590" spans="1:11" x14ac:dyDescent="0.2">
      <c r="A590" t="s">
        <v>852</v>
      </c>
      <c r="B590" t="s">
        <v>112</v>
      </c>
      <c r="C590" t="s">
        <v>74</v>
      </c>
      <c r="D590">
        <v>1</v>
      </c>
      <c r="E590" t="s">
        <v>815</v>
      </c>
      <c r="F590">
        <v>10208004</v>
      </c>
      <c r="G590" t="s">
        <v>126</v>
      </c>
      <c r="H590" t="s">
        <v>828</v>
      </c>
      <c r="I590">
        <v>0.6</v>
      </c>
      <c r="J590" t="s">
        <v>829</v>
      </c>
      <c r="K590">
        <v>6497848</v>
      </c>
    </row>
    <row r="591" spans="1:11" x14ac:dyDescent="0.2">
      <c r="A591" t="s">
        <v>852</v>
      </c>
      <c r="B591" t="s">
        <v>112</v>
      </c>
      <c r="C591" t="s">
        <v>74</v>
      </c>
      <c r="D591">
        <v>1</v>
      </c>
      <c r="E591" t="s">
        <v>815</v>
      </c>
      <c r="F591">
        <v>10208167</v>
      </c>
      <c r="G591" t="s">
        <v>127</v>
      </c>
      <c r="H591" t="s">
        <v>828</v>
      </c>
      <c r="I591">
        <v>0.2</v>
      </c>
      <c r="J591" t="s">
        <v>829</v>
      </c>
      <c r="K591">
        <v>6497848</v>
      </c>
    </row>
    <row r="592" spans="1:11" x14ac:dyDescent="0.2">
      <c r="A592" t="s">
        <v>852</v>
      </c>
      <c r="B592" t="s">
        <v>112</v>
      </c>
      <c r="C592" t="s">
        <v>74</v>
      </c>
      <c r="D592">
        <v>1</v>
      </c>
      <c r="E592" t="s">
        <v>815</v>
      </c>
      <c r="F592">
        <v>50055233</v>
      </c>
      <c r="G592" t="s">
        <v>157</v>
      </c>
      <c r="H592" t="s">
        <v>828</v>
      </c>
      <c r="I592">
        <v>60</v>
      </c>
      <c r="J592" t="s">
        <v>829</v>
      </c>
      <c r="K592">
        <v>6497848</v>
      </c>
    </row>
    <row r="593" spans="1:11" x14ac:dyDescent="0.2">
      <c r="A593" t="s">
        <v>853</v>
      </c>
      <c r="B593" t="s">
        <v>112</v>
      </c>
      <c r="C593" t="s">
        <v>74</v>
      </c>
      <c r="D593">
        <v>1</v>
      </c>
      <c r="E593" t="s">
        <v>815</v>
      </c>
      <c r="F593">
        <v>10226405</v>
      </c>
      <c r="G593" t="s">
        <v>115</v>
      </c>
      <c r="H593" t="s">
        <v>830</v>
      </c>
      <c r="I593">
        <v>50</v>
      </c>
      <c r="J593" t="s">
        <v>819</v>
      </c>
      <c r="K593">
        <v>6498005</v>
      </c>
    </row>
    <row r="594" spans="1:11" x14ac:dyDescent="0.2">
      <c r="A594" t="s">
        <v>853</v>
      </c>
      <c r="B594" t="s">
        <v>112</v>
      </c>
      <c r="C594" t="s">
        <v>74</v>
      </c>
      <c r="D594">
        <v>1</v>
      </c>
      <c r="E594" t="s">
        <v>815</v>
      </c>
      <c r="F594">
        <v>10224283</v>
      </c>
      <c r="G594" t="s">
        <v>192</v>
      </c>
      <c r="H594" t="s">
        <v>830</v>
      </c>
      <c r="I594">
        <v>0.6</v>
      </c>
      <c r="J594" t="s">
        <v>819</v>
      </c>
      <c r="K594">
        <v>6498005</v>
      </c>
    </row>
    <row r="595" spans="1:11" x14ac:dyDescent="0.2">
      <c r="A595" t="s">
        <v>853</v>
      </c>
      <c r="B595" t="s">
        <v>112</v>
      </c>
      <c r="C595" t="s">
        <v>74</v>
      </c>
      <c r="D595">
        <v>1</v>
      </c>
      <c r="E595" t="s">
        <v>815</v>
      </c>
      <c r="F595">
        <v>10226399</v>
      </c>
      <c r="G595" t="s">
        <v>120</v>
      </c>
      <c r="H595" t="s">
        <v>830</v>
      </c>
      <c r="I595">
        <v>5</v>
      </c>
      <c r="J595" t="s">
        <v>819</v>
      </c>
      <c r="K595">
        <v>6498005</v>
      </c>
    </row>
    <row r="596" spans="1:11" x14ac:dyDescent="0.2">
      <c r="A596" t="s">
        <v>853</v>
      </c>
      <c r="B596" t="s">
        <v>112</v>
      </c>
      <c r="C596" t="s">
        <v>74</v>
      </c>
      <c r="D596">
        <v>1</v>
      </c>
      <c r="E596" t="s">
        <v>815</v>
      </c>
      <c r="F596">
        <v>10247603</v>
      </c>
      <c r="G596" t="s">
        <v>125</v>
      </c>
      <c r="H596" t="s">
        <v>830</v>
      </c>
      <c r="I596">
        <v>5</v>
      </c>
      <c r="J596" t="s">
        <v>819</v>
      </c>
      <c r="K596">
        <v>6498005</v>
      </c>
    </row>
    <row r="597" spans="1:11" x14ac:dyDescent="0.2">
      <c r="A597" t="s">
        <v>853</v>
      </c>
      <c r="B597" t="s">
        <v>112</v>
      </c>
      <c r="C597" t="s">
        <v>74</v>
      </c>
      <c r="D597">
        <v>1</v>
      </c>
      <c r="E597" t="s">
        <v>815</v>
      </c>
      <c r="F597">
        <v>10208004</v>
      </c>
      <c r="G597" t="s">
        <v>126</v>
      </c>
      <c r="H597" t="s">
        <v>830</v>
      </c>
      <c r="I597">
        <v>5</v>
      </c>
      <c r="J597" t="s">
        <v>819</v>
      </c>
      <c r="K597">
        <v>6498005</v>
      </c>
    </row>
    <row r="598" spans="1:11" x14ac:dyDescent="0.2">
      <c r="A598" t="s">
        <v>853</v>
      </c>
      <c r="B598" t="s">
        <v>112</v>
      </c>
      <c r="C598" t="s">
        <v>74</v>
      </c>
      <c r="D598">
        <v>1</v>
      </c>
      <c r="E598" t="s">
        <v>815</v>
      </c>
      <c r="F598">
        <v>10215610</v>
      </c>
      <c r="G598" t="s">
        <v>128</v>
      </c>
      <c r="H598" t="s">
        <v>830</v>
      </c>
      <c r="I598">
        <v>80</v>
      </c>
      <c r="J598" t="s">
        <v>819</v>
      </c>
      <c r="K598">
        <v>6498005</v>
      </c>
    </row>
    <row r="599" spans="1:11" x14ac:dyDescent="0.2">
      <c r="A599" t="s">
        <v>853</v>
      </c>
      <c r="B599" t="s">
        <v>112</v>
      </c>
      <c r="C599" t="s">
        <v>74</v>
      </c>
      <c r="D599">
        <v>1</v>
      </c>
      <c r="E599" t="s">
        <v>815</v>
      </c>
      <c r="F599">
        <v>10215641</v>
      </c>
      <c r="G599" t="s">
        <v>129</v>
      </c>
      <c r="H599" t="s">
        <v>830</v>
      </c>
      <c r="I599">
        <v>20</v>
      </c>
      <c r="J599" t="s">
        <v>819</v>
      </c>
      <c r="K599">
        <v>6498005</v>
      </c>
    </row>
    <row r="600" spans="1:11" x14ac:dyDescent="0.2">
      <c r="A600" t="s">
        <v>853</v>
      </c>
      <c r="B600" t="s">
        <v>112</v>
      </c>
      <c r="C600" t="s">
        <v>74</v>
      </c>
      <c r="D600">
        <v>1</v>
      </c>
      <c r="E600" t="s">
        <v>815</v>
      </c>
      <c r="F600">
        <v>10223108</v>
      </c>
      <c r="G600" t="s">
        <v>130</v>
      </c>
      <c r="H600" t="s">
        <v>830</v>
      </c>
      <c r="I600">
        <v>2</v>
      </c>
      <c r="J600" t="s">
        <v>819</v>
      </c>
      <c r="K600">
        <v>6498005</v>
      </c>
    </row>
    <row r="601" spans="1:11" x14ac:dyDescent="0.2">
      <c r="A601" t="s">
        <v>853</v>
      </c>
      <c r="B601" t="s">
        <v>112</v>
      </c>
      <c r="C601" t="s">
        <v>74</v>
      </c>
      <c r="D601">
        <v>1</v>
      </c>
      <c r="E601" t="s">
        <v>815</v>
      </c>
      <c r="F601">
        <v>10224472</v>
      </c>
      <c r="G601" t="s">
        <v>131</v>
      </c>
      <c r="H601" t="s">
        <v>830</v>
      </c>
      <c r="I601">
        <v>0.8</v>
      </c>
      <c r="J601" t="s">
        <v>819</v>
      </c>
      <c r="K601">
        <v>6498005</v>
      </c>
    </row>
    <row r="602" spans="1:11" x14ac:dyDescent="0.2">
      <c r="A602" t="s">
        <v>853</v>
      </c>
      <c r="B602" t="s">
        <v>112</v>
      </c>
      <c r="C602" t="s">
        <v>74</v>
      </c>
      <c r="D602">
        <v>1</v>
      </c>
      <c r="E602" t="s">
        <v>815</v>
      </c>
      <c r="F602">
        <v>10226367</v>
      </c>
      <c r="G602" t="s">
        <v>133</v>
      </c>
      <c r="H602" t="s">
        <v>830</v>
      </c>
      <c r="I602">
        <v>5</v>
      </c>
      <c r="J602" t="s">
        <v>819</v>
      </c>
      <c r="K602">
        <v>6498005</v>
      </c>
    </row>
    <row r="603" spans="1:11" x14ac:dyDescent="0.2">
      <c r="A603" t="s">
        <v>853</v>
      </c>
      <c r="B603" t="s">
        <v>112</v>
      </c>
      <c r="C603" t="s">
        <v>74</v>
      </c>
      <c r="D603">
        <v>1</v>
      </c>
      <c r="E603" t="s">
        <v>815</v>
      </c>
      <c r="F603">
        <v>10226368</v>
      </c>
      <c r="G603" t="s">
        <v>134</v>
      </c>
      <c r="H603" t="s">
        <v>830</v>
      </c>
      <c r="I603">
        <v>5</v>
      </c>
      <c r="J603" t="s">
        <v>819</v>
      </c>
      <c r="K603">
        <v>6498005</v>
      </c>
    </row>
    <row r="604" spans="1:11" x14ac:dyDescent="0.2">
      <c r="A604" t="s">
        <v>853</v>
      </c>
      <c r="B604" t="s">
        <v>112</v>
      </c>
      <c r="C604" t="s">
        <v>74</v>
      </c>
      <c r="D604">
        <v>1</v>
      </c>
      <c r="E604" t="s">
        <v>815</v>
      </c>
      <c r="F604">
        <v>10226373</v>
      </c>
      <c r="G604" t="s">
        <v>135</v>
      </c>
      <c r="H604" t="s">
        <v>830</v>
      </c>
      <c r="I604">
        <v>30</v>
      </c>
      <c r="J604" t="s">
        <v>819</v>
      </c>
      <c r="K604">
        <v>6498005</v>
      </c>
    </row>
    <row r="605" spans="1:11" x14ac:dyDescent="0.2">
      <c r="A605" t="s">
        <v>853</v>
      </c>
      <c r="B605" t="s">
        <v>112</v>
      </c>
      <c r="C605" t="s">
        <v>74</v>
      </c>
      <c r="D605">
        <v>1</v>
      </c>
      <c r="E605" t="s">
        <v>815</v>
      </c>
      <c r="F605">
        <v>10226385</v>
      </c>
      <c r="G605" t="s">
        <v>137</v>
      </c>
      <c r="H605" t="s">
        <v>830</v>
      </c>
      <c r="I605">
        <v>1.2</v>
      </c>
      <c r="J605" t="s">
        <v>819</v>
      </c>
      <c r="K605">
        <v>6498005</v>
      </c>
    </row>
    <row r="606" spans="1:11" x14ac:dyDescent="0.2">
      <c r="A606" t="s">
        <v>853</v>
      </c>
      <c r="B606" t="s">
        <v>112</v>
      </c>
      <c r="C606" t="s">
        <v>74</v>
      </c>
      <c r="D606">
        <v>1</v>
      </c>
      <c r="E606" t="s">
        <v>815</v>
      </c>
      <c r="F606">
        <v>10226388</v>
      </c>
      <c r="G606" t="s">
        <v>138</v>
      </c>
      <c r="H606" t="s">
        <v>830</v>
      </c>
      <c r="I606">
        <v>3</v>
      </c>
      <c r="J606" t="s">
        <v>819</v>
      </c>
      <c r="K606">
        <v>6498005</v>
      </c>
    </row>
    <row r="607" spans="1:11" x14ac:dyDescent="0.2">
      <c r="A607" t="s">
        <v>853</v>
      </c>
      <c r="B607" t="s">
        <v>112</v>
      </c>
      <c r="C607" t="s">
        <v>74</v>
      </c>
      <c r="D607">
        <v>1</v>
      </c>
      <c r="E607" t="s">
        <v>815</v>
      </c>
      <c r="F607">
        <v>10226392</v>
      </c>
      <c r="G607" t="s">
        <v>139</v>
      </c>
      <c r="H607" t="s">
        <v>830</v>
      </c>
      <c r="I607">
        <v>2</v>
      </c>
      <c r="J607" t="s">
        <v>819</v>
      </c>
      <c r="K607">
        <v>6498005</v>
      </c>
    </row>
    <row r="608" spans="1:11" x14ac:dyDescent="0.2">
      <c r="A608" t="s">
        <v>853</v>
      </c>
      <c r="B608" t="s">
        <v>112</v>
      </c>
      <c r="C608" t="s">
        <v>74</v>
      </c>
      <c r="D608">
        <v>1</v>
      </c>
      <c r="E608" t="s">
        <v>815</v>
      </c>
      <c r="F608">
        <v>10226398</v>
      </c>
      <c r="G608" t="s">
        <v>140</v>
      </c>
      <c r="H608" t="s">
        <v>830</v>
      </c>
      <c r="I608">
        <v>20</v>
      </c>
      <c r="J608" t="s">
        <v>819</v>
      </c>
      <c r="K608">
        <v>6498005</v>
      </c>
    </row>
    <row r="609" spans="1:11" x14ac:dyDescent="0.2">
      <c r="A609" t="s">
        <v>853</v>
      </c>
      <c r="B609" t="s">
        <v>112</v>
      </c>
      <c r="C609" t="s">
        <v>74</v>
      </c>
      <c r="D609">
        <v>1</v>
      </c>
      <c r="E609" t="s">
        <v>815</v>
      </c>
      <c r="F609">
        <v>10226403</v>
      </c>
      <c r="G609" t="s">
        <v>141</v>
      </c>
      <c r="H609" t="s">
        <v>830</v>
      </c>
      <c r="I609">
        <v>10</v>
      </c>
      <c r="J609" t="s">
        <v>819</v>
      </c>
      <c r="K609">
        <v>6498005</v>
      </c>
    </row>
    <row r="610" spans="1:11" x14ac:dyDescent="0.2">
      <c r="A610" t="s">
        <v>853</v>
      </c>
      <c r="B610" t="s">
        <v>112</v>
      </c>
      <c r="C610" t="s">
        <v>74</v>
      </c>
      <c r="D610">
        <v>1</v>
      </c>
      <c r="E610" t="s">
        <v>815</v>
      </c>
      <c r="F610">
        <v>10226417</v>
      </c>
      <c r="G610" t="s">
        <v>143</v>
      </c>
      <c r="H610" t="s">
        <v>830</v>
      </c>
      <c r="I610">
        <v>70</v>
      </c>
      <c r="J610" t="s">
        <v>819</v>
      </c>
      <c r="K610">
        <v>6498005</v>
      </c>
    </row>
    <row r="611" spans="1:11" x14ac:dyDescent="0.2">
      <c r="A611" t="s">
        <v>853</v>
      </c>
      <c r="B611" t="s">
        <v>112</v>
      </c>
      <c r="C611" t="s">
        <v>74</v>
      </c>
      <c r="D611">
        <v>1</v>
      </c>
      <c r="E611" t="s">
        <v>815</v>
      </c>
      <c r="F611">
        <v>10226422</v>
      </c>
      <c r="G611" t="s">
        <v>162</v>
      </c>
      <c r="H611" t="s">
        <v>830</v>
      </c>
      <c r="I611">
        <v>10</v>
      </c>
      <c r="J611" t="s">
        <v>819</v>
      </c>
      <c r="K611">
        <v>6498005</v>
      </c>
    </row>
    <row r="612" spans="1:11" x14ac:dyDescent="0.2">
      <c r="A612" t="s">
        <v>853</v>
      </c>
      <c r="B612" t="s">
        <v>112</v>
      </c>
      <c r="C612" t="s">
        <v>74</v>
      </c>
      <c r="D612">
        <v>1</v>
      </c>
      <c r="E612" t="s">
        <v>815</v>
      </c>
      <c r="F612">
        <v>10226429</v>
      </c>
      <c r="G612" t="s">
        <v>147</v>
      </c>
      <c r="H612" t="s">
        <v>830</v>
      </c>
      <c r="I612">
        <v>60</v>
      </c>
      <c r="J612" t="s">
        <v>819</v>
      </c>
      <c r="K612">
        <v>6498005</v>
      </c>
    </row>
    <row r="613" spans="1:11" x14ac:dyDescent="0.2">
      <c r="A613" t="s">
        <v>853</v>
      </c>
      <c r="B613" t="s">
        <v>112</v>
      </c>
      <c r="C613" t="s">
        <v>74</v>
      </c>
      <c r="D613">
        <v>1</v>
      </c>
      <c r="E613" t="s">
        <v>815</v>
      </c>
      <c r="F613">
        <v>10226447</v>
      </c>
      <c r="G613" t="s">
        <v>150</v>
      </c>
      <c r="H613" t="s">
        <v>830</v>
      </c>
      <c r="I613">
        <v>2</v>
      </c>
      <c r="J613" t="s">
        <v>819</v>
      </c>
      <c r="K613">
        <v>6498005</v>
      </c>
    </row>
    <row r="614" spans="1:11" x14ac:dyDescent="0.2">
      <c r="A614" t="s">
        <v>853</v>
      </c>
      <c r="B614" t="s">
        <v>112</v>
      </c>
      <c r="C614" t="s">
        <v>74</v>
      </c>
      <c r="D614">
        <v>1</v>
      </c>
      <c r="E614" t="s">
        <v>815</v>
      </c>
      <c r="F614">
        <v>10226454</v>
      </c>
      <c r="G614" t="s">
        <v>152</v>
      </c>
      <c r="H614" t="s">
        <v>830</v>
      </c>
      <c r="I614">
        <v>40</v>
      </c>
      <c r="J614" t="s">
        <v>819</v>
      </c>
      <c r="K614">
        <v>6498005</v>
      </c>
    </row>
    <row r="615" spans="1:11" x14ac:dyDescent="0.2">
      <c r="A615" t="s">
        <v>853</v>
      </c>
      <c r="B615" t="s">
        <v>112</v>
      </c>
      <c r="C615" t="s">
        <v>74</v>
      </c>
      <c r="D615">
        <v>1</v>
      </c>
      <c r="E615" t="s">
        <v>815</v>
      </c>
      <c r="F615">
        <v>10226455</v>
      </c>
      <c r="G615" t="s">
        <v>164</v>
      </c>
      <c r="H615" t="s">
        <v>830</v>
      </c>
      <c r="I615">
        <v>2</v>
      </c>
      <c r="J615" t="s">
        <v>819</v>
      </c>
      <c r="K615">
        <v>6498005</v>
      </c>
    </row>
    <row r="616" spans="1:11" x14ac:dyDescent="0.2">
      <c r="A616" t="s">
        <v>853</v>
      </c>
      <c r="B616" t="s">
        <v>112</v>
      </c>
      <c r="C616" t="s">
        <v>74</v>
      </c>
      <c r="D616">
        <v>1</v>
      </c>
      <c r="E616" t="s">
        <v>815</v>
      </c>
      <c r="F616">
        <v>50066820</v>
      </c>
      <c r="G616" t="s">
        <v>194</v>
      </c>
      <c r="H616" t="s">
        <v>830</v>
      </c>
      <c r="I616">
        <v>144</v>
      </c>
      <c r="J616" t="s">
        <v>819</v>
      </c>
      <c r="K616">
        <v>6498005</v>
      </c>
    </row>
    <row r="617" spans="1:11" x14ac:dyDescent="0.2">
      <c r="A617" t="s">
        <v>853</v>
      </c>
      <c r="B617" t="s">
        <v>112</v>
      </c>
      <c r="C617" t="s">
        <v>74</v>
      </c>
      <c r="D617">
        <v>1</v>
      </c>
      <c r="E617" t="s">
        <v>815</v>
      </c>
      <c r="F617">
        <v>50066861</v>
      </c>
      <c r="G617" t="s">
        <v>195</v>
      </c>
      <c r="H617" t="s">
        <v>830</v>
      </c>
      <c r="I617">
        <v>144</v>
      </c>
      <c r="J617" t="s">
        <v>819</v>
      </c>
      <c r="K617">
        <v>6498005</v>
      </c>
    </row>
    <row r="618" spans="1:11" x14ac:dyDescent="0.2">
      <c r="A618" t="s">
        <v>853</v>
      </c>
      <c r="B618" t="s">
        <v>112</v>
      </c>
      <c r="C618" t="s">
        <v>74</v>
      </c>
      <c r="D618">
        <v>1</v>
      </c>
      <c r="E618" t="s">
        <v>815</v>
      </c>
      <c r="F618">
        <v>50066862</v>
      </c>
      <c r="G618" t="s">
        <v>211</v>
      </c>
      <c r="H618" t="s">
        <v>830</v>
      </c>
      <c r="I618">
        <v>90</v>
      </c>
      <c r="J618" t="s">
        <v>819</v>
      </c>
      <c r="K618">
        <v>6498005</v>
      </c>
    </row>
    <row r="619" spans="1:11" x14ac:dyDescent="0.2">
      <c r="A619" t="s">
        <v>853</v>
      </c>
      <c r="B619" t="s">
        <v>112</v>
      </c>
      <c r="C619" t="s">
        <v>74</v>
      </c>
      <c r="D619">
        <v>1</v>
      </c>
      <c r="E619" t="s">
        <v>815</v>
      </c>
      <c r="F619">
        <v>50066863</v>
      </c>
      <c r="G619" t="s">
        <v>802</v>
      </c>
      <c r="H619" t="s">
        <v>830</v>
      </c>
      <c r="I619">
        <v>24</v>
      </c>
      <c r="J619" t="s">
        <v>819</v>
      </c>
      <c r="K619">
        <v>6498005</v>
      </c>
    </row>
    <row r="620" spans="1:11" x14ac:dyDescent="0.2">
      <c r="A620" t="s">
        <v>853</v>
      </c>
      <c r="B620" t="s">
        <v>112</v>
      </c>
      <c r="C620" t="s">
        <v>74</v>
      </c>
      <c r="D620">
        <v>1</v>
      </c>
      <c r="E620" t="s">
        <v>815</v>
      </c>
      <c r="F620">
        <v>50066993</v>
      </c>
      <c r="G620" t="s">
        <v>206</v>
      </c>
      <c r="H620" t="s">
        <v>830</v>
      </c>
      <c r="I620">
        <v>36</v>
      </c>
      <c r="J620" t="s">
        <v>819</v>
      </c>
      <c r="K620">
        <v>6498005</v>
      </c>
    </row>
    <row r="621" spans="1:11" x14ac:dyDescent="0.2">
      <c r="A621" t="s">
        <v>853</v>
      </c>
      <c r="B621" t="s">
        <v>112</v>
      </c>
      <c r="C621" t="s">
        <v>74</v>
      </c>
      <c r="D621">
        <v>1</v>
      </c>
      <c r="E621" t="s">
        <v>815</v>
      </c>
      <c r="F621">
        <v>10226402</v>
      </c>
      <c r="G621" t="s">
        <v>156</v>
      </c>
      <c r="H621" t="s">
        <v>830</v>
      </c>
      <c r="I621">
        <v>5</v>
      </c>
      <c r="J621" t="s">
        <v>819</v>
      </c>
      <c r="K621">
        <v>6498005</v>
      </c>
    </row>
    <row r="622" spans="1:11" x14ac:dyDescent="0.2">
      <c r="A622" t="s">
        <v>854</v>
      </c>
      <c r="B622" t="s">
        <v>112</v>
      </c>
      <c r="C622" t="s">
        <v>74</v>
      </c>
      <c r="D622">
        <v>1</v>
      </c>
      <c r="E622" t="s">
        <v>815</v>
      </c>
      <c r="F622">
        <v>50063028</v>
      </c>
      <c r="G622" t="s">
        <v>185</v>
      </c>
      <c r="H622" t="s">
        <v>831</v>
      </c>
      <c r="I622">
        <v>36</v>
      </c>
      <c r="J622" t="s">
        <v>819</v>
      </c>
      <c r="K622">
        <v>6497770</v>
      </c>
    </row>
    <row r="623" spans="1:11" x14ac:dyDescent="0.2">
      <c r="A623" t="s">
        <v>854</v>
      </c>
      <c r="B623" t="s">
        <v>112</v>
      </c>
      <c r="C623" t="s">
        <v>74</v>
      </c>
      <c r="D623">
        <v>1</v>
      </c>
      <c r="E623" t="s">
        <v>815</v>
      </c>
      <c r="F623">
        <v>10224293</v>
      </c>
      <c r="G623" t="s">
        <v>113</v>
      </c>
      <c r="H623" t="s">
        <v>831</v>
      </c>
      <c r="I623">
        <v>5</v>
      </c>
      <c r="J623" t="s">
        <v>819</v>
      </c>
      <c r="K623">
        <v>6497770</v>
      </c>
    </row>
    <row r="624" spans="1:11" x14ac:dyDescent="0.2">
      <c r="A624" t="s">
        <v>854</v>
      </c>
      <c r="B624" t="s">
        <v>112</v>
      </c>
      <c r="C624" t="s">
        <v>74</v>
      </c>
      <c r="D624">
        <v>1</v>
      </c>
      <c r="E624" t="s">
        <v>815</v>
      </c>
      <c r="F624">
        <v>10226405</v>
      </c>
      <c r="G624" t="s">
        <v>115</v>
      </c>
      <c r="H624" t="s">
        <v>831</v>
      </c>
      <c r="I624">
        <v>50</v>
      </c>
      <c r="J624" t="s">
        <v>819</v>
      </c>
      <c r="K624">
        <v>6497770</v>
      </c>
    </row>
    <row r="625" spans="1:11" x14ac:dyDescent="0.2">
      <c r="A625" t="s">
        <v>854</v>
      </c>
      <c r="B625" t="s">
        <v>112</v>
      </c>
      <c r="C625" t="s">
        <v>74</v>
      </c>
      <c r="D625">
        <v>1</v>
      </c>
      <c r="E625" t="s">
        <v>815</v>
      </c>
      <c r="F625">
        <v>10223657</v>
      </c>
      <c r="G625" t="s">
        <v>116</v>
      </c>
      <c r="H625" t="s">
        <v>831</v>
      </c>
      <c r="I625">
        <v>5</v>
      </c>
      <c r="J625" t="s">
        <v>819</v>
      </c>
      <c r="K625">
        <v>6497770</v>
      </c>
    </row>
    <row r="626" spans="1:11" x14ac:dyDescent="0.2">
      <c r="A626" t="s">
        <v>854</v>
      </c>
      <c r="B626" t="s">
        <v>112</v>
      </c>
      <c r="C626" t="s">
        <v>74</v>
      </c>
      <c r="D626">
        <v>1</v>
      </c>
      <c r="E626" t="s">
        <v>815</v>
      </c>
      <c r="F626">
        <v>10198819</v>
      </c>
      <c r="G626" t="s">
        <v>117</v>
      </c>
      <c r="H626" t="s">
        <v>831</v>
      </c>
      <c r="I626">
        <v>3</v>
      </c>
      <c r="J626" t="s">
        <v>819</v>
      </c>
      <c r="K626">
        <v>6497770</v>
      </c>
    </row>
    <row r="627" spans="1:11" x14ac:dyDescent="0.2">
      <c r="A627" t="s">
        <v>854</v>
      </c>
      <c r="B627" t="s">
        <v>112</v>
      </c>
      <c r="C627" t="s">
        <v>74</v>
      </c>
      <c r="D627">
        <v>1</v>
      </c>
      <c r="E627" t="s">
        <v>815</v>
      </c>
      <c r="F627">
        <v>10226361</v>
      </c>
      <c r="G627" t="s">
        <v>118</v>
      </c>
      <c r="H627" t="s">
        <v>831</v>
      </c>
      <c r="I627">
        <v>3</v>
      </c>
      <c r="J627" t="s">
        <v>819</v>
      </c>
      <c r="K627">
        <v>6497770</v>
      </c>
    </row>
    <row r="628" spans="1:11" x14ac:dyDescent="0.2">
      <c r="A628" t="s">
        <v>854</v>
      </c>
      <c r="B628" t="s">
        <v>112</v>
      </c>
      <c r="C628" t="s">
        <v>74</v>
      </c>
      <c r="D628">
        <v>1</v>
      </c>
      <c r="E628" t="s">
        <v>815</v>
      </c>
      <c r="F628">
        <v>10226415</v>
      </c>
      <c r="G628" t="s">
        <v>119</v>
      </c>
      <c r="H628" t="s">
        <v>831</v>
      </c>
      <c r="I628">
        <v>2</v>
      </c>
      <c r="J628" t="s">
        <v>819</v>
      </c>
      <c r="K628">
        <v>6497770</v>
      </c>
    </row>
    <row r="629" spans="1:11" x14ac:dyDescent="0.2">
      <c r="A629" t="s">
        <v>854</v>
      </c>
      <c r="B629" t="s">
        <v>112</v>
      </c>
      <c r="C629" t="s">
        <v>74</v>
      </c>
      <c r="D629">
        <v>1</v>
      </c>
      <c r="E629" t="s">
        <v>815</v>
      </c>
      <c r="F629">
        <v>50066598</v>
      </c>
      <c r="G629" t="s">
        <v>795</v>
      </c>
      <c r="H629" t="s">
        <v>831</v>
      </c>
      <c r="I629">
        <v>3</v>
      </c>
      <c r="J629" t="s">
        <v>819</v>
      </c>
      <c r="K629">
        <v>6497770</v>
      </c>
    </row>
    <row r="630" spans="1:11" x14ac:dyDescent="0.2">
      <c r="A630" t="s">
        <v>854</v>
      </c>
      <c r="B630" t="s">
        <v>112</v>
      </c>
      <c r="C630" t="s">
        <v>74</v>
      </c>
      <c r="D630">
        <v>1</v>
      </c>
      <c r="E630" t="s">
        <v>815</v>
      </c>
      <c r="F630">
        <v>50066599</v>
      </c>
      <c r="G630" t="s">
        <v>796</v>
      </c>
      <c r="H630" t="s">
        <v>831</v>
      </c>
      <c r="I630">
        <v>3</v>
      </c>
      <c r="J630" t="s">
        <v>819</v>
      </c>
      <c r="K630">
        <v>6497770</v>
      </c>
    </row>
    <row r="631" spans="1:11" x14ac:dyDescent="0.2">
      <c r="A631" t="s">
        <v>854</v>
      </c>
      <c r="B631" t="s">
        <v>112</v>
      </c>
      <c r="C631" t="s">
        <v>74</v>
      </c>
      <c r="D631">
        <v>1</v>
      </c>
      <c r="E631" t="s">
        <v>815</v>
      </c>
      <c r="F631">
        <v>10226399</v>
      </c>
      <c r="G631" t="s">
        <v>120</v>
      </c>
      <c r="H631" t="s">
        <v>831</v>
      </c>
      <c r="I631">
        <v>20</v>
      </c>
      <c r="J631" t="s">
        <v>819</v>
      </c>
      <c r="K631">
        <v>6497770</v>
      </c>
    </row>
    <row r="632" spans="1:11" x14ac:dyDescent="0.2">
      <c r="A632" t="s">
        <v>854</v>
      </c>
      <c r="B632" t="s">
        <v>112</v>
      </c>
      <c r="C632" t="s">
        <v>74</v>
      </c>
      <c r="D632">
        <v>1</v>
      </c>
      <c r="E632" t="s">
        <v>815</v>
      </c>
      <c r="F632">
        <v>50994931</v>
      </c>
      <c r="G632" t="s">
        <v>121</v>
      </c>
      <c r="H632" t="s">
        <v>831</v>
      </c>
      <c r="I632">
        <v>528</v>
      </c>
      <c r="J632" t="s">
        <v>819</v>
      </c>
      <c r="K632">
        <v>6497770</v>
      </c>
    </row>
    <row r="633" spans="1:11" x14ac:dyDescent="0.2">
      <c r="A633" t="s">
        <v>854</v>
      </c>
      <c r="B633" t="s">
        <v>112</v>
      </c>
      <c r="C633" t="s">
        <v>74</v>
      </c>
      <c r="D633">
        <v>1</v>
      </c>
      <c r="E633" t="s">
        <v>815</v>
      </c>
      <c r="F633">
        <v>50065405</v>
      </c>
      <c r="G633" t="s">
        <v>160</v>
      </c>
      <c r="H633" t="s">
        <v>831</v>
      </c>
      <c r="I633">
        <v>240</v>
      </c>
      <c r="J633" t="s">
        <v>819</v>
      </c>
      <c r="K633">
        <v>6497770</v>
      </c>
    </row>
    <row r="634" spans="1:11" x14ac:dyDescent="0.2">
      <c r="A634" t="s">
        <v>854</v>
      </c>
      <c r="B634" t="s">
        <v>112</v>
      </c>
      <c r="C634" t="s">
        <v>74</v>
      </c>
      <c r="D634">
        <v>1</v>
      </c>
      <c r="E634" t="s">
        <v>815</v>
      </c>
      <c r="F634">
        <v>50065409</v>
      </c>
      <c r="G634" t="s">
        <v>799</v>
      </c>
      <c r="H634" t="s">
        <v>831</v>
      </c>
      <c r="I634">
        <v>192</v>
      </c>
      <c r="J634" t="s">
        <v>819</v>
      </c>
      <c r="K634">
        <v>6497770</v>
      </c>
    </row>
    <row r="635" spans="1:11" x14ac:dyDescent="0.2">
      <c r="A635" t="s">
        <v>854</v>
      </c>
      <c r="B635" t="s">
        <v>112</v>
      </c>
      <c r="C635" t="s">
        <v>74</v>
      </c>
      <c r="D635">
        <v>1</v>
      </c>
      <c r="E635" t="s">
        <v>815</v>
      </c>
      <c r="F635">
        <v>50065407</v>
      </c>
      <c r="G635" t="s">
        <v>161</v>
      </c>
      <c r="H635" t="s">
        <v>831</v>
      </c>
      <c r="I635">
        <v>200</v>
      </c>
      <c r="J635" t="s">
        <v>819</v>
      </c>
      <c r="K635">
        <v>6497770</v>
      </c>
    </row>
    <row r="636" spans="1:11" x14ac:dyDescent="0.2">
      <c r="A636" t="s">
        <v>854</v>
      </c>
      <c r="B636" t="s">
        <v>112</v>
      </c>
      <c r="C636" t="s">
        <v>74</v>
      </c>
      <c r="D636">
        <v>1</v>
      </c>
      <c r="E636" t="s">
        <v>815</v>
      </c>
      <c r="F636">
        <v>10242292</v>
      </c>
      <c r="G636" t="s">
        <v>122</v>
      </c>
      <c r="H636" t="s">
        <v>831</v>
      </c>
      <c r="I636">
        <v>50</v>
      </c>
      <c r="J636" t="s">
        <v>819</v>
      </c>
      <c r="K636">
        <v>6497770</v>
      </c>
    </row>
    <row r="637" spans="1:11" x14ac:dyDescent="0.2">
      <c r="A637" t="s">
        <v>854</v>
      </c>
      <c r="B637" t="s">
        <v>112</v>
      </c>
      <c r="C637" t="s">
        <v>74</v>
      </c>
      <c r="D637">
        <v>1</v>
      </c>
      <c r="E637" t="s">
        <v>815</v>
      </c>
      <c r="F637">
        <v>10242293</v>
      </c>
      <c r="G637" t="s">
        <v>123</v>
      </c>
      <c r="H637" t="s">
        <v>831</v>
      </c>
      <c r="I637">
        <v>10</v>
      </c>
      <c r="J637" t="s">
        <v>819</v>
      </c>
      <c r="K637">
        <v>6497770</v>
      </c>
    </row>
    <row r="638" spans="1:11" x14ac:dyDescent="0.2">
      <c r="A638" t="s">
        <v>854</v>
      </c>
      <c r="B638" t="s">
        <v>112</v>
      </c>
      <c r="C638" t="s">
        <v>74</v>
      </c>
      <c r="D638">
        <v>1</v>
      </c>
      <c r="E638" t="s">
        <v>815</v>
      </c>
      <c r="F638">
        <v>50994945</v>
      </c>
      <c r="G638" t="s">
        <v>124</v>
      </c>
      <c r="H638" t="s">
        <v>831</v>
      </c>
      <c r="I638">
        <v>792</v>
      </c>
      <c r="J638" t="s">
        <v>819</v>
      </c>
      <c r="K638">
        <v>6497770</v>
      </c>
    </row>
    <row r="639" spans="1:11" x14ac:dyDescent="0.2">
      <c r="A639" t="s">
        <v>854</v>
      </c>
      <c r="B639" t="s">
        <v>112</v>
      </c>
      <c r="C639" t="s">
        <v>74</v>
      </c>
      <c r="D639">
        <v>1</v>
      </c>
      <c r="E639" t="s">
        <v>815</v>
      </c>
      <c r="F639">
        <v>50995337</v>
      </c>
      <c r="G639" t="s">
        <v>203</v>
      </c>
      <c r="H639" t="s">
        <v>831</v>
      </c>
      <c r="I639">
        <v>300</v>
      </c>
      <c r="J639" t="s">
        <v>819</v>
      </c>
      <c r="K639">
        <v>6497770</v>
      </c>
    </row>
    <row r="640" spans="1:11" x14ac:dyDescent="0.2">
      <c r="A640" t="s">
        <v>854</v>
      </c>
      <c r="B640" t="s">
        <v>112</v>
      </c>
      <c r="C640" t="s">
        <v>74</v>
      </c>
      <c r="D640">
        <v>1</v>
      </c>
      <c r="E640" t="s">
        <v>815</v>
      </c>
      <c r="F640">
        <v>10247603</v>
      </c>
      <c r="G640" t="s">
        <v>125</v>
      </c>
      <c r="H640" t="s">
        <v>831</v>
      </c>
      <c r="I640">
        <v>10</v>
      </c>
      <c r="J640" t="s">
        <v>819</v>
      </c>
      <c r="K640">
        <v>6497770</v>
      </c>
    </row>
    <row r="641" spans="1:11" x14ac:dyDescent="0.2">
      <c r="A641" t="s">
        <v>854</v>
      </c>
      <c r="B641" t="s">
        <v>112</v>
      </c>
      <c r="C641" t="s">
        <v>74</v>
      </c>
      <c r="D641">
        <v>1</v>
      </c>
      <c r="E641" t="s">
        <v>815</v>
      </c>
      <c r="F641">
        <v>50065401</v>
      </c>
      <c r="G641" t="s">
        <v>800</v>
      </c>
      <c r="H641" t="s">
        <v>831</v>
      </c>
      <c r="I641">
        <v>192</v>
      </c>
      <c r="J641" t="s">
        <v>819</v>
      </c>
      <c r="K641">
        <v>6497770</v>
      </c>
    </row>
    <row r="642" spans="1:11" x14ac:dyDescent="0.2">
      <c r="A642" t="s">
        <v>854</v>
      </c>
      <c r="B642" t="s">
        <v>112</v>
      </c>
      <c r="C642" t="s">
        <v>74</v>
      </c>
      <c r="D642">
        <v>1</v>
      </c>
      <c r="E642" t="s">
        <v>815</v>
      </c>
      <c r="F642">
        <v>50065430</v>
      </c>
      <c r="G642" t="s">
        <v>193</v>
      </c>
      <c r="H642" t="s">
        <v>831</v>
      </c>
      <c r="I642">
        <v>6</v>
      </c>
      <c r="J642" t="s">
        <v>819</v>
      </c>
      <c r="K642">
        <v>6497770</v>
      </c>
    </row>
    <row r="643" spans="1:11" x14ac:dyDescent="0.2">
      <c r="A643" t="s">
        <v>854</v>
      </c>
      <c r="B643" t="s">
        <v>112</v>
      </c>
      <c r="C643" t="s">
        <v>74</v>
      </c>
      <c r="D643">
        <v>1</v>
      </c>
      <c r="E643" t="s">
        <v>815</v>
      </c>
      <c r="F643">
        <v>50065431</v>
      </c>
      <c r="G643" t="s">
        <v>204</v>
      </c>
      <c r="H643" t="s">
        <v>831</v>
      </c>
      <c r="I643">
        <v>6</v>
      </c>
      <c r="J643" t="s">
        <v>819</v>
      </c>
      <c r="K643">
        <v>6497770</v>
      </c>
    </row>
    <row r="644" spans="1:11" x14ac:dyDescent="0.2">
      <c r="A644" t="s">
        <v>854</v>
      </c>
      <c r="B644" t="s">
        <v>112</v>
      </c>
      <c r="C644" t="s">
        <v>74</v>
      </c>
      <c r="D644">
        <v>1</v>
      </c>
      <c r="E644" t="s">
        <v>815</v>
      </c>
      <c r="F644">
        <v>50065432</v>
      </c>
      <c r="G644" t="s">
        <v>205</v>
      </c>
      <c r="H644" t="s">
        <v>831</v>
      </c>
      <c r="I644">
        <v>6</v>
      </c>
      <c r="J644" t="s">
        <v>819</v>
      </c>
      <c r="K644">
        <v>6497770</v>
      </c>
    </row>
    <row r="645" spans="1:11" x14ac:dyDescent="0.2">
      <c r="A645" t="s">
        <v>854</v>
      </c>
      <c r="B645" t="s">
        <v>112</v>
      </c>
      <c r="C645" t="s">
        <v>74</v>
      </c>
      <c r="D645">
        <v>1</v>
      </c>
      <c r="E645" t="s">
        <v>815</v>
      </c>
      <c r="F645">
        <v>10208004</v>
      </c>
      <c r="G645" t="s">
        <v>126</v>
      </c>
      <c r="H645" t="s">
        <v>831</v>
      </c>
      <c r="I645">
        <v>10</v>
      </c>
      <c r="J645" t="s">
        <v>819</v>
      </c>
      <c r="K645">
        <v>6497770</v>
      </c>
    </row>
    <row r="646" spans="1:11" x14ac:dyDescent="0.2">
      <c r="A646" t="s">
        <v>854</v>
      </c>
      <c r="B646" t="s">
        <v>112</v>
      </c>
      <c r="C646" t="s">
        <v>74</v>
      </c>
      <c r="D646">
        <v>1</v>
      </c>
      <c r="E646" t="s">
        <v>815</v>
      </c>
      <c r="F646">
        <v>10208167</v>
      </c>
      <c r="G646" t="s">
        <v>127</v>
      </c>
      <c r="H646" t="s">
        <v>831</v>
      </c>
      <c r="I646">
        <v>10</v>
      </c>
      <c r="J646" t="s">
        <v>819</v>
      </c>
      <c r="K646">
        <v>6497770</v>
      </c>
    </row>
    <row r="647" spans="1:11" x14ac:dyDescent="0.2">
      <c r="A647" t="s">
        <v>854</v>
      </c>
      <c r="B647" t="s">
        <v>112</v>
      </c>
      <c r="C647" t="s">
        <v>74</v>
      </c>
      <c r="D647">
        <v>1</v>
      </c>
      <c r="E647" t="s">
        <v>815</v>
      </c>
      <c r="F647">
        <v>10215610</v>
      </c>
      <c r="G647" t="s">
        <v>128</v>
      </c>
      <c r="H647" t="s">
        <v>831</v>
      </c>
      <c r="I647">
        <v>170</v>
      </c>
      <c r="J647" t="s">
        <v>819</v>
      </c>
      <c r="K647">
        <v>6497770</v>
      </c>
    </row>
    <row r="648" spans="1:11" x14ac:dyDescent="0.2">
      <c r="A648" t="s">
        <v>854</v>
      </c>
      <c r="B648" t="s">
        <v>112</v>
      </c>
      <c r="C648" t="s">
        <v>74</v>
      </c>
      <c r="D648">
        <v>1</v>
      </c>
      <c r="E648" t="s">
        <v>815</v>
      </c>
      <c r="F648">
        <v>10215641</v>
      </c>
      <c r="G648" t="s">
        <v>129</v>
      </c>
      <c r="H648" t="s">
        <v>831</v>
      </c>
      <c r="I648">
        <v>30</v>
      </c>
      <c r="J648" t="s">
        <v>819</v>
      </c>
      <c r="K648">
        <v>6497770</v>
      </c>
    </row>
    <row r="649" spans="1:11" x14ac:dyDescent="0.2">
      <c r="A649" t="s">
        <v>854</v>
      </c>
      <c r="B649" t="s">
        <v>112</v>
      </c>
      <c r="C649" t="s">
        <v>74</v>
      </c>
      <c r="D649">
        <v>1</v>
      </c>
      <c r="E649" t="s">
        <v>815</v>
      </c>
      <c r="F649">
        <v>10223108</v>
      </c>
      <c r="G649" t="s">
        <v>130</v>
      </c>
      <c r="H649" t="s">
        <v>831</v>
      </c>
      <c r="I649">
        <v>20</v>
      </c>
      <c r="J649" t="s">
        <v>819</v>
      </c>
      <c r="K649">
        <v>6497770</v>
      </c>
    </row>
    <row r="650" spans="1:11" x14ac:dyDescent="0.2">
      <c r="A650" t="s">
        <v>854</v>
      </c>
      <c r="B650" t="s">
        <v>112</v>
      </c>
      <c r="C650" t="s">
        <v>74</v>
      </c>
      <c r="D650">
        <v>1</v>
      </c>
      <c r="E650" t="s">
        <v>815</v>
      </c>
      <c r="F650">
        <v>10223435</v>
      </c>
      <c r="G650" t="s">
        <v>172</v>
      </c>
      <c r="H650" t="s">
        <v>831</v>
      </c>
      <c r="I650">
        <v>10</v>
      </c>
      <c r="J650" t="s">
        <v>819</v>
      </c>
      <c r="K650">
        <v>6497770</v>
      </c>
    </row>
    <row r="651" spans="1:11" x14ac:dyDescent="0.2">
      <c r="A651" t="s">
        <v>854</v>
      </c>
      <c r="B651" t="s">
        <v>112</v>
      </c>
      <c r="C651" t="s">
        <v>74</v>
      </c>
      <c r="D651">
        <v>1</v>
      </c>
      <c r="E651" t="s">
        <v>815</v>
      </c>
      <c r="F651">
        <v>10226367</v>
      </c>
      <c r="G651" t="s">
        <v>133</v>
      </c>
      <c r="H651" t="s">
        <v>831</v>
      </c>
      <c r="I651">
        <v>10</v>
      </c>
      <c r="J651" t="s">
        <v>819</v>
      </c>
      <c r="K651">
        <v>6497770</v>
      </c>
    </row>
    <row r="652" spans="1:11" x14ac:dyDescent="0.2">
      <c r="A652" t="s">
        <v>854</v>
      </c>
      <c r="B652" t="s">
        <v>112</v>
      </c>
      <c r="C652" t="s">
        <v>74</v>
      </c>
      <c r="D652">
        <v>1</v>
      </c>
      <c r="E652" t="s">
        <v>815</v>
      </c>
      <c r="F652">
        <v>10226368</v>
      </c>
      <c r="G652" t="s">
        <v>134</v>
      </c>
      <c r="H652" t="s">
        <v>831</v>
      </c>
      <c r="I652">
        <v>20</v>
      </c>
      <c r="J652" t="s">
        <v>819</v>
      </c>
      <c r="K652">
        <v>6497770</v>
      </c>
    </row>
    <row r="653" spans="1:11" x14ac:dyDescent="0.2">
      <c r="A653" t="s">
        <v>854</v>
      </c>
      <c r="B653" t="s">
        <v>112</v>
      </c>
      <c r="C653" t="s">
        <v>74</v>
      </c>
      <c r="D653">
        <v>1</v>
      </c>
      <c r="E653" t="s">
        <v>815</v>
      </c>
      <c r="F653">
        <v>10226373</v>
      </c>
      <c r="G653" t="s">
        <v>135</v>
      </c>
      <c r="H653" t="s">
        <v>831</v>
      </c>
      <c r="I653">
        <v>10</v>
      </c>
      <c r="J653" t="s">
        <v>819</v>
      </c>
      <c r="K653">
        <v>6497770</v>
      </c>
    </row>
    <row r="654" spans="1:11" x14ac:dyDescent="0.2">
      <c r="A654" t="s">
        <v>854</v>
      </c>
      <c r="B654" t="s">
        <v>112</v>
      </c>
      <c r="C654" t="s">
        <v>74</v>
      </c>
      <c r="D654">
        <v>1</v>
      </c>
      <c r="E654" t="s">
        <v>815</v>
      </c>
      <c r="F654">
        <v>10226377</v>
      </c>
      <c r="G654" t="s">
        <v>136</v>
      </c>
      <c r="H654" t="s">
        <v>831</v>
      </c>
      <c r="I654">
        <v>2</v>
      </c>
      <c r="J654" t="s">
        <v>819</v>
      </c>
      <c r="K654">
        <v>6497770</v>
      </c>
    </row>
    <row r="655" spans="1:11" x14ac:dyDescent="0.2">
      <c r="A655" t="s">
        <v>854</v>
      </c>
      <c r="B655" t="s">
        <v>112</v>
      </c>
      <c r="C655" t="s">
        <v>74</v>
      </c>
      <c r="D655">
        <v>1</v>
      </c>
      <c r="E655" t="s">
        <v>815</v>
      </c>
      <c r="F655">
        <v>10226385</v>
      </c>
      <c r="G655" t="s">
        <v>137</v>
      </c>
      <c r="H655" t="s">
        <v>831</v>
      </c>
      <c r="I655">
        <v>2</v>
      </c>
      <c r="J655" t="s">
        <v>819</v>
      </c>
      <c r="K655">
        <v>6497770</v>
      </c>
    </row>
    <row r="656" spans="1:11" x14ac:dyDescent="0.2">
      <c r="A656" t="s">
        <v>854</v>
      </c>
      <c r="B656" t="s">
        <v>112</v>
      </c>
      <c r="C656" t="s">
        <v>74</v>
      </c>
      <c r="D656">
        <v>1</v>
      </c>
      <c r="E656" t="s">
        <v>815</v>
      </c>
      <c r="F656">
        <v>10226388</v>
      </c>
      <c r="G656" t="s">
        <v>138</v>
      </c>
      <c r="H656" t="s">
        <v>831</v>
      </c>
      <c r="I656">
        <v>3</v>
      </c>
      <c r="J656" t="s">
        <v>819</v>
      </c>
      <c r="K656">
        <v>6497770</v>
      </c>
    </row>
    <row r="657" spans="1:11" x14ac:dyDescent="0.2">
      <c r="A657" t="s">
        <v>854</v>
      </c>
      <c r="B657" t="s">
        <v>112</v>
      </c>
      <c r="C657" t="s">
        <v>74</v>
      </c>
      <c r="D657">
        <v>1</v>
      </c>
      <c r="E657" t="s">
        <v>815</v>
      </c>
      <c r="F657">
        <v>10226398</v>
      </c>
      <c r="G657" t="s">
        <v>140</v>
      </c>
      <c r="H657" t="s">
        <v>831</v>
      </c>
      <c r="I657">
        <v>20</v>
      </c>
      <c r="J657" t="s">
        <v>819</v>
      </c>
      <c r="K657">
        <v>6497770</v>
      </c>
    </row>
    <row r="658" spans="1:11" x14ac:dyDescent="0.2">
      <c r="A658" t="s">
        <v>854</v>
      </c>
      <c r="B658" t="s">
        <v>112</v>
      </c>
      <c r="C658" t="s">
        <v>74</v>
      </c>
      <c r="D658">
        <v>1</v>
      </c>
      <c r="E658" t="s">
        <v>815</v>
      </c>
      <c r="F658">
        <v>10226403</v>
      </c>
      <c r="G658" t="s">
        <v>141</v>
      </c>
      <c r="H658" t="s">
        <v>831</v>
      </c>
      <c r="I658">
        <v>20</v>
      </c>
      <c r="J658" t="s">
        <v>819</v>
      </c>
      <c r="K658">
        <v>6497770</v>
      </c>
    </row>
    <row r="659" spans="1:11" x14ac:dyDescent="0.2">
      <c r="A659" t="s">
        <v>854</v>
      </c>
      <c r="B659" t="s">
        <v>112</v>
      </c>
      <c r="C659" t="s">
        <v>74</v>
      </c>
      <c r="D659">
        <v>1</v>
      </c>
      <c r="E659" t="s">
        <v>815</v>
      </c>
      <c r="F659">
        <v>10226410</v>
      </c>
      <c r="G659" t="s">
        <v>142</v>
      </c>
      <c r="H659" t="s">
        <v>831</v>
      </c>
      <c r="I659">
        <v>10</v>
      </c>
      <c r="J659" t="s">
        <v>819</v>
      </c>
      <c r="K659">
        <v>6497770</v>
      </c>
    </row>
    <row r="660" spans="1:11" x14ac:dyDescent="0.2">
      <c r="A660" t="s">
        <v>854</v>
      </c>
      <c r="B660" t="s">
        <v>112</v>
      </c>
      <c r="C660" t="s">
        <v>74</v>
      </c>
      <c r="D660">
        <v>1</v>
      </c>
      <c r="E660" t="s">
        <v>815</v>
      </c>
      <c r="F660">
        <v>10226417</v>
      </c>
      <c r="G660" t="s">
        <v>143</v>
      </c>
      <c r="H660" t="s">
        <v>831</v>
      </c>
      <c r="I660">
        <v>60</v>
      </c>
      <c r="J660" t="s">
        <v>819</v>
      </c>
      <c r="K660">
        <v>6497770</v>
      </c>
    </row>
    <row r="661" spans="1:11" x14ac:dyDescent="0.2">
      <c r="A661" t="s">
        <v>854</v>
      </c>
      <c r="B661" t="s">
        <v>112</v>
      </c>
      <c r="C661" t="s">
        <v>74</v>
      </c>
      <c r="D661">
        <v>1</v>
      </c>
      <c r="E661" t="s">
        <v>815</v>
      </c>
      <c r="F661">
        <v>10226418</v>
      </c>
      <c r="G661" t="s">
        <v>144</v>
      </c>
      <c r="H661" t="s">
        <v>831</v>
      </c>
      <c r="I661">
        <v>3</v>
      </c>
      <c r="J661" t="s">
        <v>819</v>
      </c>
      <c r="K661">
        <v>6497770</v>
      </c>
    </row>
    <row r="662" spans="1:11" x14ac:dyDescent="0.2">
      <c r="A662" t="s">
        <v>854</v>
      </c>
      <c r="B662" t="s">
        <v>112</v>
      </c>
      <c r="C662" t="s">
        <v>74</v>
      </c>
      <c r="D662">
        <v>1</v>
      </c>
      <c r="E662" t="s">
        <v>815</v>
      </c>
      <c r="F662">
        <v>10226425</v>
      </c>
      <c r="G662" t="s">
        <v>145</v>
      </c>
      <c r="H662" t="s">
        <v>831</v>
      </c>
      <c r="I662">
        <v>5</v>
      </c>
      <c r="J662" t="s">
        <v>819</v>
      </c>
      <c r="K662">
        <v>6497770</v>
      </c>
    </row>
    <row r="663" spans="1:11" x14ac:dyDescent="0.2">
      <c r="A663" t="s">
        <v>854</v>
      </c>
      <c r="B663" t="s">
        <v>112</v>
      </c>
      <c r="C663" t="s">
        <v>74</v>
      </c>
      <c r="D663">
        <v>1</v>
      </c>
      <c r="E663" t="s">
        <v>815</v>
      </c>
      <c r="F663">
        <v>10226428</v>
      </c>
      <c r="G663" t="s">
        <v>146</v>
      </c>
      <c r="H663" t="s">
        <v>831</v>
      </c>
      <c r="I663">
        <v>2</v>
      </c>
      <c r="J663" t="s">
        <v>819</v>
      </c>
      <c r="K663">
        <v>6497770</v>
      </c>
    </row>
    <row r="664" spans="1:11" x14ac:dyDescent="0.2">
      <c r="A664" t="s">
        <v>854</v>
      </c>
      <c r="B664" t="s">
        <v>112</v>
      </c>
      <c r="C664" t="s">
        <v>74</v>
      </c>
      <c r="D664">
        <v>1</v>
      </c>
      <c r="E664" t="s">
        <v>815</v>
      </c>
      <c r="F664">
        <v>10226429</v>
      </c>
      <c r="G664" t="s">
        <v>147</v>
      </c>
      <c r="H664" t="s">
        <v>831</v>
      </c>
      <c r="I664">
        <v>50</v>
      </c>
      <c r="J664" t="s">
        <v>819</v>
      </c>
      <c r="K664">
        <v>6497770</v>
      </c>
    </row>
    <row r="665" spans="1:11" x14ac:dyDescent="0.2">
      <c r="A665" t="s">
        <v>854</v>
      </c>
      <c r="B665" t="s">
        <v>112</v>
      </c>
      <c r="C665" t="s">
        <v>74</v>
      </c>
      <c r="D665">
        <v>1</v>
      </c>
      <c r="E665" t="s">
        <v>815</v>
      </c>
      <c r="F665">
        <v>10226435</v>
      </c>
      <c r="G665" t="s">
        <v>148</v>
      </c>
      <c r="H665" t="s">
        <v>831</v>
      </c>
      <c r="I665">
        <v>3</v>
      </c>
      <c r="J665" t="s">
        <v>819</v>
      </c>
      <c r="K665">
        <v>6497770</v>
      </c>
    </row>
    <row r="666" spans="1:11" x14ac:dyDescent="0.2">
      <c r="A666" t="s">
        <v>854</v>
      </c>
      <c r="B666" t="s">
        <v>112</v>
      </c>
      <c r="C666" t="s">
        <v>74</v>
      </c>
      <c r="D666">
        <v>1</v>
      </c>
      <c r="E666" t="s">
        <v>815</v>
      </c>
      <c r="F666">
        <v>10226442</v>
      </c>
      <c r="G666" t="s">
        <v>149</v>
      </c>
      <c r="H666" t="s">
        <v>831</v>
      </c>
      <c r="I666">
        <v>3</v>
      </c>
      <c r="J666" t="s">
        <v>819</v>
      </c>
      <c r="K666">
        <v>6497770</v>
      </c>
    </row>
    <row r="667" spans="1:11" x14ac:dyDescent="0.2">
      <c r="A667" t="s">
        <v>854</v>
      </c>
      <c r="B667" t="s">
        <v>112</v>
      </c>
      <c r="C667" t="s">
        <v>74</v>
      </c>
      <c r="D667">
        <v>1</v>
      </c>
      <c r="E667" t="s">
        <v>815</v>
      </c>
      <c r="F667">
        <v>10226452</v>
      </c>
      <c r="G667" t="s">
        <v>151</v>
      </c>
      <c r="H667" t="s">
        <v>831</v>
      </c>
      <c r="I667">
        <v>5</v>
      </c>
      <c r="J667" t="s">
        <v>819</v>
      </c>
      <c r="K667">
        <v>6497770</v>
      </c>
    </row>
    <row r="668" spans="1:11" x14ac:dyDescent="0.2">
      <c r="A668" t="s">
        <v>854</v>
      </c>
      <c r="B668" t="s">
        <v>112</v>
      </c>
      <c r="C668" t="s">
        <v>74</v>
      </c>
      <c r="D668">
        <v>1</v>
      </c>
      <c r="E668" t="s">
        <v>815</v>
      </c>
      <c r="F668">
        <v>10226454</v>
      </c>
      <c r="G668" t="s">
        <v>152</v>
      </c>
      <c r="H668" t="s">
        <v>831</v>
      </c>
      <c r="I668">
        <v>40</v>
      </c>
      <c r="J668" t="s">
        <v>819</v>
      </c>
      <c r="K668">
        <v>6497770</v>
      </c>
    </row>
    <row r="669" spans="1:11" x14ac:dyDescent="0.2">
      <c r="A669" t="s">
        <v>854</v>
      </c>
      <c r="B669" t="s">
        <v>112</v>
      </c>
      <c r="C669" t="s">
        <v>74</v>
      </c>
      <c r="D669">
        <v>1</v>
      </c>
      <c r="E669" t="s">
        <v>815</v>
      </c>
      <c r="F669">
        <v>10227896</v>
      </c>
      <c r="G669" t="s">
        <v>153</v>
      </c>
      <c r="H669" t="s">
        <v>831</v>
      </c>
      <c r="I669">
        <v>5</v>
      </c>
      <c r="J669" t="s">
        <v>819</v>
      </c>
      <c r="K669">
        <v>6497770</v>
      </c>
    </row>
    <row r="670" spans="1:11" x14ac:dyDescent="0.2">
      <c r="A670" t="s">
        <v>854</v>
      </c>
      <c r="B670" t="s">
        <v>112</v>
      </c>
      <c r="C670" t="s">
        <v>74</v>
      </c>
      <c r="D670">
        <v>1</v>
      </c>
      <c r="E670" t="s">
        <v>815</v>
      </c>
      <c r="F670">
        <v>10230675</v>
      </c>
      <c r="G670" t="s">
        <v>165</v>
      </c>
      <c r="H670" t="s">
        <v>831</v>
      </c>
      <c r="I670">
        <v>1.7549999999999999</v>
      </c>
      <c r="J670" t="s">
        <v>819</v>
      </c>
      <c r="K670">
        <v>6497770</v>
      </c>
    </row>
    <row r="671" spans="1:11" x14ac:dyDescent="0.2">
      <c r="A671" t="s">
        <v>854</v>
      </c>
      <c r="B671" t="s">
        <v>112</v>
      </c>
      <c r="C671" t="s">
        <v>74</v>
      </c>
      <c r="D671">
        <v>1</v>
      </c>
      <c r="E671" t="s">
        <v>815</v>
      </c>
      <c r="F671">
        <v>10231474</v>
      </c>
      <c r="G671" t="s">
        <v>176</v>
      </c>
      <c r="H671" t="s">
        <v>831</v>
      </c>
      <c r="I671">
        <v>3</v>
      </c>
      <c r="J671" t="s">
        <v>819</v>
      </c>
      <c r="K671">
        <v>6497770</v>
      </c>
    </row>
    <row r="672" spans="1:11" x14ac:dyDescent="0.2">
      <c r="A672" t="s">
        <v>854</v>
      </c>
      <c r="B672" t="s">
        <v>112</v>
      </c>
      <c r="C672" t="s">
        <v>74</v>
      </c>
      <c r="D672">
        <v>1</v>
      </c>
      <c r="E672" t="s">
        <v>815</v>
      </c>
      <c r="F672">
        <v>10231475</v>
      </c>
      <c r="G672" t="s">
        <v>177</v>
      </c>
      <c r="H672" t="s">
        <v>831</v>
      </c>
      <c r="I672">
        <v>3</v>
      </c>
      <c r="J672" t="s">
        <v>819</v>
      </c>
      <c r="K672">
        <v>6497770</v>
      </c>
    </row>
    <row r="673" spans="1:11" x14ac:dyDescent="0.2">
      <c r="A673" t="s">
        <v>854</v>
      </c>
      <c r="B673" t="s">
        <v>112</v>
      </c>
      <c r="C673" t="s">
        <v>74</v>
      </c>
      <c r="D673">
        <v>1</v>
      </c>
      <c r="E673" t="s">
        <v>815</v>
      </c>
      <c r="F673">
        <v>10231484</v>
      </c>
      <c r="G673" t="s">
        <v>166</v>
      </c>
      <c r="H673" t="s">
        <v>831</v>
      </c>
      <c r="I673">
        <v>4</v>
      </c>
      <c r="J673" t="s">
        <v>819</v>
      </c>
      <c r="K673">
        <v>6497770</v>
      </c>
    </row>
    <row r="674" spans="1:11" x14ac:dyDescent="0.2">
      <c r="A674" t="s">
        <v>854</v>
      </c>
      <c r="B674" t="s">
        <v>112</v>
      </c>
      <c r="C674" t="s">
        <v>74</v>
      </c>
      <c r="D674">
        <v>1</v>
      </c>
      <c r="E674" t="s">
        <v>815</v>
      </c>
      <c r="F674">
        <v>10242280</v>
      </c>
      <c r="G674" t="s">
        <v>154</v>
      </c>
      <c r="H674" t="s">
        <v>831</v>
      </c>
      <c r="I674">
        <v>4</v>
      </c>
      <c r="J674" t="s">
        <v>819</v>
      </c>
      <c r="K674">
        <v>6497770</v>
      </c>
    </row>
    <row r="675" spans="1:11" x14ac:dyDescent="0.2">
      <c r="A675" t="s">
        <v>854</v>
      </c>
      <c r="B675" t="s">
        <v>112</v>
      </c>
      <c r="C675" t="s">
        <v>74</v>
      </c>
      <c r="D675">
        <v>1</v>
      </c>
      <c r="E675" t="s">
        <v>815</v>
      </c>
      <c r="F675">
        <v>50063026</v>
      </c>
      <c r="G675" t="s">
        <v>184</v>
      </c>
      <c r="H675" t="s">
        <v>831</v>
      </c>
      <c r="I675">
        <v>36</v>
      </c>
      <c r="J675" t="s">
        <v>819</v>
      </c>
      <c r="K675">
        <v>6497770</v>
      </c>
    </row>
    <row r="676" spans="1:11" x14ac:dyDescent="0.2">
      <c r="A676" t="s">
        <v>854</v>
      </c>
      <c r="B676" t="s">
        <v>112</v>
      </c>
      <c r="C676" t="s">
        <v>74</v>
      </c>
      <c r="D676">
        <v>1</v>
      </c>
      <c r="E676" t="s">
        <v>815</v>
      </c>
      <c r="F676">
        <v>50066125</v>
      </c>
      <c r="G676" t="s">
        <v>167</v>
      </c>
      <c r="H676" t="s">
        <v>831</v>
      </c>
      <c r="I676">
        <v>6</v>
      </c>
      <c r="J676" t="s">
        <v>819</v>
      </c>
      <c r="K676">
        <v>6497770</v>
      </c>
    </row>
    <row r="677" spans="1:11" x14ac:dyDescent="0.2">
      <c r="A677" t="s">
        <v>854</v>
      </c>
      <c r="B677" t="s">
        <v>112</v>
      </c>
      <c r="C677" t="s">
        <v>74</v>
      </c>
      <c r="D677">
        <v>1</v>
      </c>
      <c r="E677" t="s">
        <v>815</v>
      </c>
      <c r="F677">
        <v>50066133</v>
      </c>
      <c r="G677" t="s">
        <v>168</v>
      </c>
      <c r="H677" t="s">
        <v>831</v>
      </c>
      <c r="I677">
        <v>6</v>
      </c>
      <c r="J677" t="s">
        <v>819</v>
      </c>
      <c r="K677">
        <v>6497770</v>
      </c>
    </row>
    <row r="678" spans="1:11" x14ac:dyDescent="0.2">
      <c r="A678" t="s">
        <v>854</v>
      </c>
      <c r="B678" t="s">
        <v>112</v>
      </c>
      <c r="C678" t="s">
        <v>74</v>
      </c>
      <c r="D678">
        <v>1</v>
      </c>
      <c r="E678" t="s">
        <v>815</v>
      </c>
      <c r="F678">
        <v>50066135</v>
      </c>
      <c r="G678" t="s">
        <v>178</v>
      </c>
      <c r="H678" t="s">
        <v>831</v>
      </c>
      <c r="I678">
        <v>6</v>
      </c>
      <c r="J678" t="s">
        <v>819</v>
      </c>
      <c r="K678">
        <v>6497770</v>
      </c>
    </row>
    <row r="679" spans="1:11" x14ac:dyDescent="0.2">
      <c r="A679" t="s">
        <v>854</v>
      </c>
      <c r="B679" t="s">
        <v>112</v>
      </c>
      <c r="C679" t="s">
        <v>74</v>
      </c>
      <c r="D679">
        <v>1</v>
      </c>
      <c r="E679" t="s">
        <v>815</v>
      </c>
      <c r="F679">
        <v>50066153</v>
      </c>
      <c r="G679" t="s">
        <v>809</v>
      </c>
      <c r="H679" t="s">
        <v>831</v>
      </c>
      <c r="I679">
        <v>24</v>
      </c>
      <c r="J679" t="s">
        <v>819</v>
      </c>
      <c r="K679">
        <v>6497770</v>
      </c>
    </row>
    <row r="680" spans="1:11" x14ac:dyDescent="0.2">
      <c r="A680" t="s">
        <v>854</v>
      </c>
      <c r="B680" t="s">
        <v>112</v>
      </c>
      <c r="C680" t="s">
        <v>74</v>
      </c>
      <c r="D680">
        <v>1</v>
      </c>
      <c r="E680" t="s">
        <v>815</v>
      </c>
      <c r="F680">
        <v>50066154</v>
      </c>
      <c r="G680" t="s">
        <v>803</v>
      </c>
      <c r="H680" t="s">
        <v>831</v>
      </c>
      <c r="I680">
        <v>24</v>
      </c>
      <c r="J680" t="s">
        <v>819</v>
      </c>
      <c r="K680">
        <v>6497770</v>
      </c>
    </row>
    <row r="681" spans="1:11" x14ac:dyDescent="0.2">
      <c r="A681" t="s">
        <v>854</v>
      </c>
      <c r="B681" t="s">
        <v>112</v>
      </c>
      <c r="C681" t="s">
        <v>74</v>
      </c>
      <c r="D681">
        <v>1</v>
      </c>
      <c r="E681" t="s">
        <v>815</v>
      </c>
      <c r="F681">
        <v>50066163</v>
      </c>
      <c r="G681" t="s">
        <v>810</v>
      </c>
      <c r="H681" t="s">
        <v>831</v>
      </c>
      <c r="I681">
        <v>24</v>
      </c>
      <c r="J681" t="s">
        <v>819</v>
      </c>
      <c r="K681">
        <v>6497770</v>
      </c>
    </row>
    <row r="682" spans="1:11" x14ac:dyDescent="0.2">
      <c r="A682" t="s">
        <v>854</v>
      </c>
      <c r="B682" t="s">
        <v>112</v>
      </c>
      <c r="C682" t="s">
        <v>74</v>
      </c>
      <c r="D682">
        <v>1</v>
      </c>
      <c r="E682" t="s">
        <v>815</v>
      </c>
      <c r="F682">
        <v>50066417</v>
      </c>
      <c r="G682" t="s">
        <v>213</v>
      </c>
      <c r="H682" t="s">
        <v>831</v>
      </c>
      <c r="I682">
        <v>36</v>
      </c>
      <c r="J682" t="s">
        <v>819</v>
      </c>
      <c r="K682">
        <v>6497770</v>
      </c>
    </row>
    <row r="683" spans="1:11" x14ac:dyDescent="0.2">
      <c r="A683" t="s">
        <v>854</v>
      </c>
      <c r="B683" t="s">
        <v>112</v>
      </c>
      <c r="C683" t="s">
        <v>74</v>
      </c>
      <c r="D683">
        <v>1</v>
      </c>
      <c r="E683" t="s">
        <v>815</v>
      </c>
      <c r="F683">
        <v>50066514</v>
      </c>
      <c r="G683" t="s">
        <v>811</v>
      </c>
      <c r="H683" t="s">
        <v>831</v>
      </c>
      <c r="I683">
        <v>12</v>
      </c>
      <c r="J683" t="s">
        <v>819</v>
      </c>
      <c r="K683">
        <v>6497770</v>
      </c>
    </row>
    <row r="684" spans="1:11" x14ac:dyDescent="0.2">
      <c r="A684" t="s">
        <v>854</v>
      </c>
      <c r="B684" t="s">
        <v>112</v>
      </c>
      <c r="C684" t="s">
        <v>74</v>
      </c>
      <c r="D684">
        <v>1</v>
      </c>
      <c r="E684" t="s">
        <v>815</v>
      </c>
      <c r="F684">
        <v>50066803</v>
      </c>
      <c r="G684" t="s">
        <v>797</v>
      </c>
      <c r="H684" t="s">
        <v>831</v>
      </c>
      <c r="I684">
        <v>24</v>
      </c>
      <c r="J684" t="s">
        <v>819</v>
      </c>
      <c r="K684">
        <v>6497770</v>
      </c>
    </row>
    <row r="685" spans="1:11" x14ac:dyDescent="0.2">
      <c r="A685" t="s">
        <v>854</v>
      </c>
      <c r="B685" t="s">
        <v>112</v>
      </c>
      <c r="C685" t="s">
        <v>74</v>
      </c>
      <c r="D685">
        <v>1</v>
      </c>
      <c r="E685" t="s">
        <v>815</v>
      </c>
      <c r="F685">
        <v>50066820</v>
      </c>
      <c r="G685" t="s">
        <v>194</v>
      </c>
      <c r="H685" t="s">
        <v>831</v>
      </c>
      <c r="I685">
        <v>64</v>
      </c>
      <c r="J685" t="s">
        <v>819</v>
      </c>
      <c r="K685">
        <v>6497770</v>
      </c>
    </row>
    <row r="686" spans="1:11" x14ac:dyDescent="0.2">
      <c r="A686" t="s">
        <v>854</v>
      </c>
      <c r="B686" t="s">
        <v>112</v>
      </c>
      <c r="C686" t="s">
        <v>74</v>
      </c>
      <c r="D686">
        <v>1</v>
      </c>
      <c r="E686" t="s">
        <v>815</v>
      </c>
      <c r="F686">
        <v>50066861</v>
      </c>
      <c r="G686" t="s">
        <v>195</v>
      </c>
      <c r="H686" t="s">
        <v>831</v>
      </c>
      <c r="I686">
        <v>64</v>
      </c>
      <c r="J686" t="s">
        <v>819</v>
      </c>
      <c r="K686">
        <v>6497770</v>
      </c>
    </row>
    <row r="687" spans="1:11" x14ac:dyDescent="0.2">
      <c r="A687" t="s">
        <v>854</v>
      </c>
      <c r="B687" t="s">
        <v>112</v>
      </c>
      <c r="C687" t="s">
        <v>74</v>
      </c>
      <c r="D687">
        <v>1</v>
      </c>
      <c r="E687" t="s">
        <v>815</v>
      </c>
      <c r="F687">
        <v>50066862</v>
      </c>
      <c r="G687" t="s">
        <v>211</v>
      </c>
      <c r="H687" t="s">
        <v>831</v>
      </c>
      <c r="I687">
        <v>60</v>
      </c>
      <c r="J687" t="s">
        <v>819</v>
      </c>
      <c r="K687">
        <v>6497770</v>
      </c>
    </row>
    <row r="688" spans="1:11" x14ac:dyDescent="0.2">
      <c r="A688" t="s">
        <v>854</v>
      </c>
      <c r="B688" t="s">
        <v>112</v>
      </c>
      <c r="C688" t="s">
        <v>74</v>
      </c>
      <c r="D688">
        <v>1</v>
      </c>
      <c r="E688" t="s">
        <v>815</v>
      </c>
      <c r="F688">
        <v>50066863</v>
      </c>
      <c r="G688" t="s">
        <v>802</v>
      </c>
      <c r="H688" t="s">
        <v>831</v>
      </c>
      <c r="I688">
        <v>48</v>
      </c>
      <c r="J688" t="s">
        <v>819</v>
      </c>
      <c r="K688">
        <v>6497770</v>
      </c>
    </row>
    <row r="689" spans="1:11" x14ac:dyDescent="0.2">
      <c r="A689" t="s">
        <v>854</v>
      </c>
      <c r="B689" t="s">
        <v>112</v>
      </c>
      <c r="C689" t="s">
        <v>74</v>
      </c>
      <c r="D689">
        <v>1</v>
      </c>
      <c r="E689" t="s">
        <v>815</v>
      </c>
      <c r="F689">
        <v>50066993</v>
      </c>
      <c r="G689" t="s">
        <v>206</v>
      </c>
      <c r="H689" t="s">
        <v>831</v>
      </c>
      <c r="I689">
        <v>144</v>
      </c>
      <c r="J689" t="s">
        <v>819</v>
      </c>
      <c r="K689">
        <v>6497770</v>
      </c>
    </row>
    <row r="690" spans="1:11" x14ac:dyDescent="0.2">
      <c r="A690" t="s">
        <v>854</v>
      </c>
      <c r="B690" t="s">
        <v>112</v>
      </c>
      <c r="C690" t="s">
        <v>74</v>
      </c>
      <c r="D690">
        <v>1</v>
      </c>
      <c r="E690" t="s">
        <v>815</v>
      </c>
      <c r="F690">
        <v>50067083</v>
      </c>
      <c r="G690" t="s">
        <v>214</v>
      </c>
      <c r="H690" t="s">
        <v>831</v>
      </c>
      <c r="I690">
        <v>12</v>
      </c>
      <c r="J690" t="s">
        <v>819</v>
      </c>
      <c r="K690">
        <v>6497770</v>
      </c>
    </row>
    <row r="691" spans="1:11" x14ac:dyDescent="0.2">
      <c r="A691" t="s">
        <v>854</v>
      </c>
      <c r="B691" t="s">
        <v>112</v>
      </c>
      <c r="C691" t="s">
        <v>74</v>
      </c>
      <c r="D691">
        <v>1</v>
      </c>
      <c r="E691" t="s">
        <v>815</v>
      </c>
      <c r="F691">
        <v>50067094</v>
      </c>
      <c r="G691" t="s">
        <v>212</v>
      </c>
      <c r="H691" t="s">
        <v>831</v>
      </c>
      <c r="I691">
        <v>12</v>
      </c>
      <c r="J691" t="s">
        <v>819</v>
      </c>
      <c r="K691">
        <v>6497770</v>
      </c>
    </row>
    <row r="692" spans="1:11" x14ac:dyDescent="0.2">
      <c r="A692" t="s">
        <v>854</v>
      </c>
      <c r="B692" t="s">
        <v>112</v>
      </c>
      <c r="C692" t="s">
        <v>74</v>
      </c>
      <c r="D692">
        <v>1</v>
      </c>
      <c r="E692" t="s">
        <v>815</v>
      </c>
      <c r="F692">
        <v>50067204</v>
      </c>
      <c r="G692" t="s">
        <v>798</v>
      </c>
      <c r="H692" t="s">
        <v>831</v>
      </c>
      <c r="I692">
        <v>24</v>
      </c>
      <c r="J692" t="s">
        <v>819</v>
      </c>
      <c r="K692">
        <v>6497770</v>
      </c>
    </row>
    <row r="693" spans="1:11" x14ac:dyDescent="0.2">
      <c r="A693" t="s">
        <v>854</v>
      </c>
      <c r="B693" t="s">
        <v>112</v>
      </c>
      <c r="C693" t="s">
        <v>74</v>
      </c>
      <c r="D693">
        <v>1</v>
      </c>
      <c r="E693" t="s">
        <v>815</v>
      </c>
      <c r="F693">
        <v>50067217</v>
      </c>
      <c r="G693" t="s">
        <v>215</v>
      </c>
      <c r="H693" t="s">
        <v>831</v>
      </c>
      <c r="I693">
        <v>0.08</v>
      </c>
      <c r="J693" t="s">
        <v>819</v>
      </c>
      <c r="K693">
        <v>6497770</v>
      </c>
    </row>
    <row r="694" spans="1:11" x14ac:dyDescent="0.2">
      <c r="A694" t="s">
        <v>854</v>
      </c>
      <c r="B694" t="s">
        <v>112</v>
      </c>
      <c r="C694" t="s">
        <v>74</v>
      </c>
      <c r="D694">
        <v>1</v>
      </c>
      <c r="E694" t="s">
        <v>815</v>
      </c>
      <c r="F694">
        <v>50067284</v>
      </c>
      <c r="G694" t="s">
        <v>169</v>
      </c>
      <c r="H694" t="s">
        <v>831</v>
      </c>
      <c r="I694">
        <v>7.0000000000000007E-2</v>
      </c>
      <c r="J694" t="s">
        <v>819</v>
      </c>
      <c r="K694">
        <v>6497770</v>
      </c>
    </row>
    <row r="695" spans="1:11" x14ac:dyDescent="0.2">
      <c r="A695" t="s">
        <v>854</v>
      </c>
      <c r="B695" t="s">
        <v>112</v>
      </c>
      <c r="C695" t="s">
        <v>74</v>
      </c>
      <c r="D695">
        <v>1</v>
      </c>
      <c r="E695" t="s">
        <v>815</v>
      </c>
      <c r="F695">
        <v>50067522</v>
      </c>
      <c r="G695" t="s">
        <v>814</v>
      </c>
      <c r="H695" t="s">
        <v>831</v>
      </c>
      <c r="I695">
        <v>24</v>
      </c>
      <c r="J695" t="s">
        <v>819</v>
      </c>
      <c r="K695">
        <v>6497770</v>
      </c>
    </row>
    <row r="696" spans="1:11" x14ac:dyDescent="0.2">
      <c r="A696" t="s">
        <v>854</v>
      </c>
      <c r="B696" t="s">
        <v>112</v>
      </c>
      <c r="C696" t="s">
        <v>74</v>
      </c>
      <c r="D696">
        <v>1</v>
      </c>
      <c r="E696" t="s">
        <v>815</v>
      </c>
      <c r="F696">
        <v>50067531</v>
      </c>
      <c r="G696" t="s">
        <v>804</v>
      </c>
      <c r="H696" t="s">
        <v>831</v>
      </c>
      <c r="I696">
        <v>24</v>
      </c>
      <c r="J696" t="s">
        <v>819</v>
      </c>
      <c r="K696">
        <v>6497770</v>
      </c>
    </row>
    <row r="697" spans="1:11" x14ac:dyDescent="0.2">
      <c r="A697" t="s">
        <v>854</v>
      </c>
      <c r="B697" t="s">
        <v>112</v>
      </c>
      <c r="C697" t="s">
        <v>74</v>
      </c>
      <c r="D697">
        <v>1</v>
      </c>
      <c r="E697" t="s">
        <v>815</v>
      </c>
      <c r="F697">
        <v>50067615</v>
      </c>
      <c r="G697" t="s">
        <v>179</v>
      </c>
      <c r="H697" t="s">
        <v>831</v>
      </c>
      <c r="I697">
        <v>24</v>
      </c>
      <c r="J697" t="s">
        <v>819</v>
      </c>
      <c r="K697">
        <v>6497770</v>
      </c>
    </row>
    <row r="698" spans="1:11" x14ac:dyDescent="0.2">
      <c r="A698" t="s">
        <v>854</v>
      </c>
      <c r="B698" t="s">
        <v>112</v>
      </c>
      <c r="C698" t="s">
        <v>74</v>
      </c>
      <c r="D698">
        <v>1</v>
      </c>
      <c r="E698" t="s">
        <v>815</v>
      </c>
      <c r="F698">
        <v>50066242</v>
      </c>
      <c r="G698" t="s">
        <v>832</v>
      </c>
      <c r="H698" t="s">
        <v>831</v>
      </c>
      <c r="I698">
        <v>18</v>
      </c>
      <c r="J698" t="s">
        <v>819</v>
      </c>
      <c r="K698">
        <v>6497770</v>
      </c>
    </row>
    <row r="699" spans="1:11" x14ac:dyDescent="0.2">
      <c r="A699" t="s">
        <v>854</v>
      </c>
      <c r="B699" t="s">
        <v>112</v>
      </c>
      <c r="C699" t="s">
        <v>74</v>
      </c>
      <c r="D699">
        <v>1</v>
      </c>
      <c r="E699" t="s">
        <v>815</v>
      </c>
      <c r="F699">
        <v>50063718</v>
      </c>
      <c r="G699" t="s">
        <v>201</v>
      </c>
      <c r="H699" t="s">
        <v>831</v>
      </c>
      <c r="I699">
        <v>140</v>
      </c>
      <c r="J699" t="s">
        <v>819</v>
      </c>
      <c r="K699">
        <v>6497770</v>
      </c>
    </row>
    <row r="700" spans="1:11" x14ac:dyDescent="0.2">
      <c r="A700" t="s">
        <v>854</v>
      </c>
      <c r="B700" t="s">
        <v>112</v>
      </c>
      <c r="C700" t="s">
        <v>74</v>
      </c>
      <c r="D700">
        <v>1</v>
      </c>
      <c r="E700" t="s">
        <v>815</v>
      </c>
      <c r="F700">
        <v>50062495</v>
      </c>
      <c r="G700" t="s">
        <v>801</v>
      </c>
      <c r="H700" t="s">
        <v>831</v>
      </c>
      <c r="I700">
        <v>288</v>
      </c>
      <c r="J700" t="s">
        <v>819</v>
      </c>
      <c r="K700">
        <v>6497770</v>
      </c>
    </row>
    <row r="701" spans="1:11" x14ac:dyDescent="0.2">
      <c r="A701" t="s">
        <v>854</v>
      </c>
      <c r="B701" t="s">
        <v>112</v>
      </c>
      <c r="C701" t="s">
        <v>74</v>
      </c>
      <c r="D701">
        <v>1</v>
      </c>
      <c r="E701" t="s">
        <v>815</v>
      </c>
      <c r="F701">
        <v>50055233</v>
      </c>
      <c r="G701" t="s">
        <v>157</v>
      </c>
      <c r="H701" t="s">
        <v>831</v>
      </c>
      <c r="I701">
        <v>480</v>
      </c>
      <c r="J701" t="s">
        <v>819</v>
      </c>
      <c r="K701">
        <v>6497770</v>
      </c>
    </row>
    <row r="702" spans="1:11" x14ac:dyDescent="0.2">
      <c r="A702" t="s">
        <v>855</v>
      </c>
      <c r="B702" t="s">
        <v>112</v>
      </c>
      <c r="C702" t="s">
        <v>74</v>
      </c>
      <c r="D702">
        <v>1</v>
      </c>
      <c r="E702" t="s">
        <v>815</v>
      </c>
      <c r="F702">
        <v>50063028</v>
      </c>
      <c r="G702" t="s">
        <v>185</v>
      </c>
      <c r="H702" t="s">
        <v>833</v>
      </c>
      <c r="I702">
        <v>24</v>
      </c>
      <c r="J702" t="s">
        <v>822</v>
      </c>
      <c r="K702">
        <v>6497309</v>
      </c>
    </row>
    <row r="703" spans="1:11" x14ac:dyDescent="0.2">
      <c r="A703" t="s">
        <v>855</v>
      </c>
      <c r="B703" t="s">
        <v>112</v>
      </c>
      <c r="C703" t="s">
        <v>74</v>
      </c>
      <c r="D703">
        <v>1</v>
      </c>
      <c r="E703" t="s">
        <v>815</v>
      </c>
      <c r="F703">
        <v>50065240</v>
      </c>
      <c r="G703" t="s">
        <v>197</v>
      </c>
      <c r="H703" t="s">
        <v>833</v>
      </c>
      <c r="I703">
        <v>24</v>
      </c>
      <c r="J703" t="s">
        <v>822</v>
      </c>
      <c r="K703">
        <v>6497309</v>
      </c>
    </row>
    <row r="704" spans="1:11" x14ac:dyDescent="0.2">
      <c r="A704" t="s">
        <v>855</v>
      </c>
      <c r="B704" t="s">
        <v>112</v>
      </c>
      <c r="C704" t="s">
        <v>74</v>
      </c>
      <c r="D704">
        <v>1</v>
      </c>
      <c r="E704" t="s">
        <v>815</v>
      </c>
      <c r="F704">
        <v>50065250</v>
      </c>
      <c r="G704" t="s">
        <v>190</v>
      </c>
      <c r="H704" t="s">
        <v>833</v>
      </c>
      <c r="I704">
        <v>24</v>
      </c>
      <c r="J704" t="s">
        <v>822</v>
      </c>
      <c r="K704">
        <v>6497309</v>
      </c>
    </row>
    <row r="705" spans="1:11" x14ac:dyDescent="0.2">
      <c r="A705" t="s">
        <v>855</v>
      </c>
      <c r="B705" t="s">
        <v>112</v>
      </c>
      <c r="C705" t="s">
        <v>74</v>
      </c>
      <c r="D705">
        <v>1</v>
      </c>
      <c r="E705" t="s">
        <v>815</v>
      </c>
      <c r="F705">
        <v>50065260</v>
      </c>
      <c r="G705" t="s">
        <v>199</v>
      </c>
      <c r="H705" t="s">
        <v>833</v>
      </c>
      <c r="I705">
        <v>24</v>
      </c>
      <c r="J705" t="s">
        <v>822</v>
      </c>
      <c r="K705">
        <v>6497309</v>
      </c>
    </row>
    <row r="706" spans="1:11" x14ac:dyDescent="0.2">
      <c r="A706" t="s">
        <v>855</v>
      </c>
      <c r="B706" t="s">
        <v>112</v>
      </c>
      <c r="C706" t="s">
        <v>74</v>
      </c>
      <c r="D706">
        <v>1</v>
      </c>
      <c r="E706" t="s">
        <v>815</v>
      </c>
      <c r="F706">
        <v>10224293</v>
      </c>
      <c r="G706" t="s">
        <v>113</v>
      </c>
      <c r="H706" t="s">
        <v>833</v>
      </c>
      <c r="I706">
        <v>20</v>
      </c>
      <c r="J706" t="s">
        <v>822</v>
      </c>
      <c r="K706">
        <v>6497309</v>
      </c>
    </row>
    <row r="707" spans="1:11" x14ac:dyDescent="0.2">
      <c r="A707" t="s">
        <v>855</v>
      </c>
      <c r="B707" t="s">
        <v>112</v>
      </c>
      <c r="C707" t="s">
        <v>74</v>
      </c>
      <c r="D707">
        <v>1</v>
      </c>
      <c r="E707" t="s">
        <v>815</v>
      </c>
      <c r="F707">
        <v>10226405</v>
      </c>
      <c r="G707" t="s">
        <v>115</v>
      </c>
      <c r="H707" t="s">
        <v>833</v>
      </c>
      <c r="I707">
        <v>80</v>
      </c>
      <c r="J707" t="s">
        <v>822</v>
      </c>
      <c r="K707">
        <v>6497309</v>
      </c>
    </row>
    <row r="708" spans="1:11" x14ac:dyDescent="0.2">
      <c r="A708" t="s">
        <v>855</v>
      </c>
      <c r="B708" t="s">
        <v>112</v>
      </c>
      <c r="C708" t="s">
        <v>74</v>
      </c>
      <c r="D708">
        <v>1</v>
      </c>
      <c r="E708" t="s">
        <v>815</v>
      </c>
      <c r="F708">
        <v>10223657</v>
      </c>
      <c r="G708" t="s">
        <v>116</v>
      </c>
      <c r="H708" t="s">
        <v>833</v>
      </c>
      <c r="I708">
        <v>20</v>
      </c>
      <c r="J708" t="s">
        <v>822</v>
      </c>
      <c r="K708">
        <v>6497309</v>
      </c>
    </row>
    <row r="709" spans="1:11" x14ac:dyDescent="0.2">
      <c r="A709" t="s">
        <v>855</v>
      </c>
      <c r="B709" t="s">
        <v>112</v>
      </c>
      <c r="C709" t="s">
        <v>74</v>
      </c>
      <c r="D709">
        <v>1</v>
      </c>
      <c r="E709" t="s">
        <v>815</v>
      </c>
      <c r="F709">
        <v>10198819</v>
      </c>
      <c r="G709" t="s">
        <v>117</v>
      </c>
      <c r="H709" t="s">
        <v>833</v>
      </c>
      <c r="I709">
        <v>5</v>
      </c>
      <c r="J709" t="s">
        <v>822</v>
      </c>
      <c r="K709">
        <v>6497309</v>
      </c>
    </row>
    <row r="710" spans="1:11" x14ac:dyDescent="0.2">
      <c r="A710" t="s">
        <v>855</v>
      </c>
      <c r="B710" t="s">
        <v>112</v>
      </c>
      <c r="C710" t="s">
        <v>74</v>
      </c>
      <c r="D710">
        <v>1</v>
      </c>
      <c r="E710" t="s">
        <v>815</v>
      </c>
      <c r="F710">
        <v>10224283</v>
      </c>
      <c r="G710" t="s">
        <v>192</v>
      </c>
      <c r="H710" t="s">
        <v>833</v>
      </c>
      <c r="I710">
        <v>1</v>
      </c>
      <c r="J710" t="s">
        <v>822</v>
      </c>
      <c r="K710">
        <v>6497309</v>
      </c>
    </row>
    <row r="711" spans="1:11" x14ac:dyDescent="0.2">
      <c r="A711" t="s">
        <v>855</v>
      </c>
      <c r="B711" t="s">
        <v>112</v>
      </c>
      <c r="C711" t="s">
        <v>74</v>
      </c>
      <c r="D711">
        <v>1</v>
      </c>
      <c r="E711" t="s">
        <v>815</v>
      </c>
      <c r="F711">
        <v>10226361</v>
      </c>
      <c r="G711" t="s">
        <v>118</v>
      </c>
      <c r="H711" t="s">
        <v>833</v>
      </c>
      <c r="I711">
        <v>5</v>
      </c>
      <c r="J711" t="s">
        <v>822</v>
      </c>
      <c r="K711">
        <v>6497309</v>
      </c>
    </row>
    <row r="712" spans="1:11" x14ac:dyDescent="0.2">
      <c r="A712" t="s">
        <v>855</v>
      </c>
      <c r="B712" t="s">
        <v>112</v>
      </c>
      <c r="C712" t="s">
        <v>74</v>
      </c>
      <c r="D712">
        <v>1</v>
      </c>
      <c r="E712" t="s">
        <v>815</v>
      </c>
      <c r="F712">
        <v>10226415</v>
      </c>
      <c r="G712" t="s">
        <v>119</v>
      </c>
      <c r="H712" t="s">
        <v>833</v>
      </c>
      <c r="I712">
        <v>5</v>
      </c>
      <c r="J712" t="s">
        <v>822</v>
      </c>
      <c r="K712">
        <v>6497309</v>
      </c>
    </row>
    <row r="713" spans="1:11" x14ac:dyDescent="0.2">
      <c r="A713" t="s">
        <v>855</v>
      </c>
      <c r="B713" t="s">
        <v>112</v>
      </c>
      <c r="C713" t="s">
        <v>74</v>
      </c>
      <c r="D713">
        <v>1</v>
      </c>
      <c r="E713" t="s">
        <v>815</v>
      </c>
      <c r="F713">
        <v>50066588</v>
      </c>
      <c r="G713" t="s">
        <v>805</v>
      </c>
      <c r="H713" t="s">
        <v>833</v>
      </c>
      <c r="I713">
        <v>1</v>
      </c>
      <c r="J713" t="s">
        <v>822</v>
      </c>
      <c r="K713">
        <v>6497309</v>
      </c>
    </row>
    <row r="714" spans="1:11" x14ac:dyDescent="0.2">
      <c r="A714" t="s">
        <v>855</v>
      </c>
      <c r="B714" t="s">
        <v>112</v>
      </c>
      <c r="C714" t="s">
        <v>74</v>
      </c>
      <c r="D714">
        <v>1</v>
      </c>
      <c r="E714" t="s">
        <v>815</v>
      </c>
      <c r="F714">
        <v>50066589</v>
      </c>
      <c r="G714" t="s">
        <v>806</v>
      </c>
      <c r="H714" t="s">
        <v>833</v>
      </c>
      <c r="I714">
        <v>1</v>
      </c>
      <c r="J714" t="s">
        <v>822</v>
      </c>
      <c r="K714">
        <v>6497309</v>
      </c>
    </row>
    <row r="715" spans="1:11" x14ac:dyDescent="0.2">
      <c r="A715" t="s">
        <v>855</v>
      </c>
      <c r="B715" t="s">
        <v>112</v>
      </c>
      <c r="C715" t="s">
        <v>74</v>
      </c>
      <c r="D715">
        <v>1</v>
      </c>
      <c r="E715" t="s">
        <v>815</v>
      </c>
      <c r="F715">
        <v>50066590</v>
      </c>
      <c r="G715" t="s">
        <v>807</v>
      </c>
      <c r="H715" t="s">
        <v>833</v>
      </c>
      <c r="I715">
        <v>1</v>
      </c>
      <c r="J715" t="s">
        <v>822</v>
      </c>
      <c r="K715">
        <v>6497309</v>
      </c>
    </row>
    <row r="716" spans="1:11" x14ac:dyDescent="0.2">
      <c r="A716" t="s">
        <v>855</v>
      </c>
      <c r="B716" t="s">
        <v>112</v>
      </c>
      <c r="C716" t="s">
        <v>74</v>
      </c>
      <c r="D716">
        <v>1</v>
      </c>
      <c r="E716" t="s">
        <v>815</v>
      </c>
      <c r="F716">
        <v>50066598</v>
      </c>
      <c r="G716" t="s">
        <v>795</v>
      </c>
      <c r="H716" t="s">
        <v>833</v>
      </c>
      <c r="I716">
        <v>2</v>
      </c>
      <c r="J716" t="s">
        <v>822</v>
      </c>
      <c r="K716">
        <v>6497309</v>
      </c>
    </row>
    <row r="717" spans="1:11" x14ac:dyDescent="0.2">
      <c r="A717" t="s">
        <v>855</v>
      </c>
      <c r="B717" t="s">
        <v>112</v>
      </c>
      <c r="C717" t="s">
        <v>74</v>
      </c>
      <c r="D717">
        <v>1</v>
      </c>
      <c r="E717" t="s">
        <v>815</v>
      </c>
      <c r="F717">
        <v>50066599</v>
      </c>
      <c r="G717" t="s">
        <v>796</v>
      </c>
      <c r="H717" t="s">
        <v>833</v>
      </c>
      <c r="I717">
        <v>2</v>
      </c>
      <c r="J717" t="s">
        <v>822</v>
      </c>
      <c r="K717">
        <v>6497309</v>
      </c>
    </row>
    <row r="718" spans="1:11" x14ac:dyDescent="0.2">
      <c r="A718" t="s">
        <v>855</v>
      </c>
      <c r="B718" t="s">
        <v>112</v>
      </c>
      <c r="C718" t="s">
        <v>74</v>
      </c>
      <c r="D718">
        <v>1</v>
      </c>
      <c r="E718" t="s">
        <v>815</v>
      </c>
      <c r="F718">
        <v>50066622</v>
      </c>
      <c r="G718" t="s">
        <v>808</v>
      </c>
      <c r="H718" t="s">
        <v>833</v>
      </c>
      <c r="I718">
        <v>1</v>
      </c>
      <c r="J718" t="s">
        <v>822</v>
      </c>
      <c r="K718">
        <v>6497309</v>
      </c>
    </row>
    <row r="719" spans="1:11" x14ac:dyDescent="0.2">
      <c r="A719" t="s">
        <v>855</v>
      </c>
      <c r="B719" t="s">
        <v>112</v>
      </c>
      <c r="C719" t="s">
        <v>74</v>
      </c>
      <c r="D719">
        <v>1</v>
      </c>
      <c r="E719" t="s">
        <v>815</v>
      </c>
      <c r="F719">
        <v>10226399</v>
      </c>
      <c r="G719" t="s">
        <v>120</v>
      </c>
      <c r="H719" t="s">
        <v>833</v>
      </c>
      <c r="I719">
        <v>20</v>
      </c>
      <c r="J719" t="s">
        <v>822</v>
      </c>
      <c r="K719">
        <v>6497309</v>
      </c>
    </row>
    <row r="720" spans="1:11" x14ac:dyDescent="0.2">
      <c r="A720" t="s">
        <v>855</v>
      </c>
      <c r="B720" t="s">
        <v>112</v>
      </c>
      <c r="C720" t="s">
        <v>74</v>
      </c>
      <c r="D720">
        <v>1</v>
      </c>
      <c r="E720" t="s">
        <v>815</v>
      </c>
      <c r="F720">
        <v>50994931</v>
      </c>
      <c r="G720" t="s">
        <v>121</v>
      </c>
      <c r="H720" t="s">
        <v>833</v>
      </c>
      <c r="I720">
        <v>528</v>
      </c>
      <c r="J720" t="s">
        <v>822</v>
      </c>
      <c r="K720">
        <v>6497309</v>
      </c>
    </row>
    <row r="721" spans="1:11" x14ac:dyDescent="0.2">
      <c r="A721" t="s">
        <v>855</v>
      </c>
      <c r="B721" t="s">
        <v>112</v>
      </c>
      <c r="C721" t="s">
        <v>74</v>
      </c>
      <c r="D721">
        <v>1</v>
      </c>
      <c r="E721" t="s">
        <v>815</v>
      </c>
      <c r="F721">
        <v>50065408</v>
      </c>
      <c r="G721" t="s">
        <v>186</v>
      </c>
      <c r="H721" t="s">
        <v>833</v>
      </c>
      <c r="I721">
        <v>128</v>
      </c>
      <c r="J721" t="s">
        <v>822</v>
      </c>
      <c r="K721">
        <v>6497309</v>
      </c>
    </row>
    <row r="722" spans="1:11" x14ac:dyDescent="0.2">
      <c r="A722" t="s">
        <v>855</v>
      </c>
      <c r="B722" t="s">
        <v>112</v>
      </c>
      <c r="C722" t="s">
        <v>74</v>
      </c>
      <c r="D722">
        <v>1</v>
      </c>
      <c r="E722" t="s">
        <v>815</v>
      </c>
      <c r="F722">
        <v>50065406</v>
      </c>
      <c r="G722" t="s">
        <v>159</v>
      </c>
      <c r="H722" t="s">
        <v>833</v>
      </c>
      <c r="I722">
        <v>128</v>
      </c>
      <c r="J722" t="s">
        <v>822</v>
      </c>
      <c r="K722">
        <v>6497309</v>
      </c>
    </row>
    <row r="723" spans="1:11" x14ac:dyDescent="0.2">
      <c r="A723" t="s">
        <v>855</v>
      </c>
      <c r="B723" t="s">
        <v>112</v>
      </c>
      <c r="C723" t="s">
        <v>74</v>
      </c>
      <c r="D723">
        <v>1</v>
      </c>
      <c r="E723" t="s">
        <v>815</v>
      </c>
      <c r="F723">
        <v>50065405</v>
      </c>
      <c r="G723" t="s">
        <v>160</v>
      </c>
      <c r="H723" t="s">
        <v>833</v>
      </c>
      <c r="I723">
        <v>96</v>
      </c>
      <c r="J723" t="s">
        <v>822</v>
      </c>
      <c r="K723">
        <v>6497309</v>
      </c>
    </row>
    <row r="724" spans="1:11" x14ac:dyDescent="0.2">
      <c r="A724" t="s">
        <v>855</v>
      </c>
      <c r="B724" t="s">
        <v>112</v>
      </c>
      <c r="C724" t="s">
        <v>74</v>
      </c>
      <c r="D724">
        <v>1</v>
      </c>
      <c r="E724" t="s">
        <v>815</v>
      </c>
      <c r="F724">
        <v>50065409</v>
      </c>
      <c r="G724" t="s">
        <v>799</v>
      </c>
      <c r="H724" t="s">
        <v>833</v>
      </c>
      <c r="I724">
        <v>64</v>
      </c>
      <c r="J724" t="s">
        <v>822</v>
      </c>
      <c r="K724">
        <v>6497309</v>
      </c>
    </row>
    <row r="725" spans="1:11" x14ac:dyDescent="0.2">
      <c r="A725" t="s">
        <v>855</v>
      </c>
      <c r="B725" t="s">
        <v>112</v>
      </c>
      <c r="C725" t="s">
        <v>74</v>
      </c>
      <c r="D725">
        <v>1</v>
      </c>
      <c r="E725" t="s">
        <v>815</v>
      </c>
      <c r="F725">
        <v>50065407</v>
      </c>
      <c r="G725" t="s">
        <v>161</v>
      </c>
      <c r="H725" t="s">
        <v>833</v>
      </c>
      <c r="I725">
        <v>80</v>
      </c>
      <c r="J725" t="s">
        <v>822</v>
      </c>
      <c r="K725">
        <v>6497309</v>
      </c>
    </row>
    <row r="726" spans="1:11" x14ac:dyDescent="0.2">
      <c r="A726" t="s">
        <v>855</v>
      </c>
      <c r="B726" t="s">
        <v>112</v>
      </c>
      <c r="C726" t="s">
        <v>74</v>
      </c>
      <c r="D726">
        <v>1</v>
      </c>
      <c r="E726" t="s">
        <v>815</v>
      </c>
      <c r="F726">
        <v>10242292</v>
      </c>
      <c r="G726" t="s">
        <v>122</v>
      </c>
      <c r="H726" t="s">
        <v>833</v>
      </c>
      <c r="I726">
        <v>30</v>
      </c>
      <c r="J726" t="s">
        <v>822</v>
      </c>
      <c r="K726">
        <v>6497309</v>
      </c>
    </row>
    <row r="727" spans="1:11" x14ac:dyDescent="0.2">
      <c r="A727" t="s">
        <v>855</v>
      </c>
      <c r="B727" t="s">
        <v>112</v>
      </c>
      <c r="C727" t="s">
        <v>74</v>
      </c>
      <c r="D727">
        <v>1</v>
      </c>
      <c r="E727" t="s">
        <v>815</v>
      </c>
      <c r="F727">
        <v>10242293</v>
      </c>
      <c r="G727" t="s">
        <v>123</v>
      </c>
      <c r="H727" t="s">
        <v>833</v>
      </c>
      <c r="I727">
        <v>10</v>
      </c>
      <c r="J727" t="s">
        <v>822</v>
      </c>
      <c r="K727">
        <v>6497309</v>
      </c>
    </row>
    <row r="728" spans="1:11" x14ac:dyDescent="0.2">
      <c r="A728" t="s">
        <v>855</v>
      </c>
      <c r="B728" t="s">
        <v>112</v>
      </c>
      <c r="C728" t="s">
        <v>74</v>
      </c>
      <c r="D728">
        <v>1</v>
      </c>
      <c r="E728" t="s">
        <v>815</v>
      </c>
      <c r="F728">
        <v>50994945</v>
      </c>
      <c r="G728" t="s">
        <v>124</v>
      </c>
      <c r="H728" t="s">
        <v>833</v>
      </c>
      <c r="I728">
        <v>792</v>
      </c>
      <c r="J728" t="s">
        <v>822</v>
      </c>
      <c r="K728">
        <v>6497309</v>
      </c>
    </row>
    <row r="729" spans="1:11" x14ac:dyDescent="0.2">
      <c r="A729" t="s">
        <v>855</v>
      </c>
      <c r="B729" t="s">
        <v>112</v>
      </c>
      <c r="C729" t="s">
        <v>74</v>
      </c>
      <c r="D729">
        <v>1</v>
      </c>
      <c r="E729" t="s">
        <v>815</v>
      </c>
      <c r="F729">
        <v>50995337</v>
      </c>
      <c r="G729" t="s">
        <v>203</v>
      </c>
      <c r="H729" t="s">
        <v>833</v>
      </c>
      <c r="I729">
        <v>150</v>
      </c>
      <c r="J729" t="s">
        <v>822</v>
      </c>
      <c r="K729">
        <v>6497309</v>
      </c>
    </row>
    <row r="730" spans="1:11" x14ac:dyDescent="0.2">
      <c r="A730" t="s">
        <v>855</v>
      </c>
      <c r="B730" t="s">
        <v>112</v>
      </c>
      <c r="C730" t="s">
        <v>74</v>
      </c>
      <c r="D730">
        <v>1</v>
      </c>
      <c r="E730" t="s">
        <v>815</v>
      </c>
      <c r="F730">
        <v>10247603</v>
      </c>
      <c r="G730" t="s">
        <v>125</v>
      </c>
      <c r="H730" t="s">
        <v>833</v>
      </c>
      <c r="I730">
        <v>10</v>
      </c>
      <c r="J730" t="s">
        <v>822</v>
      </c>
      <c r="K730">
        <v>6497309</v>
      </c>
    </row>
    <row r="731" spans="1:11" x14ac:dyDescent="0.2">
      <c r="A731" t="s">
        <v>855</v>
      </c>
      <c r="B731" t="s">
        <v>112</v>
      </c>
      <c r="C731" t="s">
        <v>74</v>
      </c>
      <c r="D731">
        <v>1</v>
      </c>
      <c r="E731" t="s">
        <v>815</v>
      </c>
      <c r="F731">
        <v>50065401</v>
      </c>
      <c r="G731" t="s">
        <v>800</v>
      </c>
      <c r="H731" t="s">
        <v>833</v>
      </c>
      <c r="I731">
        <v>64</v>
      </c>
      <c r="J731" t="s">
        <v>822</v>
      </c>
      <c r="K731">
        <v>6497309</v>
      </c>
    </row>
    <row r="732" spans="1:11" x14ac:dyDescent="0.2">
      <c r="A732" t="s">
        <v>855</v>
      </c>
      <c r="B732" t="s">
        <v>112</v>
      </c>
      <c r="C732" t="s">
        <v>74</v>
      </c>
      <c r="D732">
        <v>1</v>
      </c>
      <c r="E732" t="s">
        <v>815</v>
      </c>
      <c r="F732">
        <v>50065430</v>
      </c>
      <c r="G732" t="s">
        <v>193</v>
      </c>
      <c r="H732" t="s">
        <v>833</v>
      </c>
      <c r="I732">
        <v>24</v>
      </c>
      <c r="J732" t="s">
        <v>822</v>
      </c>
      <c r="K732">
        <v>6497309</v>
      </c>
    </row>
    <row r="733" spans="1:11" x14ac:dyDescent="0.2">
      <c r="A733" t="s">
        <v>855</v>
      </c>
      <c r="B733" t="s">
        <v>112</v>
      </c>
      <c r="C733" t="s">
        <v>74</v>
      </c>
      <c r="D733">
        <v>1</v>
      </c>
      <c r="E733" t="s">
        <v>815</v>
      </c>
      <c r="F733">
        <v>50065431</v>
      </c>
      <c r="G733" t="s">
        <v>204</v>
      </c>
      <c r="H733" t="s">
        <v>833</v>
      </c>
      <c r="I733">
        <v>24</v>
      </c>
      <c r="J733" t="s">
        <v>822</v>
      </c>
      <c r="K733">
        <v>6497309</v>
      </c>
    </row>
    <row r="734" spans="1:11" x14ac:dyDescent="0.2">
      <c r="A734" t="s">
        <v>855</v>
      </c>
      <c r="B734" t="s">
        <v>112</v>
      </c>
      <c r="C734" t="s">
        <v>74</v>
      </c>
      <c r="D734">
        <v>1</v>
      </c>
      <c r="E734" t="s">
        <v>815</v>
      </c>
      <c r="F734">
        <v>50065432</v>
      </c>
      <c r="G734" t="s">
        <v>205</v>
      </c>
      <c r="H734" t="s">
        <v>833</v>
      </c>
      <c r="I734">
        <v>12</v>
      </c>
      <c r="J734" t="s">
        <v>822</v>
      </c>
      <c r="K734">
        <v>6497309</v>
      </c>
    </row>
    <row r="735" spans="1:11" x14ac:dyDescent="0.2">
      <c r="A735" t="s">
        <v>855</v>
      </c>
      <c r="B735" t="s">
        <v>112</v>
      </c>
      <c r="C735" t="s">
        <v>74</v>
      </c>
      <c r="D735">
        <v>1</v>
      </c>
      <c r="E735" t="s">
        <v>815</v>
      </c>
      <c r="F735">
        <v>10208004</v>
      </c>
      <c r="G735" t="s">
        <v>126</v>
      </c>
      <c r="H735" t="s">
        <v>833</v>
      </c>
      <c r="I735">
        <v>30</v>
      </c>
      <c r="J735" t="s">
        <v>822</v>
      </c>
      <c r="K735">
        <v>6497309</v>
      </c>
    </row>
    <row r="736" spans="1:11" x14ac:dyDescent="0.2">
      <c r="A736" t="s">
        <v>855</v>
      </c>
      <c r="B736" t="s">
        <v>112</v>
      </c>
      <c r="C736" t="s">
        <v>74</v>
      </c>
      <c r="D736">
        <v>1</v>
      </c>
      <c r="E736" t="s">
        <v>815</v>
      </c>
      <c r="F736">
        <v>10208167</v>
      </c>
      <c r="G736" t="s">
        <v>127</v>
      </c>
      <c r="H736" t="s">
        <v>833</v>
      </c>
      <c r="I736">
        <v>5</v>
      </c>
      <c r="J736" t="s">
        <v>822</v>
      </c>
      <c r="K736">
        <v>6497309</v>
      </c>
    </row>
    <row r="737" spans="1:11" x14ac:dyDescent="0.2">
      <c r="A737" t="s">
        <v>855</v>
      </c>
      <c r="B737" t="s">
        <v>112</v>
      </c>
      <c r="C737" t="s">
        <v>74</v>
      </c>
      <c r="D737">
        <v>1</v>
      </c>
      <c r="E737" t="s">
        <v>815</v>
      </c>
      <c r="F737">
        <v>10215610</v>
      </c>
      <c r="G737" t="s">
        <v>128</v>
      </c>
      <c r="H737" t="s">
        <v>833</v>
      </c>
      <c r="I737">
        <v>100</v>
      </c>
      <c r="J737" t="s">
        <v>822</v>
      </c>
      <c r="K737">
        <v>6497309</v>
      </c>
    </row>
    <row r="738" spans="1:11" x14ac:dyDescent="0.2">
      <c r="A738" t="s">
        <v>855</v>
      </c>
      <c r="B738" t="s">
        <v>112</v>
      </c>
      <c r="C738" t="s">
        <v>74</v>
      </c>
      <c r="D738">
        <v>1</v>
      </c>
      <c r="E738" t="s">
        <v>815</v>
      </c>
      <c r="F738">
        <v>10215641</v>
      </c>
      <c r="G738" t="s">
        <v>129</v>
      </c>
      <c r="H738" t="s">
        <v>833</v>
      </c>
      <c r="I738">
        <v>30</v>
      </c>
      <c r="J738" t="s">
        <v>822</v>
      </c>
      <c r="K738">
        <v>6497309</v>
      </c>
    </row>
    <row r="739" spans="1:11" x14ac:dyDescent="0.2">
      <c r="A739" t="s">
        <v>855</v>
      </c>
      <c r="B739" t="s">
        <v>112</v>
      </c>
      <c r="C739" t="s">
        <v>74</v>
      </c>
      <c r="D739">
        <v>1</v>
      </c>
      <c r="E739" t="s">
        <v>815</v>
      </c>
      <c r="F739">
        <v>10223108</v>
      </c>
      <c r="G739" t="s">
        <v>130</v>
      </c>
      <c r="H739" t="s">
        <v>833</v>
      </c>
      <c r="I739">
        <v>10</v>
      </c>
      <c r="J739" t="s">
        <v>822</v>
      </c>
      <c r="K739">
        <v>6497309</v>
      </c>
    </row>
    <row r="740" spans="1:11" x14ac:dyDescent="0.2">
      <c r="A740" t="s">
        <v>855</v>
      </c>
      <c r="B740" t="s">
        <v>112</v>
      </c>
      <c r="C740" t="s">
        <v>74</v>
      </c>
      <c r="D740">
        <v>1</v>
      </c>
      <c r="E740" t="s">
        <v>815</v>
      </c>
      <c r="F740">
        <v>10223435</v>
      </c>
      <c r="G740" t="s">
        <v>172</v>
      </c>
      <c r="H740" t="s">
        <v>833</v>
      </c>
      <c r="I740">
        <v>2</v>
      </c>
      <c r="J740" t="s">
        <v>822</v>
      </c>
      <c r="K740">
        <v>6497309</v>
      </c>
    </row>
    <row r="741" spans="1:11" x14ac:dyDescent="0.2">
      <c r="A741" t="s">
        <v>855</v>
      </c>
      <c r="B741" t="s">
        <v>112</v>
      </c>
      <c r="C741" t="s">
        <v>74</v>
      </c>
      <c r="D741">
        <v>1</v>
      </c>
      <c r="E741" t="s">
        <v>815</v>
      </c>
      <c r="F741">
        <v>10224472</v>
      </c>
      <c r="G741" t="s">
        <v>131</v>
      </c>
      <c r="H741" t="s">
        <v>833</v>
      </c>
      <c r="I741">
        <v>2</v>
      </c>
      <c r="J741" t="s">
        <v>822</v>
      </c>
      <c r="K741">
        <v>6497309</v>
      </c>
    </row>
    <row r="742" spans="1:11" x14ac:dyDescent="0.2">
      <c r="A742" t="s">
        <v>855</v>
      </c>
      <c r="B742" t="s">
        <v>112</v>
      </c>
      <c r="C742" t="s">
        <v>74</v>
      </c>
      <c r="D742">
        <v>1</v>
      </c>
      <c r="E742" t="s">
        <v>815</v>
      </c>
      <c r="F742">
        <v>10226339</v>
      </c>
      <c r="G742" t="s">
        <v>173</v>
      </c>
      <c r="H742" t="s">
        <v>833</v>
      </c>
      <c r="I742">
        <v>10</v>
      </c>
      <c r="J742" t="s">
        <v>822</v>
      </c>
      <c r="K742">
        <v>6497309</v>
      </c>
    </row>
    <row r="743" spans="1:11" x14ac:dyDescent="0.2">
      <c r="A743" t="s">
        <v>855</v>
      </c>
      <c r="B743" t="s">
        <v>112</v>
      </c>
      <c r="C743" t="s">
        <v>74</v>
      </c>
      <c r="D743">
        <v>1</v>
      </c>
      <c r="E743" t="s">
        <v>815</v>
      </c>
      <c r="F743">
        <v>10226359</v>
      </c>
      <c r="G743" t="s">
        <v>132</v>
      </c>
      <c r="H743" t="s">
        <v>833</v>
      </c>
      <c r="I743">
        <v>10</v>
      </c>
      <c r="J743" t="s">
        <v>822</v>
      </c>
      <c r="K743">
        <v>6497309</v>
      </c>
    </row>
    <row r="744" spans="1:11" x14ac:dyDescent="0.2">
      <c r="A744" t="s">
        <v>855</v>
      </c>
      <c r="B744" t="s">
        <v>112</v>
      </c>
      <c r="C744" t="s">
        <v>74</v>
      </c>
      <c r="D744">
        <v>1</v>
      </c>
      <c r="E744" t="s">
        <v>815</v>
      </c>
      <c r="F744">
        <v>10226363</v>
      </c>
      <c r="G744" t="s">
        <v>816</v>
      </c>
      <c r="H744" t="s">
        <v>833</v>
      </c>
      <c r="I744">
        <v>1</v>
      </c>
      <c r="J744" t="s">
        <v>822</v>
      </c>
      <c r="K744">
        <v>6497309</v>
      </c>
    </row>
    <row r="745" spans="1:11" x14ac:dyDescent="0.2">
      <c r="A745" t="s">
        <v>855</v>
      </c>
      <c r="B745" t="s">
        <v>112</v>
      </c>
      <c r="C745" t="s">
        <v>74</v>
      </c>
      <c r="D745">
        <v>1</v>
      </c>
      <c r="E745" t="s">
        <v>815</v>
      </c>
      <c r="F745">
        <v>10226367</v>
      </c>
      <c r="G745" t="s">
        <v>133</v>
      </c>
      <c r="H745" t="s">
        <v>833</v>
      </c>
      <c r="I745">
        <v>10</v>
      </c>
      <c r="J745" t="s">
        <v>822</v>
      </c>
      <c r="K745">
        <v>6497309</v>
      </c>
    </row>
    <row r="746" spans="1:11" x14ac:dyDescent="0.2">
      <c r="A746" t="s">
        <v>855</v>
      </c>
      <c r="B746" t="s">
        <v>112</v>
      </c>
      <c r="C746" t="s">
        <v>74</v>
      </c>
      <c r="D746">
        <v>1</v>
      </c>
      <c r="E746" t="s">
        <v>815</v>
      </c>
      <c r="F746">
        <v>10226368</v>
      </c>
      <c r="G746" t="s">
        <v>134</v>
      </c>
      <c r="H746" t="s">
        <v>833</v>
      </c>
      <c r="I746">
        <v>20</v>
      </c>
      <c r="J746" t="s">
        <v>822</v>
      </c>
      <c r="K746">
        <v>6497309</v>
      </c>
    </row>
    <row r="747" spans="1:11" x14ac:dyDescent="0.2">
      <c r="A747" t="s">
        <v>855</v>
      </c>
      <c r="B747" t="s">
        <v>112</v>
      </c>
      <c r="C747" t="s">
        <v>74</v>
      </c>
      <c r="D747">
        <v>1</v>
      </c>
      <c r="E747" t="s">
        <v>815</v>
      </c>
      <c r="F747">
        <v>10226373</v>
      </c>
      <c r="G747" t="s">
        <v>135</v>
      </c>
      <c r="H747" t="s">
        <v>833</v>
      </c>
      <c r="I747">
        <v>30</v>
      </c>
      <c r="J747" t="s">
        <v>822</v>
      </c>
      <c r="K747">
        <v>6497309</v>
      </c>
    </row>
    <row r="748" spans="1:11" x14ac:dyDescent="0.2">
      <c r="A748" t="s">
        <v>855</v>
      </c>
      <c r="B748" t="s">
        <v>112</v>
      </c>
      <c r="C748" t="s">
        <v>74</v>
      </c>
      <c r="D748">
        <v>1</v>
      </c>
      <c r="E748" t="s">
        <v>815</v>
      </c>
      <c r="F748">
        <v>10226377</v>
      </c>
      <c r="G748" t="s">
        <v>136</v>
      </c>
      <c r="H748" t="s">
        <v>833</v>
      </c>
      <c r="I748">
        <v>5</v>
      </c>
      <c r="J748" t="s">
        <v>822</v>
      </c>
      <c r="K748">
        <v>6497309</v>
      </c>
    </row>
    <row r="749" spans="1:11" x14ac:dyDescent="0.2">
      <c r="A749" t="s">
        <v>855</v>
      </c>
      <c r="B749" t="s">
        <v>112</v>
      </c>
      <c r="C749" t="s">
        <v>74</v>
      </c>
      <c r="D749">
        <v>1</v>
      </c>
      <c r="E749" t="s">
        <v>815</v>
      </c>
      <c r="F749">
        <v>10226385</v>
      </c>
      <c r="G749" t="s">
        <v>137</v>
      </c>
      <c r="H749" t="s">
        <v>833</v>
      </c>
      <c r="I749">
        <v>5</v>
      </c>
      <c r="J749" t="s">
        <v>822</v>
      </c>
      <c r="K749">
        <v>6497309</v>
      </c>
    </row>
    <row r="750" spans="1:11" x14ac:dyDescent="0.2">
      <c r="A750" t="s">
        <v>855</v>
      </c>
      <c r="B750" t="s">
        <v>112</v>
      </c>
      <c r="C750" t="s">
        <v>74</v>
      </c>
      <c r="D750">
        <v>1</v>
      </c>
      <c r="E750" t="s">
        <v>815</v>
      </c>
      <c r="F750">
        <v>10226388</v>
      </c>
      <c r="G750" t="s">
        <v>138</v>
      </c>
      <c r="H750" t="s">
        <v>833</v>
      </c>
      <c r="I750">
        <v>10</v>
      </c>
      <c r="J750" t="s">
        <v>822</v>
      </c>
      <c r="K750">
        <v>6497309</v>
      </c>
    </row>
    <row r="751" spans="1:11" x14ac:dyDescent="0.2">
      <c r="A751" t="s">
        <v>855</v>
      </c>
      <c r="B751" t="s">
        <v>112</v>
      </c>
      <c r="C751" t="s">
        <v>74</v>
      </c>
      <c r="D751">
        <v>1</v>
      </c>
      <c r="E751" t="s">
        <v>815</v>
      </c>
      <c r="F751">
        <v>10226392</v>
      </c>
      <c r="G751" t="s">
        <v>139</v>
      </c>
      <c r="H751" t="s">
        <v>833</v>
      </c>
      <c r="I751">
        <v>10</v>
      </c>
      <c r="J751" t="s">
        <v>822</v>
      </c>
      <c r="K751">
        <v>6497309</v>
      </c>
    </row>
    <row r="752" spans="1:11" x14ac:dyDescent="0.2">
      <c r="A752" t="s">
        <v>855</v>
      </c>
      <c r="B752" t="s">
        <v>112</v>
      </c>
      <c r="C752" t="s">
        <v>74</v>
      </c>
      <c r="D752">
        <v>1</v>
      </c>
      <c r="E752" t="s">
        <v>815</v>
      </c>
      <c r="F752">
        <v>10226398</v>
      </c>
      <c r="G752" t="s">
        <v>140</v>
      </c>
      <c r="H752" t="s">
        <v>833</v>
      </c>
      <c r="I752">
        <v>20</v>
      </c>
      <c r="J752" t="s">
        <v>822</v>
      </c>
      <c r="K752">
        <v>6497309</v>
      </c>
    </row>
    <row r="753" spans="1:11" x14ac:dyDescent="0.2">
      <c r="A753" t="s">
        <v>855</v>
      </c>
      <c r="B753" t="s">
        <v>112</v>
      </c>
      <c r="C753" t="s">
        <v>74</v>
      </c>
      <c r="D753">
        <v>1</v>
      </c>
      <c r="E753" t="s">
        <v>815</v>
      </c>
      <c r="F753">
        <v>10226403</v>
      </c>
      <c r="G753" t="s">
        <v>141</v>
      </c>
      <c r="H753" t="s">
        <v>833</v>
      </c>
      <c r="I753">
        <v>10</v>
      </c>
      <c r="J753" t="s">
        <v>822</v>
      </c>
      <c r="K753">
        <v>6497309</v>
      </c>
    </row>
    <row r="754" spans="1:11" x14ac:dyDescent="0.2">
      <c r="A754" t="s">
        <v>855</v>
      </c>
      <c r="B754" t="s">
        <v>112</v>
      </c>
      <c r="C754" t="s">
        <v>74</v>
      </c>
      <c r="D754">
        <v>1</v>
      </c>
      <c r="E754" t="s">
        <v>815</v>
      </c>
      <c r="F754">
        <v>10226410</v>
      </c>
      <c r="G754" t="s">
        <v>142</v>
      </c>
      <c r="H754" t="s">
        <v>833</v>
      </c>
      <c r="I754">
        <v>3</v>
      </c>
      <c r="J754" t="s">
        <v>822</v>
      </c>
      <c r="K754">
        <v>6497309</v>
      </c>
    </row>
    <row r="755" spans="1:11" x14ac:dyDescent="0.2">
      <c r="A755" t="s">
        <v>855</v>
      </c>
      <c r="B755" t="s">
        <v>112</v>
      </c>
      <c r="C755" t="s">
        <v>74</v>
      </c>
      <c r="D755">
        <v>1</v>
      </c>
      <c r="E755" t="s">
        <v>815</v>
      </c>
      <c r="F755">
        <v>10226417</v>
      </c>
      <c r="G755" t="s">
        <v>143</v>
      </c>
      <c r="H755" t="s">
        <v>833</v>
      </c>
      <c r="I755">
        <v>100</v>
      </c>
      <c r="J755" t="s">
        <v>822</v>
      </c>
      <c r="K755">
        <v>6497309</v>
      </c>
    </row>
    <row r="756" spans="1:11" x14ac:dyDescent="0.2">
      <c r="A756" t="s">
        <v>855</v>
      </c>
      <c r="B756" t="s">
        <v>112</v>
      </c>
      <c r="C756" t="s">
        <v>74</v>
      </c>
      <c r="D756">
        <v>1</v>
      </c>
      <c r="E756" t="s">
        <v>815</v>
      </c>
      <c r="F756">
        <v>10226418</v>
      </c>
      <c r="G756" t="s">
        <v>144</v>
      </c>
      <c r="H756" t="s">
        <v>833</v>
      </c>
      <c r="I756">
        <v>5</v>
      </c>
      <c r="J756" t="s">
        <v>822</v>
      </c>
      <c r="K756">
        <v>6497309</v>
      </c>
    </row>
    <row r="757" spans="1:11" x14ac:dyDescent="0.2">
      <c r="A757" t="s">
        <v>855</v>
      </c>
      <c r="B757" t="s">
        <v>112</v>
      </c>
      <c r="C757" t="s">
        <v>74</v>
      </c>
      <c r="D757">
        <v>1</v>
      </c>
      <c r="E757" t="s">
        <v>815</v>
      </c>
      <c r="F757">
        <v>10226420</v>
      </c>
      <c r="G757" t="s">
        <v>188</v>
      </c>
      <c r="H757" t="s">
        <v>833</v>
      </c>
      <c r="I757">
        <v>1</v>
      </c>
      <c r="J757" t="s">
        <v>822</v>
      </c>
      <c r="K757">
        <v>6497309</v>
      </c>
    </row>
    <row r="758" spans="1:11" x14ac:dyDescent="0.2">
      <c r="A758" t="s">
        <v>855</v>
      </c>
      <c r="B758" t="s">
        <v>112</v>
      </c>
      <c r="C758" t="s">
        <v>74</v>
      </c>
      <c r="D758">
        <v>1</v>
      </c>
      <c r="E758" t="s">
        <v>815</v>
      </c>
      <c r="F758">
        <v>10226425</v>
      </c>
      <c r="G758" t="s">
        <v>145</v>
      </c>
      <c r="H758" t="s">
        <v>833</v>
      </c>
      <c r="I758">
        <v>10</v>
      </c>
      <c r="J758" t="s">
        <v>822</v>
      </c>
      <c r="K758">
        <v>6497309</v>
      </c>
    </row>
    <row r="759" spans="1:11" x14ac:dyDescent="0.2">
      <c r="A759" t="s">
        <v>855</v>
      </c>
      <c r="B759" t="s">
        <v>112</v>
      </c>
      <c r="C759" t="s">
        <v>74</v>
      </c>
      <c r="D759">
        <v>1</v>
      </c>
      <c r="E759" t="s">
        <v>815</v>
      </c>
      <c r="F759">
        <v>10226428</v>
      </c>
      <c r="G759" t="s">
        <v>146</v>
      </c>
      <c r="H759" t="s">
        <v>833</v>
      </c>
      <c r="I759">
        <v>5</v>
      </c>
      <c r="J759" t="s">
        <v>822</v>
      </c>
      <c r="K759">
        <v>6497309</v>
      </c>
    </row>
    <row r="760" spans="1:11" x14ac:dyDescent="0.2">
      <c r="A760" t="s">
        <v>855</v>
      </c>
      <c r="B760" t="s">
        <v>112</v>
      </c>
      <c r="C760" t="s">
        <v>74</v>
      </c>
      <c r="D760">
        <v>1</v>
      </c>
      <c r="E760" t="s">
        <v>815</v>
      </c>
      <c r="F760">
        <v>10226429</v>
      </c>
      <c r="G760" t="s">
        <v>147</v>
      </c>
      <c r="H760" t="s">
        <v>833</v>
      </c>
      <c r="I760">
        <v>80</v>
      </c>
      <c r="J760" t="s">
        <v>822</v>
      </c>
      <c r="K760">
        <v>6497309</v>
      </c>
    </row>
    <row r="761" spans="1:11" x14ac:dyDescent="0.2">
      <c r="A761" t="s">
        <v>855</v>
      </c>
      <c r="B761" t="s">
        <v>112</v>
      </c>
      <c r="C761" t="s">
        <v>74</v>
      </c>
      <c r="D761">
        <v>1</v>
      </c>
      <c r="E761" t="s">
        <v>815</v>
      </c>
      <c r="F761">
        <v>10226435</v>
      </c>
      <c r="G761" t="s">
        <v>148</v>
      </c>
      <c r="H761" t="s">
        <v>833</v>
      </c>
      <c r="I761">
        <v>5</v>
      </c>
      <c r="J761" t="s">
        <v>822</v>
      </c>
      <c r="K761">
        <v>6497309</v>
      </c>
    </row>
    <row r="762" spans="1:11" x14ac:dyDescent="0.2">
      <c r="A762" t="s">
        <v>855</v>
      </c>
      <c r="B762" t="s">
        <v>112</v>
      </c>
      <c r="C762" t="s">
        <v>74</v>
      </c>
      <c r="D762">
        <v>1</v>
      </c>
      <c r="E762" t="s">
        <v>815</v>
      </c>
      <c r="F762">
        <v>10226442</v>
      </c>
      <c r="G762" t="s">
        <v>149</v>
      </c>
      <c r="H762" t="s">
        <v>833</v>
      </c>
      <c r="I762">
        <v>2</v>
      </c>
      <c r="J762" t="s">
        <v>822</v>
      </c>
      <c r="K762">
        <v>6497309</v>
      </c>
    </row>
    <row r="763" spans="1:11" x14ac:dyDescent="0.2">
      <c r="A763" t="s">
        <v>855</v>
      </c>
      <c r="B763" t="s">
        <v>112</v>
      </c>
      <c r="C763" t="s">
        <v>74</v>
      </c>
      <c r="D763">
        <v>1</v>
      </c>
      <c r="E763" t="s">
        <v>815</v>
      </c>
      <c r="F763">
        <v>10226452</v>
      </c>
      <c r="G763" t="s">
        <v>151</v>
      </c>
      <c r="H763" t="s">
        <v>833</v>
      </c>
      <c r="I763">
        <v>10</v>
      </c>
      <c r="J763" t="s">
        <v>822</v>
      </c>
      <c r="K763">
        <v>6497309</v>
      </c>
    </row>
    <row r="764" spans="1:11" x14ac:dyDescent="0.2">
      <c r="A764" t="s">
        <v>855</v>
      </c>
      <c r="B764" t="s">
        <v>112</v>
      </c>
      <c r="C764" t="s">
        <v>74</v>
      </c>
      <c r="D764">
        <v>1</v>
      </c>
      <c r="E764" t="s">
        <v>815</v>
      </c>
      <c r="F764">
        <v>10226454</v>
      </c>
      <c r="G764" t="s">
        <v>152</v>
      </c>
      <c r="H764" t="s">
        <v>833</v>
      </c>
      <c r="I764">
        <v>50</v>
      </c>
      <c r="J764" t="s">
        <v>822</v>
      </c>
      <c r="K764">
        <v>6497309</v>
      </c>
    </row>
    <row r="765" spans="1:11" x14ac:dyDescent="0.2">
      <c r="A765" t="s">
        <v>855</v>
      </c>
      <c r="B765" t="s">
        <v>112</v>
      </c>
      <c r="C765" t="s">
        <v>74</v>
      </c>
      <c r="D765">
        <v>1</v>
      </c>
      <c r="E765" t="s">
        <v>815</v>
      </c>
      <c r="F765">
        <v>10227896</v>
      </c>
      <c r="G765" t="s">
        <v>153</v>
      </c>
      <c r="H765" t="s">
        <v>833</v>
      </c>
      <c r="I765">
        <v>1</v>
      </c>
      <c r="J765" t="s">
        <v>822</v>
      </c>
      <c r="K765">
        <v>6497309</v>
      </c>
    </row>
    <row r="766" spans="1:11" x14ac:dyDescent="0.2">
      <c r="A766" t="s">
        <v>855</v>
      </c>
      <c r="B766" t="s">
        <v>112</v>
      </c>
      <c r="C766" t="s">
        <v>74</v>
      </c>
      <c r="D766">
        <v>1</v>
      </c>
      <c r="E766" t="s">
        <v>815</v>
      </c>
      <c r="F766">
        <v>10230675</v>
      </c>
      <c r="G766" t="s">
        <v>165</v>
      </c>
      <c r="H766" t="s">
        <v>833</v>
      </c>
      <c r="I766">
        <v>8.7750000000000004</v>
      </c>
      <c r="J766" t="s">
        <v>822</v>
      </c>
      <c r="K766">
        <v>6497309</v>
      </c>
    </row>
    <row r="767" spans="1:11" x14ac:dyDescent="0.2">
      <c r="A767" t="s">
        <v>855</v>
      </c>
      <c r="B767" t="s">
        <v>112</v>
      </c>
      <c r="C767" t="s">
        <v>74</v>
      </c>
      <c r="D767">
        <v>1</v>
      </c>
      <c r="E767" t="s">
        <v>815</v>
      </c>
      <c r="F767">
        <v>10231474</v>
      </c>
      <c r="G767" t="s">
        <v>176</v>
      </c>
      <c r="H767" t="s">
        <v>833</v>
      </c>
      <c r="I767">
        <v>3</v>
      </c>
      <c r="J767" t="s">
        <v>822</v>
      </c>
      <c r="K767">
        <v>6497309</v>
      </c>
    </row>
    <row r="768" spans="1:11" x14ac:dyDescent="0.2">
      <c r="A768" t="s">
        <v>855</v>
      </c>
      <c r="B768" t="s">
        <v>112</v>
      </c>
      <c r="C768" t="s">
        <v>74</v>
      </c>
      <c r="D768">
        <v>1</v>
      </c>
      <c r="E768" t="s">
        <v>815</v>
      </c>
      <c r="F768">
        <v>10231475</v>
      </c>
      <c r="G768" t="s">
        <v>177</v>
      </c>
      <c r="H768" t="s">
        <v>833</v>
      </c>
      <c r="I768">
        <v>3</v>
      </c>
      <c r="J768" t="s">
        <v>822</v>
      </c>
      <c r="K768">
        <v>6497309</v>
      </c>
    </row>
    <row r="769" spans="1:11" x14ac:dyDescent="0.2">
      <c r="A769" t="s">
        <v>855</v>
      </c>
      <c r="B769" t="s">
        <v>112</v>
      </c>
      <c r="C769" t="s">
        <v>74</v>
      </c>
      <c r="D769">
        <v>1</v>
      </c>
      <c r="E769" t="s">
        <v>815</v>
      </c>
      <c r="F769">
        <v>10231484</v>
      </c>
      <c r="G769" t="s">
        <v>166</v>
      </c>
      <c r="H769" t="s">
        <v>833</v>
      </c>
      <c r="I769">
        <v>3</v>
      </c>
      <c r="J769" t="s">
        <v>822</v>
      </c>
      <c r="K769">
        <v>6497309</v>
      </c>
    </row>
    <row r="770" spans="1:11" x14ac:dyDescent="0.2">
      <c r="A770" t="s">
        <v>855</v>
      </c>
      <c r="B770" t="s">
        <v>112</v>
      </c>
      <c r="C770" t="s">
        <v>74</v>
      </c>
      <c r="D770">
        <v>1</v>
      </c>
      <c r="E770" t="s">
        <v>815</v>
      </c>
      <c r="F770">
        <v>10242280</v>
      </c>
      <c r="G770" t="s">
        <v>154</v>
      </c>
      <c r="H770" t="s">
        <v>833</v>
      </c>
      <c r="I770">
        <v>2</v>
      </c>
      <c r="J770" t="s">
        <v>822</v>
      </c>
      <c r="K770">
        <v>6497309</v>
      </c>
    </row>
    <row r="771" spans="1:11" x14ac:dyDescent="0.2">
      <c r="A771" t="s">
        <v>855</v>
      </c>
      <c r="B771" t="s">
        <v>112</v>
      </c>
      <c r="C771" t="s">
        <v>74</v>
      </c>
      <c r="D771">
        <v>1</v>
      </c>
      <c r="E771" t="s">
        <v>815</v>
      </c>
      <c r="F771">
        <v>50063026</v>
      </c>
      <c r="G771" t="s">
        <v>184</v>
      </c>
      <c r="H771" t="s">
        <v>833</v>
      </c>
      <c r="I771">
        <v>24</v>
      </c>
      <c r="J771" t="s">
        <v>822</v>
      </c>
      <c r="K771">
        <v>6497309</v>
      </c>
    </row>
    <row r="772" spans="1:11" x14ac:dyDescent="0.2">
      <c r="A772" t="s">
        <v>855</v>
      </c>
      <c r="B772" t="s">
        <v>112</v>
      </c>
      <c r="C772" t="s">
        <v>74</v>
      </c>
      <c r="D772">
        <v>1</v>
      </c>
      <c r="E772" t="s">
        <v>815</v>
      </c>
      <c r="F772">
        <v>50066125</v>
      </c>
      <c r="G772" t="s">
        <v>167</v>
      </c>
      <c r="H772" t="s">
        <v>833</v>
      </c>
      <c r="I772">
        <v>24</v>
      </c>
      <c r="J772" t="s">
        <v>822</v>
      </c>
      <c r="K772">
        <v>6497309</v>
      </c>
    </row>
    <row r="773" spans="1:11" x14ac:dyDescent="0.2">
      <c r="A773" t="s">
        <v>855</v>
      </c>
      <c r="B773" t="s">
        <v>112</v>
      </c>
      <c r="C773" t="s">
        <v>74</v>
      </c>
      <c r="D773">
        <v>1</v>
      </c>
      <c r="E773" t="s">
        <v>815</v>
      </c>
      <c r="F773">
        <v>50066133</v>
      </c>
      <c r="G773" t="s">
        <v>168</v>
      </c>
      <c r="H773" t="s">
        <v>833</v>
      </c>
      <c r="I773">
        <v>24</v>
      </c>
      <c r="J773" t="s">
        <v>822</v>
      </c>
      <c r="K773">
        <v>6497309</v>
      </c>
    </row>
    <row r="774" spans="1:11" x14ac:dyDescent="0.2">
      <c r="A774" t="s">
        <v>855</v>
      </c>
      <c r="B774" t="s">
        <v>112</v>
      </c>
      <c r="C774" t="s">
        <v>74</v>
      </c>
      <c r="D774">
        <v>1</v>
      </c>
      <c r="E774" t="s">
        <v>815</v>
      </c>
      <c r="F774">
        <v>50066135</v>
      </c>
      <c r="G774" t="s">
        <v>178</v>
      </c>
      <c r="H774" t="s">
        <v>833</v>
      </c>
      <c r="I774">
        <v>24</v>
      </c>
      <c r="J774" t="s">
        <v>822</v>
      </c>
      <c r="K774">
        <v>6497309</v>
      </c>
    </row>
    <row r="775" spans="1:11" x14ac:dyDescent="0.2">
      <c r="A775" t="s">
        <v>855</v>
      </c>
      <c r="B775" t="s">
        <v>112</v>
      </c>
      <c r="C775" t="s">
        <v>74</v>
      </c>
      <c r="D775">
        <v>1</v>
      </c>
      <c r="E775" t="s">
        <v>815</v>
      </c>
      <c r="F775">
        <v>50066153</v>
      </c>
      <c r="G775" t="s">
        <v>809</v>
      </c>
      <c r="H775" t="s">
        <v>833</v>
      </c>
      <c r="I775">
        <v>24</v>
      </c>
      <c r="J775" t="s">
        <v>822</v>
      </c>
      <c r="K775">
        <v>6497309</v>
      </c>
    </row>
    <row r="776" spans="1:11" x14ac:dyDescent="0.2">
      <c r="A776" t="s">
        <v>855</v>
      </c>
      <c r="B776" t="s">
        <v>112</v>
      </c>
      <c r="C776" t="s">
        <v>74</v>
      </c>
      <c r="D776">
        <v>1</v>
      </c>
      <c r="E776" t="s">
        <v>815</v>
      </c>
      <c r="F776">
        <v>50066154</v>
      </c>
      <c r="G776" t="s">
        <v>803</v>
      </c>
      <c r="H776" t="s">
        <v>833</v>
      </c>
      <c r="I776">
        <v>24</v>
      </c>
      <c r="J776" t="s">
        <v>822</v>
      </c>
      <c r="K776">
        <v>6497309</v>
      </c>
    </row>
    <row r="777" spans="1:11" x14ac:dyDescent="0.2">
      <c r="A777" t="s">
        <v>855</v>
      </c>
      <c r="B777" t="s">
        <v>112</v>
      </c>
      <c r="C777" t="s">
        <v>74</v>
      </c>
      <c r="D777">
        <v>1</v>
      </c>
      <c r="E777" t="s">
        <v>815</v>
      </c>
      <c r="F777">
        <v>50066417</v>
      </c>
      <c r="G777" t="s">
        <v>213</v>
      </c>
      <c r="H777" t="s">
        <v>833</v>
      </c>
      <c r="I777">
        <v>24</v>
      </c>
      <c r="J777" t="s">
        <v>822</v>
      </c>
      <c r="K777">
        <v>6497309</v>
      </c>
    </row>
    <row r="778" spans="1:11" x14ac:dyDescent="0.2">
      <c r="A778" t="s">
        <v>855</v>
      </c>
      <c r="B778" t="s">
        <v>112</v>
      </c>
      <c r="C778" t="s">
        <v>74</v>
      </c>
      <c r="D778">
        <v>1</v>
      </c>
      <c r="E778" t="s">
        <v>815</v>
      </c>
      <c r="F778">
        <v>50066514</v>
      </c>
      <c r="G778" t="s">
        <v>811</v>
      </c>
      <c r="H778" t="s">
        <v>833</v>
      </c>
      <c r="I778">
        <v>12</v>
      </c>
      <c r="J778" t="s">
        <v>822</v>
      </c>
      <c r="K778">
        <v>6497309</v>
      </c>
    </row>
    <row r="779" spans="1:11" x14ac:dyDescent="0.2">
      <c r="A779" t="s">
        <v>855</v>
      </c>
      <c r="B779" t="s">
        <v>112</v>
      </c>
      <c r="C779" t="s">
        <v>74</v>
      </c>
      <c r="D779">
        <v>1</v>
      </c>
      <c r="E779" t="s">
        <v>815</v>
      </c>
      <c r="F779">
        <v>50066803</v>
      </c>
      <c r="G779" t="s">
        <v>797</v>
      </c>
      <c r="H779" t="s">
        <v>833</v>
      </c>
      <c r="I779">
        <v>24</v>
      </c>
      <c r="J779" t="s">
        <v>822</v>
      </c>
      <c r="K779">
        <v>6497309</v>
      </c>
    </row>
    <row r="780" spans="1:11" x14ac:dyDescent="0.2">
      <c r="A780" t="s">
        <v>855</v>
      </c>
      <c r="B780" t="s">
        <v>112</v>
      </c>
      <c r="C780" t="s">
        <v>74</v>
      </c>
      <c r="D780">
        <v>1</v>
      </c>
      <c r="E780" t="s">
        <v>815</v>
      </c>
      <c r="F780">
        <v>50066820</v>
      </c>
      <c r="G780" t="s">
        <v>194</v>
      </c>
      <c r="H780" t="s">
        <v>833</v>
      </c>
      <c r="I780">
        <v>96</v>
      </c>
      <c r="J780" t="s">
        <v>822</v>
      </c>
      <c r="K780">
        <v>6497309</v>
      </c>
    </row>
    <row r="781" spans="1:11" x14ac:dyDescent="0.2">
      <c r="A781" t="s">
        <v>855</v>
      </c>
      <c r="B781" t="s">
        <v>112</v>
      </c>
      <c r="C781" t="s">
        <v>74</v>
      </c>
      <c r="D781">
        <v>1</v>
      </c>
      <c r="E781" t="s">
        <v>815</v>
      </c>
      <c r="F781">
        <v>50066861</v>
      </c>
      <c r="G781" t="s">
        <v>195</v>
      </c>
      <c r="H781" t="s">
        <v>833</v>
      </c>
      <c r="I781">
        <v>48</v>
      </c>
      <c r="J781" t="s">
        <v>822</v>
      </c>
      <c r="K781">
        <v>6497309</v>
      </c>
    </row>
    <row r="782" spans="1:11" x14ac:dyDescent="0.2">
      <c r="A782" t="s">
        <v>855</v>
      </c>
      <c r="B782" t="s">
        <v>112</v>
      </c>
      <c r="C782" t="s">
        <v>74</v>
      </c>
      <c r="D782">
        <v>1</v>
      </c>
      <c r="E782" t="s">
        <v>815</v>
      </c>
      <c r="F782">
        <v>50066862</v>
      </c>
      <c r="G782" t="s">
        <v>211</v>
      </c>
      <c r="H782" t="s">
        <v>833</v>
      </c>
      <c r="I782">
        <v>60</v>
      </c>
      <c r="J782" t="s">
        <v>822</v>
      </c>
      <c r="K782">
        <v>6497309</v>
      </c>
    </row>
    <row r="783" spans="1:11" x14ac:dyDescent="0.2">
      <c r="A783" t="s">
        <v>855</v>
      </c>
      <c r="B783" t="s">
        <v>112</v>
      </c>
      <c r="C783" t="s">
        <v>74</v>
      </c>
      <c r="D783">
        <v>1</v>
      </c>
      <c r="E783" t="s">
        <v>815</v>
      </c>
      <c r="F783">
        <v>50066863</v>
      </c>
      <c r="G783" t="s">
        <v>802</v>
      </c>
      <c r="H783" t="s">
        <v>833</v>
      </c>
      <c r="I783">
        <v>72</v>
      </c>
      <c r="J783" t="s">
        <v>822</v>
      </c>
      <c r="K783">
        <v>6497309</v>
      </c>
    </row>
    <row r="784" spans="1:11" x14ac:dyDescent="0.2">
      <c r="A784" t="s">
        <v>855</v>
      </c>
      <c r="B784" t="s">
        <v>112</v>
      </c>
      <c r="C784" t="s">
        <v>74</v>
      </c>
      <c r="D784">
        <v>1</v>
      </c>
      <c r="E784" t="s">
        <v>815</v>
      </c>
      <c r="F784">
        <v>50066993</v>
      </c>
      <c r="G784" t="s">
        <v>206</v>
      </c>
      <c r="H784" t="s">
        <v>833</v>
      </c>
      <c r="I784">
        <v>144</v>
      </c>
      <c r="J784" t="s">
        <v>822</v>
      </c>
      <c r="K784">
        <v>6497309</v>
      </c>
    </row>
    <row r="785" spans="1:11" x14ac:dyDescent="0.2">
      <c r="A785" t="s">
        <v>855</v>
      </c>
      <c r="B785" t="s">
        <v>112</v>
      </c>
      <c r="C785" t="s">
        <v>74</v>
      </c>
      <c r="D785">
        <v>1</v>
      </c>
      <c r="E785" t="s">
        <v>815</v>
      </c>
      <c r="F785">
        <v>50067083</v>
      </c>
      <c r="G785" t="s">
        <v>214</v>
      </c>
      <c r="H785" t="s">
        <v>833</v>
      </c>
      <c r="I785">
        <v>12</v>
      </c>
      <c r="J785" t="s">
        <v>822</v>
      </c>
      <c r="K785">
        <v>6497309</v>
      </c>
    </row>
    <row r="786" spans="1:11" x14ac:dyDescent="0.2">
      <c r="A786" t="s">
        <v>855</v>
      </c>
      <c r="B786" t="s">
        <v>112</v>
      </c>
      <c r="C786" t="s">
        <v>74</v>
      </c>
      <c r="D786">
        <v>1</v>
      </c>
      <c r="E786" t="s">
        <v>815</v>
      </c>
      <c r="F786">
        <v>50067094</v>
      </c>
      <c r="G786" t="s">
        <v>212</v>
      </c>
      <c r="H786" t="s">
        <v>833</v>
      </c>
      <c r="I786">
        <v>12</v>
      </c>
      <c r="J786" t="s">
        <v>822</v>
      </c>
      <c r="K786">
        <v>6497309</v>
      </c>
    </row>
    <row r="787" spans="1:11" x14ac:dyDescent="0.2">
      <c r="A787" t="s">
        <v>855</v>
      </c>
      <c r="B787" t="s">
        <v>112</v>
      </c>
      <c r="C787" t="s">
        <v>74</v>
      </c>
      <c r="D787">
        <v>1</v>
      </c>
      <c r="E787" t="s">
        <v>815</v>
      </c>
      <c r="F787">
        <v>50067197</v>
      </c>
      <c r="G787" t="s">
        <v>834</v>
      </c>
      <c r="H787" t="s">
        <v>833</v>
      </c>
      <c r="I787">
        <v>2</v>
      </c>
      <c r="J787" t="s">
        <v>822</v>
      </c>
      <c r="K787">
        <v>6497309</v>
      </c>
    </row>
    <row r="788" spans="1:11" x14ac:dyDescent="0.2">
      <c r="A788" t="s">
        <v>855</v>
      </c>
      <c r="B788" t="s">
        <v>112</v>
      </c>
      <c r="C788" t="s">
        <v>74</v>
      </c>
      <c r="D788">
        <v>1</v>
      </c>
      <c r="E788" t="s">
        <v>815</v>
      </c>
      <c r="F788">
        <v>50067206</v>
      </c>
      <c r="G788" t="s">
        <v>812</v>
      </c>
      <c r="H788" t="s">
        <v>833</v>
      </c>
      <c r="I788">
        <v>1</v>
      </c>
      <c r="J788" t="s">
        <v>822</v>
      </c>
      <c r="K788">
        <v>6497309</v>
      </c>
    </row>
    <row r="789" spans="1:11" x14ac:dyDescent="0.2">
      <c r="A789" t="s">
        <v>855</v>
      </c>
      <c r="B789" t="s">
        <v>112</v>
      </c>
      <c r="C789" t="s">
        <v>74</v>
      </c>
      <c r="D789">
        <v>1</v>
      </c>
      <c r="E789" t="s">
        <v>815</v>
      </c>
      <c r="F789">
        <v>50067217</v>
      </c>
      <c r="G789" t="s">
        <v>215</v>
      </c>
      <c r="H789" t="s">
        <v>833</v>
      </c>
      <c r="I789">
        <v>0.12</v>
      </c>
      <c r="J789" t="s">
        <v>822</v>
      </c>
      <c r="K789">
        <v>6497309</v>
      </c>
    </row>
    <row r="790" spans="1:11" x14ac:dyDescent="0.2">
      <c r="A790" t="s">
        <v>855</v>
      </c>
      <c r="B790" t="s">
        <v>112</v>
      </c>
      <c r="C790" t="s">
        <v>74</v>
      </c>
      <c r="D790">
        <v>1</v>
      </c>
      <c r="E790" t="s">
        <v>815</v>
      </c>
      <c r="F790">
        <v>50067282</v>
      </c>
      <c r="G790" t="s">
        <v>813</v>
      </c>
      <c r="H790" t="s">
        <v>833</v>
      </c>
      <c r="I790">
        <v>1</v>
      </c>
      <c r="J790" t="s">
        <v>822</v>
      </c>
      <c r="K790">
        <v>6497309</v>
      </c>
    </row>
    <row r="791" spans="1:11" x14ac:dyDescent="0.2">
      <c r="A791" t="s">
        <v>855</v>
      </c>
      <c r="B791" t="s">
        <v>112</v>
      </c>
      <c r="C791" t="s">
        <v>74</v>
      </c>
      <c r="D791">
        <v>1</v>
      </c>
      <c r="E791" t="s">
        <v>815</v>
      </c>
      <c r="F791">
        <v>50067284</v>
      </c>
      <c r="G791" t="s">
        <v>169</v>
      </c>
      <c r="H791" t="s">
        <v>833</v>
      </c>
      <c r="I791">
        <v>0.105</v>
      </c>
      <c r="J791" t="s">
        <v>822</v>
      </c>
      <c r="K791">
        <v>6497309</v>
      </c>
    </row>
    <row r="792" spans="1:11" x14ac:dyDescent="0.2">
      <c r="A792" t="s">
        <v>855</v>
      </c>
      <c r="B792" t="s">
        <v>112</v>
      </c>
      <c r="C792" t="s">
        <v>74</v>
      </c>
      <c r="D792">
        <v>1</v>
      </c>
      <c r="E792" t="s">
        <v>815</v>
      </c>
      <c r="F792">
        <v>50067522</v>
      </c>
      <c r="G792" t="s">
        <v>814</v>
      </c>
      <c r="H792" t="s">
        <v>833</v>
      </c>
      <c r="I792">
        <v>24</v>
      </c>
      <c r="J792" t="s">
        <v>822</v>
      </c>
      <c r="K792">
        <v>6497309</v>
      </c>
    </row>
    <row r="793" spans="1:11" x14ac:dyDescent="0.2">
      <c r="A793" t="s">
        <v>855</v>
      </c>
      <c r="B793" t="s">
        <v>112</v>
      </c>
      <c r="C793" t="s">
        <v>74</v>
      </c>
      <c r="D793">
        <v>1</v>
      </c>
      <c r="E793" t="s">
        <v>815</v>
      </c>
      <c r="F793">
        <v>50067531</v>
      </c>
      <c r="G793" t="s">
        <v>804</v>
      </c>
      <c r="H793" t="s">
        <v>833</v>
      </c>
      <c r="I793">
        <v>24</v>
      </c>
      <c r="J793" t="s">
        <v>822</v>
      </c>
      <c r="K793">
        <v>6497309</v>
      </c>
    </row>
    <row r="794" spans="1:11" x14ac:dyDescent="0.2">
      <c r="A794" t="s">
        <v>855</v>
      </c>
      <c r="B794" t="s">
        <v>112</v>
      </c>
      <c r="C794" t="s">
        <v>74</v>
      </c>
      <c r="D794">
        <v>1</v>
      </c>
      <c r="E794" t="s">
        <v>815</v>
      </c>
      <c r="F794">
        <v>50067615</v>
      </c>
      <c r="G794" t="s">
        <v>179</v>
      </c>
      <c r="H794" t="s">
        <v>833</v>
      </c>
      <c r="I794">
        <v>24</v>
      </c>
      <c r="J794" t="s">
        <v>822</v>
      </c>
      <c r="K794">
        <v>6497309</v>
      </c>
    </row>
    <row r="795" spans="1:11" x14ac:dyDescent="0.2">
      <c r="A795" t="s">
        <v>855</v>
      </c>
      <c r="B795" t="s">
        <v>112</v>
      </c>
      <c r="C795" t="s">
        <v>74</v>
      </c>
      <c r="D795">
        <v>1</v>
      </c>
      <c r="E795" t="s">
        <v>815</v>
      </c>
      <c r="F795">
        <v>50057346</v>
      </c>
      <c r="G795" t="s">
        <v>207</v>
      </c>
      <c r="H795" t="s">
        <v>833</v>
      </c>
      <c r="I795">
        <v>50</v>
      </c>
      <c r="J795" t="s">
        <v>822</v>
      </c>
      <c r="K795">
        <v>6497309</v>
      </c>
    </row>
    <row r="796" spans="1:11" x14ac:dyDescent="0.2">
      <c r="A796" t="s">
        <v>855</v>
      </c>
      <c r="B796" t="s">
        <v>112</v>
      </c>
      <c r="C796" t="s">
        <v>74</v>
      </c>
      <c r="D796">
        <v>1</v>
      </c>
      <c r="E796" t="s">
        <v>815</v>
      </c>
      <c r="F796">
        <v>10226402</v>
      </c>
      <c r="G796" t="s">
        <v>156</v>
      </c>
      <c r="H796" t="s">
        <v>833</v>
      </c>
      <c r="I796">
        <v>10</v>
      </c>
      <c r="J796" t="s">
        <v>822</v>
      </c>
      <c r="K796">
        <v>6497309</v>
      </c>
    </row>
    <row r="797" spans="1:11" x14ac:dyDescent="0.2">
      <c r="A797" t="s">
        <v>855</v>
      </c>
      <c r="B797" t="s">
        <v>112</v>
      </c>
      <c r="C797" t="s">
        <v>74</v>
      </c>
      <c r="D797">
        <v>1</v>
      </c>
      <c r="E797" t="s">
        <v>815</v>
      </c>
      <c r="F797">
        <v>50066242</v>
      </c>
      <c r="G797" t="s">
        <v>832</v>
      </c>
      <c r="H797" t="s">
        <v>833</v>
      </c>
      <c r="I797">
        <v>12</v>
      </c>
      <c r="J797" t="s">
        <v>822</v>
      </c>
      <c r="K797">
        <v>6497309</v>
      </c>
    </row>
    <row r="798" spans="1:11" x14ac:dyDescent="0.2">
      <c r="A798" t="s">
        <v>855</v>
      </c>
      <c r="B798" t="s">
        <v>112</v>
      </c>
      <c r="C798" t="s">
        <v>74</v>
      </c>
      <c r="D798">
        <v>1</v>
      </c>
      <c r="E798" t="s">
        <v>815</v>
      </c>
      <c r="F798">
        <v>50063718</v>
      </c>
      <c r="G798" t="s">
        <v>201</v>
      </c>
      <c r="H798" t="s">
        <v>833</v>
      </c>
      <c r="I798">
        <v>56</v>
      </c>
      <c r="J798" t="s">
        <v>822</v>
      </c>
      <c r="K798">
        <v>6497309</v>
      </c>
    </row>
    <row r="799" spans="1:11" x14ac:dyDescent="0.2">
      <c r="A799" t="s">
        <v>855</v>
      </c>
      <c r="B799" t="s">
        <v>112</v>
      </c>
      <c r="C799" t="s">
        <v>74</v>
      </c>
      <c r="D799">
        <v>1</v>
      </c>
      <c r="E799" t="s">
        <v>815</v>
      </c>
      <c r="F799">
        <v>50055233</v>
      </c>
      <c r="G799" t="s">
        <v>157</v>
      </c>
      <c r="H799" t="s">
        <v>833</v>
      </c>
      <c r="I799">
        <v>480</v>
      </c>
      <c r="J799" t="s">
        <v>822</v>
      </c>
      <c r="K799">
        <v>6497309</v>
      </c>
    </row>
    <row r="800" spans="1:11" x14ac:dyDescent="0.2">
      <c r="A800" t="s">
        <v>856</v>
      </c>
      <c r="B800" t="s">
        <v>112</v>
      </c>
      <c r="C800" t="s">
        <v>74</v>
      </c>
      <c r="D800">
        <v>1</v>
      </c>
      <c r="E800" t="s">
        <v>815</v>
      </c>
      <c r="F800">
        <v>50063028</v>
      </c>
      <c r="G800" t="s">
        <v>185</v>
      </c>
      <c r="H800" t="s">
        <v>835</v>
      </c>
      <c r="I800">
        <v>132</v>
      </c>
      <c r="J800" t="s">
        <v>822</v>
      </c>
      <c r="K800">
        <v>6498121</v>
      </c>
    </row>
    <row r="801" spans="1:11" x14ac:dyDescent="0.2">
      <c r="A801" t="s">
        <v>856</v>
      </c>
      <c r="B801" t="s">
        <v>112</v>
      </c>
      <c r="C801" t="s">
        <v>74</v>
      </c>
      <c r="D801">
        <v>1</v>
      </c>
      <c r="E801" t="s">
        <v>815</v>
      </c>
      <c r="F801">
        <v>50065260</v>
      </c>
      <c r="G801" t="s">
        <v>199</v>
      </c>
      <c r="H801" t="s">
        <v>835</v>
      </c>
      <c r="I801">
        <v>144</v>
      </c>
      <c r="J801" t="s">
        <v>822</v>
      </c>
      <c r="K801">
        <v>6498121</v>
      </c>
    </row>
    <row r="802" spans="1:11" x14ac:dyDescent="0.2">
      <c r="A802" t="s">
        <v>856</v>
      </c>
      <c r="B802" t="s">
        <v>112</v>
      </c>
      <c r="C802" t="s">
        <v>74</v>
      </c>
      <c r="D802">
        <v>1</v>
      </c>
      <c r="E802" t="s">
        <v>815</v>
      </c>
      <c r="F802">
        <v>10224293</v>
      </c>
      <c r="G802" t="s">
        <v>113</v>
      </c>
      <c r="H802" t="s">
        <v>835</v>
      </c>
      <c r="I802">
        <v>10</v>
      </c>
      <c r="J802" t="s">
        <v>822</v>
      </c>
      <c r="K802">
        <v>6498121</v>
      </c>
    </row>
    <row r="803" spans="1:11" x14ac:dyDescent="0.2">
      <c r="A803" t="s">
        <v>856</v>
      </c>
      <c r="B803" t="s">
        <v>112</v>
      </c>
      <c r="C803" t="s">
        <v>74</v>
      </c>
      <c r="D803">
        <v>1</v>
      </c>
      <c r="E803" t="s">
        <v>815</v>
      </c>
      <c r="F803">
        <v>10226405</v>
      </c>
      <c r="G803" t="s">
        <v>115</v>
      </c>
      <c r="H803" t="s">
        <v>835</v>
      </c>
      <c r="I803">
        <v>100</v>
      </c>
      <c r="J803" t="s">
        <v>822</v>
      </c>
      <c r="K803">
        <v>6498121</v>
      </c>
    </row>
    <row r="804" spans="1:11" x14ac:dyDescent="0.2">
      <c r="A804" t="s">
        <v>856</v>
      </c>
      <c r="B804" t="s">
        <v>112</v>
      </c>
      <c r="C804" t="s">
        <v>74</v>
      </c>
      <c r="D804">
        <v>1</v>
      </c>
      <c r="E804" t="s">
        <v>815</v>
      </c>
      <c r="F804">
        <v>10223657</v>
      </c>
      <c r="G804" t="s">
        <v>116</v>
      </c>
      <c r="H804" t="s">
        <v>835</v>
      </c>
      <c r="I804">
        <v>10</v>
      </c>
      <c r="J804" t="s">
        <v>822</v>
      </c>
      <c r="K804">
        <v>6498121</v>
      </c>
    </row>
    <row r="805" spans="1:11" x14ac:dyDescent="0.2">
      <c r="A805" t="s">
        <v>856</v>
      </c>
      <c r="B805" t="s">
        <v>112</v>
      </c>
      <c r="C805" t="s">
        <v>74</v>
      </c>
      <c r="D805">
        <v>1</v>
      </c>
      <c r="E805" t="s">
        <v>815</v>
      </c>
      <c r="F805">
        <v>10198819</v>
      </c>
      <c r="G805" t="s">
        <v>117</v>
      </c>
      <c r="H805" t="s">
        <v>835</v>
      </c>
      <c r="I805">
        <v>5</v>
      </c>
      <c r="J805" t="s">
        <v>822</v>
      </c>
      <c r="K805">
        <v>6498121</v>
      </c>
    </row>
    <row r="806" spans="1:11" x14ac:dyDescent="0.2">
      <c r="A806" t="s">
        <v>856</v>
      </c>
      <c r="B806" t="s">
        <v>112</v>
      </c>
      <c r="C806" t="s">
        <v>74</v>
      </c>
      <c r="D806">
        <v>1</v>
      </c>
      <c r="E806" t="s">
        <v>815</v>
      </c>
      <c r="F806">
        <v>10226361</v>
      </c>
      <c r="G806" t="s">
        <v>118</v>
      </c>
      <c r="H806" t="s">
        <v>835</v>
      </c>
      <c r="I806">
        <v>5</v>
      </c>
      <c r="J806" t="s">
        <v>822</v>
      </c>
      <c r="K806">
        <v>6498121</v>
      </c>
    </row>
    <row r="807" spans="1:11" x14ac:dyDescent="0.2">
      <c r="A807" t="s">
        <v>856</v>
      </c>
      <c r="B807" t="s">
        <v>112</v>
      </c>
      <c r="C807" t="s">
        <v>74</v>
      </c>
      <c r="D807">
        <v>1</v>
      </c>
      <c r="E807" t="s">
        <v>815</v>
      </c>
      <c r="F807">
        <v>10226415</v>
      </c>
      <c r="G807" t="s">
        <v>119</v>
      </c>
      <c r="H807" t="s">
        <v>835</v>
      </c>
      <c r="I807">
        <v>3</v>
      </c>
      <c r="J807" t="s">
        <v>822</v>
      </c>
      <c r="K807">
        <v>6498121</v>
      </c>
    </row>
    <row r="808" spans="1:11" x14ac:dyDescent="0.2">
      <c r="A808" t="s">
        <v>856</v>
      </c>
      <c r="B808" t="s">
        <v>112</v>
      </c>
      <c r="C808" t="s">
        <v>74</v>
      </c>
      <c r="D808">
        <v>1</v>
      </c>
      <c r="E808" t="s">
        <v>815</v>
      </c>
      <c r="F808">
        <v>10226399</v>
      </c>
      <c r="G808" t="s">
        <v>120</v>
      </c>
      <c r="H808" t="s">
        <v>835</v>
      </c>
      <c r="I808">
        <v>40</v>
      </c>
      <c r="J808" t="s">
        <v>822</v>
      </c>
      <c r="K808">
        <v>6498121</v>
      </c>
    </row>
    <row r="809" spans="1:11" x14ac:dyDescent="0.2">
      <c r="A809" t="s">
        <v>856</v>
      </c>
      <c r="B809" t="s">
        <v>112</v>
      </c>
      <c r="C809" t="s">
        <v>74</v>
      </c>
      <c r="D809">
        <v>1</v>
      </c>
      <c r="E809" t="s">
        <v>815</v>
      </c>
      <c r="F809">
        <v>50994931</v>
      </c>
      <c r="G809" t="s">
        <v>121</v>
      </c>
      <c r="H809" t="s">
        <v>835</v>
      </c>
      <c r="I809">
        <v>528</v>
      </c>
      <c r="J809" t="s">
        <v>822</v>
      </c>
      <c r="K809">
        <v>6498121</v>
      </c>
    </row>
    <row r="810" spans="1:11" x14ac:dyDescent="0.2">
      <c r="A810" t="s">
        <v>856</v>
      </c>
      <c r="B810" t="s">
        <v>112</v>
      </c>
      <c r="C810" t="s">
        <v>74</v>
      </c>
      <c r="D810">
        <v>1</v>
      </c>
      <c r="E810" t="s">
        <v>815</v>
      </c>
      <c r="F810">
        <v>50065408</v>
      </c>
      <c r="G810" t="s">
        <v>186</v>
      </c>
      <c r="H810" t="s">
        <v>835</v>
      </c>
      <c r="I810">
        <v>96</v>
      </c>
      <c r="J810" t="s">
        <v>822</v>
      </c>
      <c r="K810">
        <v>6498121</v>
      </c>
    </row>
    <row r="811" spans="1:11" x14ac:dyDescent="0.2">
      <c r="A811" t="s">
        <v>856</v>
      </c>
      <c r="B811" t="s">
        <v>112</v>
      </c>
      <c r="C811" t="s">
        <v>74</v>
      </c>
      <c r="D811">
        <v>1</v>
      </c>
      <c r="E811" t="s">
        <v>815</v>
      </c>
      <c r="F811">
        <v>50065409</v>
      </c>
      <c r="G811" t="s">
        <v>799</v>
      </c>
      <c r="H811" t="s">
        <v>835</v>
      </c>
      <c r="I811">
        <v>48</v>
      </c>
      <c r="J811" t="s">
        <v>822</v>
      </c>
      <c r="K811">
        <v>6498121</v>
      </c>
    </row>
    <row r="812" spans="1:11" x14ac:dyDescent="0.2">
      <c r="A812" t="s">
        <v>856</v>
      </c>
      <c r="B812" t="s">
        <v>112</v>
      </c>
      <c r="C812" t="s">
        <v>74</v>
      </c>
      <c r="D812">
        <v>1</v>
      </c>
      <c r="E812" t="s">
        <v>815</v>
      </c>
      <c r="F812">
        <v>10242292</v>
      </c>
      <c r="G812" t="s">
        <v>122</v>
      </c>
      <c r="H812" t="s">
        <v>835</v>
      </c>
      <c r="I812">
        <v>40</v>
      </c>
      <c r="J812" t="s">
        <v>822</v>
      </c>
      <c r="K812">
        <v>6498121</v>
      </c>
    </row>
    <row r="813" spans="1:11" x14ac:dyDescent="0.2">
      <c r="A813" t="s">
        <v>856</v>
      </c>
      <c r="B813" t="s">
        <v>112</v>
      </c>
      <c r="C813" t="s">
        <v>74</v>
      </c>
      <c r="D813">
        <v>1</v>
      </c>
      <c r="E813" t="s">
        <v>815</v>
      </c>
      <c r="F813">
        <v>10242293</v>
      </c>
      <c r="G813" t="s">
        <v>123</v>
      </c>
      <c r="H813" t="s">
        <v>835</v>
      </c>
      <c r="I813">
        <v>5</v>
      </c>
      <c r="J813" t="s">
        <v>822</v>
      </c>
      <c r="K813">
        <v>6498121</v>
      </c>
    </row>
    <row r="814" spans="1:11" x14ac:dyDescent="0.2">
      <c r="A814" t="s">
        <v>856</v>
      </c>
      <c r="B814" t="s">
        <v>112</v>
      </c>
      <c r="C814" t="s">
        <v>74</v>
      </c>
      <c r="D814">
        <v>1</v>
      </c>
      <c r="E814" t="s">
        <v>815</v>
      </c>
      <c r="F814">
        <v>50994945</v>
      </c>
      <c r="G814" t="s">
        <v>124</v>
      </c>
      <c r="H814" t="s">
        <v>835</v>
      </c>
      <c r="I814">
        <v>792</v>
      </c>
      <c r="J814" t="s">
        <v>822</v>
      </c>
      <c r="K814">
        <v>6498121</v>
      </c>
    </row>
    <row r="815" spans="1:11" x14ac:dyDescent="0.2">
      <c r="A815" t="s">
        <v>856</v>
      </c>
      <c r="B815" t="s">
        <v>112</v>
      </c>
      <c r="C815" t="s">
        <v>74</v>
      </c>
      <c r="D815">
        <v>1</v>
      </c>
      <c r="E815" t="s">
        <v>815</v>
      </c>
      <c r="F815">
        <v>10247603</v>
      </c>
      <c r="G815" t="s">
        <v>125</v>
      </c>
      <c r="H815" t="s">
        <v>835</v>
      </c>
      <c r="I815">
        <v>30</v>
      </c>
      <c r="J815" t="s">
        <v>822</v>
      </c>
      <c r="K815">
        <v>6498121</v>
      </c>
    </row>
    <row r="816" spans="1:11" x14ac:dyDescent="0.2">
      <c r="A816" t="s">
        <v>856</v>
      </c>
      <c r="B816" t="s">
        <v>112</v>
      </c>
      <c r="C816" t="s">
        <v>74</v>
      </c>
      <c r="D816">
        <v>1</v>
      </c>
      <c r="E816" t="s">
        <v>815</v>
      </c>
      <c r="F816">
        <v>50065401</v>
      </c>
      <c r="G816" t="s">
        <v>800</v>
      </c>
      <c r="H816" t="s">
        <v>835</v>
      </c>
      <c r="I816">
        <v>48</v>
      </c>
      <c r="J816" t="s">
        <v>822</v>
      </c>
      <c r="K816">
        <v>6498121</v>
      </c>
    </row>
    <row r="817" spans="1:11" x14ac:dyDescent="0.2">
      <c r="A817" t="s">
        <v>856</v>
      </c>
      <c r="B817" t="s">
        <v>112</v>
      </c>
      <c r="C817" t="s">
        <v>74</v>
      </c>
      <c r="D817">
        <v>1</v>
      </c>
      <c r="E817" t="s">
        <v>815</v>
      </c>
      <c r="F817">
        <v>50065430</v>
      </c>
      <c r="G817" t="s">
        <v>193</v>
      </c>
      <c r="H817" t="s">
        <v>835</v>
      </c>
      <c r="I817">
        <v>12</v>
      </c>
      <c r="J817" t="s">
        <v>822</v>
      </c>
      <c r="K817">
        <v>6498121</v>
      </c>
    </row>
    <row r="818" spans="1:11" x14ac:dyDescent="0.2">
      <c r="A818" t="s">
        <v>856</v>
      </c>
      <c r="B818" t="s">
        <v>112</v>
      </c>
      <c r="C818" t="s">
        <v>74</v>
      </c>
      <c r="D818">
        <v>1</v>
      </c>
      <c r="E818" t="s">
        <v>815</v>
      </c>
      <c r="F818">
        <v>50065431</v>
      </c>
      <c r="G818" t="s">
        <v>204</v>
      </c>
      <c r="H818" t="s">
        <v>835</v>
      </c>
      <c r="I818">
        <v>12</v>
      </c>
      <c r="J818" t="s">
        <v>822</v>
      </c>
      <c r="K818">
        <v>6498121</v>
      </c>
    </row>
    <row r="819" spans="1:11" x14ac:dyDescent="0.2">
      <c r="A819" t="s">
        <v>856</v>
      </c>
      <c r="B819" t="s">
        <v>112</v>
      </c>
      <c r="C819" t="s">
        <v>74</v>
      </c>
      <c r="D819">
        <v>1</v>
      </c>
      <c r="E819" t="s">
        <v>815</v>
      </c>
      <c r="F819">
        <v>50065432</v>
      </c>
      <c r="G819" t="s">
        <v>205</v>
      </c>
      <c r="H819" t="s">
        <v>835</v>
      </c>
      <c r="I819">
        <v>12</v>
      </c>
      <c r="J819" t="s">
        <v>822</v>
      </c>
      <c r="K819">
        <v>6498121</v>
      </c>
    </row>
    <row r="820" spans="1:11" x14ac:dyDescent="0.2">
      <c r="A820" t="s">
        <v>856</v>
      </c>
      <c r="B820" t="s">
        <v>112</v>
      </c>
      <c r="C820" t="s">
        <v>74</v>
      </c>
      <c r="D820">
        <v>1</v>
      </c>
      <c r="E820" t="s">
        <v>815</v>
      </c>
      <c r="F820">
        <v>10208004</v>
      </c>
      <c r="G820" t="s">
        <v>126</v>
      </c>
      <c r="H820" t="s">
        <v>835</v>
      </c>
      <c r="I820">
        <v>30</v>
      </c>
      <c r="J820" t="s">
        <v>822</v>
      </c>
      <c r="K820">
        <v>6498121</v>
      </c>
    </row>
    <row r="821" spans="1:11" x14ac:dyDescent="0.2">
      <c r="A821" t="s">
        <v>856</v>
      </c>
      <c r="B821" t="s">
        <v>112</v>
      </c>
      <c r="C821" t="s">
        <v>74</v>
      </c>
      <c r="D821">
        <v>1</v>
      </c>
      <c r="E821" t="s">
        <v>815</v>
      </c>
      <c r="F821">
        <v>10208167</v>
      </c>
      <c r="G821" t="s">
        <v>127</v>
      </c>
      <c r="H821" t="s">
        <v>835</v>
      </c>
      <c r="I821">
        <v>10</v>
      </c>
      <c r="J821" t="s">
        <v>822</v>
      </c>
      <c r="K821">
        <v>6498121</v>
      </c>
    </row>
    <row r="822" spans="1:11" x14ac:dyDescent="0.2">
      <c r="A822" t="s">
        <v>856</v>
      </c>
      <c r="B822" t="s">
        <v>112</v>
      </c>
      <c r="C822" t="s">
        <v>74</v>
      </c>
      <c r="D822">
        <v>1</v>
      </c>
      <c r="E822" t="s">
        <v>815</v>
      </c>
      <c r="F822">
        <v>10215610</v>
      </c>
      <c r="G822" t="s">
        <v>128</v>
      </c>
      <c r="H822" t="s">
        <v>835</v>
      </c>
      <c r="I822">
        <v>160</v>
      </c>
      <c r="J822" t="s">
        <v>822</v>
      </c>
      <c r="K822">
        <v>6498121</v>
      </c>
    </row>
    <row r="823" spans="1:11" x14ac:dyDescent="0.2">
      <c r="A823" t="s">
        <v>856</v>
      </c>
      <c r="B823" t="s">
        <v>112</v>
      </c>
      <c r="C823" t="s">
        <v>74</v>
      </c>
      <c r="D823">
        <v>1</v>
      </c>
      <c r="E823" t="s">
        <v>815</v>
      </c>
      <c r="F823">
        <v>10215641</v>
      </c>
      <c r="G823" t="s">
        <v>129</v>
      </c>
      <c r="H823" t="s">
        <v>835</v>
      </c>
      <c r="I823">
        <v>20</v>
      </c>
      <c r="J823" t="s">
        <v>822</v>
      </c>
      <c r="K823">
        <v>6498121</v>
      </c>
    </row>
    <row r="824" spans="1:11" x14ac:dyDescent="0.2">
      <c r="A824" t="s">
        <v>856</v>
      </c>
      <c r="B824" t="s">
        <v>112</v>
      </c>
      <c r="C824" t="s">
        <v>74</v>
      </c>
      <c r="D824">
        <v>1</v>
      </c>
      <c r="E824" t="s">
        <v>815</v>
      </c>
      <c r="F824">
        <v>10223108</v>
      </c>
      <c r="G824" t="s">
        <v>130</v>
      </c>
      <c r="H824" t="s">
        <v>835</v>
      </c>
      <c r="I824">
        <v>20</v>
      </c>
      <c r="J824" t="s">
        <v>822</v>
      </c>
      <c r="K824">
        <v>6498121</v>
      </c>
    </row>
    <row r="825" spans="1:11" x14ac:dyDescent="0.2">
      <c r="A825" t="s">
        <v>856</v>
      </c>
      <c r="B825" t="s">
        <v>112</v>
      </c>
      <c r="C825" t="s">
        <v>74</v>
      </c>
      <c r="D825">
        <v>1</v>
      </c>
      <c r="E825" t="s">
        <v>815</v>
      </c>
      <c r="F825">
        <v>10224472</v>
      </c>
      <c r="G825" t="s">
        <v>131</v>
      </c>
      <c r="H825" t="s">
        <v>835</v>
      </c>
      <c r="I825">
        <v>3</v>
      </c>
      <c r="J825" t="s">
        <v>822</v>
      </c>
      <c r="K825">
        <v>6498121</v>
      </c>
    </row>
    <row r="826" spans="1:11" x14ac:dyDescent="0.2">
      <c r="A826" t="s">
        <v>856</v>
      </c>
      <c r="B826" t="s">
        <v>112</v>
      </c>
      <c r="C826" t="s">
        <v>74</v>
      </c>
      <c r="D826">
        <v>1</v>
      </c>
      <c r="E826" t="s">
        <v>815</v>
      </c>
      <c r="F826">
        <v>10226339</v>
      </c>
      <c r="G826" t="s">
        <v>173</v>
      </c>
      <c r="H826" t="s">
        <v>835</v>
      </c>
      <c r="I826">
        <v>5</v>
      </c>
      <c r="J826" t="s">
        <v>822</v>
      </c>
      <c r="K826">
        <v>6498121</v>
      </c>
    </row>
    <row r="827" spans="1:11" x14ac:dyDescent="0.2">
      <c r="A827" t="s">
        <v>856</v>
      </c>
      <c r="B827" t="s">
        <v>112</v>
      </c>
      <c r="C827" t="s">
        <v>74</v>
      </c>
      <c r="D827">
        <v>1</v>
      </c>
      <c r="E827" t="s">
        <v>815</v>
      </c>
      <c r="F827">
        <v>10226359</v>
      </c>
      <c r="G827" t="s">
        <v>132</v>
      </c>
      <c r="H827" t="s">
        <v>835</v>
      </c>
      <c r="I827">
        <v>5</v>
      </c>
      <c r="J827" t="s">
        <v>822</v>
      </c>
      <c r="K827">
        <v>6498121</v>
      </c>
    </row>
    <row r="828" spans="1:11" x14ac:dyDescent="0.2">
      <c r="A828" t="s">
        <v>856</v>
      </c>
      <c r="B828" t="s">
        <v>112</v>
      </c>
      <c r="C828" t="s">
        <v>74</v>
      </c>
      <c r="D828">
        <v>1</v>
      </c>
      <c r="E828" t="s">
        <v>815</v>
      </c>
      <c r="F828">
        <v>10226367</v>
      </c>
      <c r="G828" t="s">
        <v>133</v>
      </c>
      <c r="H828" t="s">
        <v>835</v>
      </c>
      <c r="I828">
        <v>20</v>
      </c>
      <c r="J828" t="s">
        <v>822</v>
      </c>
      <c r="K828">
        <v>6498121</v>
      </c>
    </row>
    <row r="829" spans="1:11" x14ac:dyDescent="0.2">
      <c r="A829" t="s">
        <v>856</v>
      </c>
      <c r="B829" t="s">
        <v>112</v>
      </c>
      <c r="C829" t="s">
        <v>74</v>
      </c>
      <c r="D829">
        <v>1</v>
      </c>
      <c r="E829" t="s">
        <v>815</v>
      </c>
      <c r="F829">
        <v>10226368</v>
      </c>
      <c r="G829" t="s">
        <v>134</v>
      </c>
      <c r="H829" t="s">
        <v>835</v>
      </c>
      <c r="I829">
        <v>30</v>
      </c>
      <c r="J829" t="s">
        <v>822</v>
      </c>
      <c r="K829">
        <v>6498121</v>
      </c>
    </row>
    <row r="830" spans="1:11" x14ac:dyDescent="0.2">
      <c r="A830" t="s">
        <v>856</v>
      </c>
      <c r="B830" t="s">
        <v>112</v>
      </c>
      <c r="C830" t="s">
        <v>74</v>
      </c>
      <c r="D830">
        <v>1</v>
      </c>
      <c r="E830" t="s">
        <v>815</v>
      </c>
      <c r="F830">
        <v>10226373</v>
      </c>
      <c r="G830" t="s">
        <v>135</v>
      </c>
      <c r="H830" t="s">
        <v>835</v>
      </c>
      <c r="I830">
        <v>80</v>
      </c>
      <c r="J830" t="s">
        <v>822</v>
      </c>
      <c r="K830">
        <v>6498121</v>
      </c>
    </row>
    <row r="831" spans="1:11" x14ac:dyDescent="0.2">
      <c r="A831" t="s">
        <v>856</v>
      </c>
      <c r="B831" t="s">
        <v>112</v>
      </c>
      <c r="C831" t="s">
        <v>74</v>
      </c>
      <c r="D831">
        <v>1</v>
      </c>
      <c r="E831" t="s">
        <v>815</v>
      </c>
      <c r="F831">
        <v>10226377</v>
      </c>
      <c r="G831" t="s">
        <v>136</v>
      </c>
      <c r="H831" t="s">
        <v>835</v>
      </c>
      <c r="I831">
        <v>3</v>
      </c>
      <c r="J831" t="s">
        <v>822</v>
      </c>
      <c r="K831">
        <v>6498121</v>
      </c>
    </row>
    <row r="832" spans="1:11" x14ac:dyDescent="0.2">
      <c r="A832" t="s">
        <v>856</v>
      </c>
      <c r="B832" t="s">
        <v>112</v>
      </c>
      <c r="C832" t="s">
        <v>74</v>
      </c>
      <c r="D832">
        <v>1</v>
      </c>
      <c r="E832" t="s">
        <v>815</v>
      </c>
      <c r="F832">
        <v>10226385</v>
      </c>
      <c r="G832" t="s">
        <v>137</v>
      </c>
      <c r="H832" t="s">
        <v>835</v>
      </c>
      <c r="I832">
        <v>1</v>
      </c>
      <c r="J832" t="s">
        <v>822</v>
      </c>
      <c r="K832">
        <v>6498121</v>
      </c>
    </row>
    <row r="833" spans="1:11" x14ac:dyDescent="0.2">
      <c r="A833" t="s">
        <v>856</v>
      </c>
      <c r="B833" t="s">
        <v>112</v>
      </c>
      <c r="C833" t="s">
        <v>74</v>
      </c>
      <c r="D833">
        <v>1</v>
      </c>
      <c r="E833" t="s">
        <v>815</v>
      </c>
      <c r="F833">
        <v>10226388</v>
      </c>
      <c r="G833" t="s">
        <v>138</v>
      </c>
      <c r="H833" t="s">
        <v>835</v>
      </c>
      <c r="I833">
        <v>10</v>
      </c>
      <c r="J833" t="s">
        <v>822</v>
      </c>
      <c r="K833">
        <v>6498121</v>
      </c>
    </row>
    <row r="834" spans="1:11" x14ac:dyDescent="0.2">
      <c r="A834" t="s">
        <v>856</v>
      </c>
      <c r="B834" t="s">
        <v>112</v>
      </c>
      <c r="C834" t="s">
        <v>74</v>
      </c>
      <c r="D834">
        <v>1</v>
      </c>
      <c r="E834" t="s">
        <v>815</v>
      </c>
      <c r="F834">
        <v>10226392</v>
      </c>
      <c r="G834" t="s">
        <v>139</v>
      </c>
      <c r="H834" t="s">
        <v>835</v>
      </c>
      <c r="I834">
        <v>5</v>
      </c>
      <c r="J834" t="s">
        <v>822</v>
      </c>
      <c r="K834">
        <v>6498121</v>
      </c>
    </row>
    <row r="835" spans="1:11" x14ac:dyDescent="0.2">
      <c r="A835" t="s">
        <v>856</v>
      </c>
      <c r="B835" t="s">
        <v>112</v>
      </c>
      <c r="C835" t="s">
        <v>74</v>
      </c>
      <c r="D835">
        <v>1</v>
      </c>
      <c r="E835" t="s">
        <v>815</v>
      </c>
      <c r="F835">
        <v>10226398</v>
      </c>
      <c r="G835" t="s">
        <v>140</v>
      </c>
      <c r="H835" t="s">
        <v>835</v>
      </c>
      <c r="I835">
        <v>20</v>
      </c>
      <c r="J835" t="s">
        <v>822</v>
      </c>
      <c r="K835">
        <v>6498121</v>
      </c>
    </row>
    <row r="836" spans="1:11" x14ac:dyDescent="0.2">
      <c r="A836" t="s">
        <v>856</v>
      </c>
      <c r="B836" t="s">
        <v>112</v>
      </c>
      <c r="C836" t="s">
        <v>74</v>
      </c>
      <c r="D836">
        <v>1</v>
      </c>
      <c r="E836" t="s">
        <v>815</v>
      </c>
      <c r="F836">
        <v>10226403</v>
      </c>
      <c r="G836" t="s">
        <v>141</v>
      </c>
      <c r="H836" t="s">
        <v>835</v>
      </c>
      <c r="I836">
        <v>15</v>
      </c>
      <c r="J836" t="s">
        <v>822</v>
      </c>
      <c r="K836">
        <v>6498121</v>
      </c>
    </row>
    <row r="837" spans="1:11" x14ac:dyDescent="0.2">
      <c r="A837" t="s">
        <v>856</v>
      </c>
      <c r="B837" t="s">
        <v>112</v>
      </c>
      <c r="C837" t="s">
        <v>74</v>
      </c>
      <c r="D837">
        <v>1</v>
      </c>
      <c r="E837" t="s">
        <v>815</v>
      </c>
      <c r="F837">
        <v>10226410</v>
      </c>
      <c r="G837" t="s">
        <v>142</v>
      </c>
      <c r="H837" t="s">
        <v>835</v>
      </c>
      <c r="I837">
        <v>3</v>
      </c>
      <c r="J837" t="s">
        <v>822</v>
      </c>
      <c r="K837">
        <v>6498121</v>
      </c>
    </row>
    <row r="838" spans="1:11" x14ac:dyDescent="0.2">
      <c r="A838" t="s">
        <v>856</v>
      </c>
      <c r="B838" t="s">
        <v>112</v>
      </c>
      <c r="C838" t="s">
        <v>74</v>
      </c>
      <c r="D838">
        <v>1</v>
      </c>
      <c r="E838" t="s">
        <v>815</v>
      </c>
      <c r="F838">
        <v>10226417</v>
      </c>
      <c r="G838" t="s">
        <v>143</v>
      </c>
      <c r="H838" t="s">
        <v>835</v>
      </c>
      <c r="I838">
        <v>70</v>
      </c>
      <c r="J838" t="s">
        <v>822</v>
      </c>
      <c r="K838">
        <v>6498121</v>
      </c>
    </row>
    <row r="839" spans="1:11" x14ac:dyDescent="0.2">
      <c r="A839" t="s">
        <v>856</v>
      </c>
      <c r="B839" t="s">
        <v>112</v>
      </c>
      <c r="C839" t="s">
        <v>74</v>
      </c>
      <c r="D839">
        <v>1</v>
      </c>
      <c r="E839" t="s">
        <v>815</v>
      </c>
      <c r="F839">
        <v>10226418</v>
      </c>
      <c r="G839" t="s">
        <v>144</v>
      </c>
      <c r="H839" t="s">
        <v>835</v>
      </c>
      <c r="I839">
        <v>4</v>
      </c>
      <c r="J839" t="s">
        <v>822</v>
      </c>
      <c r="K839">
        <v>6498121</v>
      </c>
    </row>
    <row r="840" spans="1:11" x14ac:dyDescent="0.2">
      <c r="A840" t="s">
        <v>856</v>
      </c>
      <c r="B840" t="s">
        <v>112</v>
      </c>
      <c r="C840" t="s">
        <v>74</v>
      </c>
      <c r="D840">
        <v>1</v>
      </c>
      <c r="E840" t="s">
        <v>815</v>
      </c>
      <c r="F840">
        <v>10226422</v>
      </c>
      <c r="G840" t="s">
        <v>162</v>
      </c>
      <c r="H840" t="s">
        <v>835</v>
      </c>
      <c r="I840">
        <v>10</v>
      </c>
      <c r="J840" t="s">
        <v>822</v>
      </c>
      <c r="K840">
        <v>6498121</v>
      </c>
    </row>
    <row r="841" spans="1:11" x14ac:dyDescent="0.2">
      <c r="A841" t="s">
        <v>856</v>
      </c>
      <c r="B841" t="s">
        <v>112</v>
      </c>
      <c r="C841" t="s">
        <v>74</v>
      </c>
      <c r="D841">
        <v>1</v>
      </c>
      <c r="E841" t="s">
        <v>815</v>
      </c>
      <c r="F841">
        <v>10226425</v>
      </c>
      <c r="G841" t="s">
        <v>145</v>
      </c>
      <c r="H841" t="s">
        <v>835</v>
      </c>
      <c r="I841">
        <v>10</v>
      </c>
      <c r="J841" t="s">
        <v>822</v>
      </c>
      <c r="K841">
        <v>6498121</v>
      </c>
    </row>
    <row r="842" spans="1:11" x14ac:dyDescent="0.2">
      <c r="A842" t="s">
        <v>856</v>
      </c>
      <c r="B842" t="s">
        <v>112</v>
      </c>
      <c r="C842" t="s">
        <v>74</v>
      </c>
      <c r="D842">
        <v>1</v>
      </c>
      <c r="E842" t="s">
        <v>815</v>
      </c>
      <c r="F842">
        <v>10226428</v>
      </c>
      <c r="G842" t="s">
        <v>146</v>
      </c>
      <c r="H842" t="s">
        <v>835</v>
      </c>
      <c r="I842">
        <v>3</v>
      </c>
      <c r="J842" t="s">
        <v>822</v>
      </c>
      <c r="K842">
        <v>6498121</v>
      </c>
    </row>
    <row r="843" spans="1:11" x14ac:dyDescent="0.2">
      <c r="A843" t="s">
        <v>856</v>
      </c>
      <c r="B843" t="s">
        <v>112</v>
      </c>
      <c r="C843" t="s">
        <v>74</v>
      </c>
      <c r="D843">
        <v>1</v>
      </c>
      <c r="E843" t="s">
        <v>815</v>
      </c>
      <c r="F843">
        <v>10226429</v>
      </c>
      <c r="G843" t="s">
        <v>147</v>
      </c>
      <c r="H843" t="s">
        <v>835</v>
      </c>
      <c r="I843">
        <v>50</v>
      </c>
      <c r="J843" t="s">
        <v>822</v>
      </c>
      <c r="K843">
        <v>6498121</v>
      </c>
    </row>
    <row r="844" spans="1:11" x14ac:dyDescent="0.2">
      <c r="A844" t="s">
        <v>856</v>
      </c>
      <c r="B844" t="s">
        <v>112</v>
      </c>
      <c r="C844" t="s">
        <v>74</v>
      </c>
      <c r="D844">
        <v>1</v>
      </c>
      <c r="E844" t="s">
        <v>815</v>
      </c>
      <c r="F844">
        <v>10226435</v>
      </c>
      <c r="G844" t="s">
        <v>148</v>
      </c>
      <c r="H844" t="s">
        <v>835</v>
      </c>
      <c r="I844">
        <v>4</v>
      </c>
      <c r="J844" t="s">
        <v>822</v>
      </c>
      <c r="K844">
        <v>6498121</v>
      </c>
    </row>
    <row r="845" spans="1:11" x14ac:dyDescent="0.2">
      <c r="A845" t="s">
        <v>856</v>
      </c>
      <c r="B845" t="s">
        <v>112</v>
      </c>
      <c r="C845" t="s">
        <v>74</v>
      </c>
      <c r="D845">
        <v>1</v>
      </c>
      <c r="E845" t="s">
        <v>815</v>
      </c>
      <c r="F845">
        <v>10226442</v>
      </c>
      <c r="G845" t="s">
        <v>149</v>
      </c>
      <c r="H845" t="s">
        <v>835</v>
      </c>
      <c r="I845">
        <v>1</v>
      </c>
      <c r="J845" t="s">
        <v>822</v>
      </c>
      <c r="K845">
        <v>6498121</v>
      </c>
    </row>
    <row r="846" spans="1:11" x14ac:dyDescent="0.2">
      <c r="A846" t="s">
        <v>856</v>
      </c>
      <c r="B846" t="s">
        <v>112</v>
      </c>
      <c r="C846" t="s">
        <v>74</v>
      </c>
      <c r="D846">
        <v>1</v>
      </c>
      <c r="E846" t="s">
        <v>815</v>
      </c>
      <c r="F846">
        <v>10226447</v>
      </c>
      <c r="G846" t="s">
        <v>150</v>
      </c>
      <c r="H846" t="s">
        <v>835</v>
      </c>
      <c r="I846">
        <v>5</v>
      </c>
      <c r="J846" t="s">
        <v>822</v>
      </c>
      <c r="K846">
        <v>6498121</v>
      </c>
    </row>
    <row r="847" spans="1:11" x14ac:dyDescent="0.2">
      <c r="A847" t="s">
        <v>856</v>
      </c>
      <c r="B847" t="s">
        <v>112</v>
      </c>
      <c r="C847" t="s">
        <v>74</v>
      </c>
      <c r="D847">
        <v>1</v>
      </c>
      <c r="E847" t="s">
        <v>815</v>
      </c>
      <c r="F847">
        <v>10226452</v>
      </c>
      <c r="G847" t="s">
        <v>151</v>
      </c>
      <c r="H847" t="s">
        <v>835</v>
      </c>
      <c r="I847">
        <v>10</v>
      </c>
      <c r="J847" t="s">
        <v>822</v>
      </c>
      <c r="K847">
        <v>6498121</v>
      </c>
    </row>
    <row r="848" spans="1:11" x14ac:dyDescent="0.2">
      <c r="A848" t="s">
        <v>856</v>
      </c>
      <c r="B848" t="s">
        <v>112</v>
      </c>
      <c r="C848" t="s">
        <v>74</v>
      </c>
      <c r="D848">
        <v>1</v>
      </c>
      <c r="E848" t="s">
        <v>815</v>
      </c>
      <c r="F848">
        <v>10226454</v>
      </c>
      <c r="G848" t="s">
        <v>152</v>
      </c>
      <c r="H848" t="s">
        <v>835</v>
      </c>
      <c r="I848">
        <v>50</v>
      </c>
      <c r="J848" t="s">
        <v>822</v>
      </c>
      <c r="K848">
        <v>6498121</v>
      </c>
    </row>
    <row r="849" spans="1:11" x14ac:dyDescent="0.2">
      <c r="A849" t="s">
        <v>856</v>
      </c>
      <c r="B849" t="s">
        <v>112</v>
      </c>
      <c r="C849" t="s">
        <v>74</v>
      </c>
      <c r="D849">
        <v>1</v>
      </c>
      <c r="E849" t="s">
        <v>815</v>
      </c>
      <c r="F849">
        <v>10226455</v>
      </c>
      <c r="G849" t="s">
        <v>164</v>
      </c>
      <c r="H849" t="s">
        <v>835</v>
      </c>
      <c r="I849">
        <v>5</v>
      </c>
      <c r="J849" t="s">
        <v>822</v>
      </c>
      <c r="K849">
        <v>6498121</v>
      </c>
    </row>
    <row r="850" spans="1:11" x14ac:dyDescent="0.2">
      <c r="A850" t="s">
        <v>856</v>
      </c>
      <c r="B850" t="s">
        <v>112</v>
      </c>
      <c r="C850" t="s">
        <v>74</v>
      </c>
      <c r="D850">
        <v>1</v>
      </c>
      <c r="E850" t="s">
        <v>815</v>
      </c>
      <c r="F850">
        <v>10230675</v>
      </c>
      <c r="G850" t="s">
        <v>165</v>
      </c>
      <c r="H850" t="s">
        <v>835</v>
      </c>
      <c r="I850">
        <v>5.85</v>
      </c>
      <c r="J850" t="s">
        <v>822</v>
      </c>
      <c r="K850">
        <v>6498121</v>
      </c>
    </row>
    <row r="851" spans="1:11" x14ac:dyDescent="0.2">
      <c r="A851" t="s">
        <v>856</v>
      </c>
      <c r="B851" t="s">
        <v>112</v>
      </c>
      <c r="C851" t="s">
        <v>74</v>
      </c>
      <c r="D851">
        <v>1</v>
      </c>
      <c r="E851" t="s">
        <v>815</v>
      </c>
      <c r="F851">
        <v>10231474</v>
      </c>
      <c r="G851" t="s">
        <v>176</v>
      </c>
      <c r="H851" t="s">
        <v>835</v>
      </c>
      <c r="I851">
        <v>2</v>
      </c>
      <c r="J851" t="s">
        <v>822</v>
      </c>
      <c r="K851">
        <v>6498121</v>
      </c>
    </row>
    <row r="852" spans="1:11" x14ac:dyDescent="0.2">
      <c r="A852" t="s">
        <v>856</v>
      </c>
      <c r="B852" t="s">
        <v>112</v>
      </c>
      <c r="C852" t="s">
        <v>74</v>
      </c>
      <c r="D852">
        <v>1</v>
      </c>
      <c r="E852" t="s">
        <v>815</v>
      </c>
      <c r="F852">
        <v>10231475</v>
      </c>
      <c r="G852" t="s">
        <v>177</v>
      </c>
      <c r="H852" t="s">
        <v>835</v>
      </c>
      <c r="I852">
        <v>2</v>
      </c>
      <c r="J852" t="s">
        <v>822</v>
      </c>
      <c r="K852">
        <v>6498121</v>
      </c>
    </row>
    <row r="853" spans="1:11" x14ac:dyDescent="0.2">
      <c r="A853" t="s">
        <v>856</v>
      </c>
      <c r="B853" t="s">
        <v>112</v>
      </c>
      <c r="C853" t="s">
        <v>74</v>
      </c>
      <c r="D853">
        <v>1</v>
      </c>
      <c r="E853" t="s">
        <v>815</v>
      </c>
      <c r="F853">
        <v>10231484</v>
      </c>
      <c r="G853" t="s">
        <v>166</v>
      </c>
      <c r="H853" t="s">
        <v>835</v>
      </c>
      <c r="I853">
        <v>2</v>
      </c>
      <c r="J853" t="s">
        <v>822</v>
      </c>
      <c r="K853">
        <v>6498121</v>
      </c>
    </row>
    <row r="854" spans="1:11" x14ac:dyDescent="0.2">
      <c r="A854" t="s">
        <v>856</v>
      </c>
      <c r="B854" t="s">
        <v>112</v>
      </c>
      <c r="C854" t="s">
        <v>74</v>
      </c>
      <c r="D854">
        <v>1</v>
      </c>
      <c r="E854" t="s">
        <v>815</v>
      </c>
      <c r="F854">
        <v>50066125</v>
      </c>
      <c r="G854" t="s">
        <v>167</v>
      </c>
      <c r="H854" t="s">
        <v>835</v>
      </c>
      <c r="I854">
        <v>24</v>
      </c>
      <c r="J854" t="s">
        <v>822</v>
      </c>
      <c r="K854">
        <v>6498121</v>
      </c>
    </row>
    <row r="855" spans="1:11" x14ac:dyDescent="0.2">
      <c r="A855" t="s">
        <v>856</v>
      </c>
      <c r="B855" t="s">
        <v>112</v>
      </c>
      <c r="C855" t="s">
        <v>74</v>
      </c>
      <c r="D855">
        <v>1</v>
      </c>
      <c r="E855" t="s">
        <v>815</v>
      </c>
      <c r="F855">
        <v>50066133</v>
      </c>
      <c r="G855" t="s">
        <v>168</v>
      </c>
      <c r="H855" t="s">
        <v>835</v>
      </c>
      <c r="I855">
        <v>24</v>
      </c>
      <c r="J855" t="s">
        <v>822</v>
      </c>
      <c r="K855">
        <v>6498121</v>
      </c>
    </row>
    <row r="856" spans="1:11" x14ac:dyDescent="0.2">
      <c r="A856" t="s">
        <v>856</v>
      </c>
      <c r="B856" t="s">
        <v>112</v>
      </c>
      <c r="C856" t="s">
        <v>74</v>
      </c>
      <c r="D856">
        <v>1</v>
      </c>
      <c r="E856" t="s">
        <v>815</v>
      </c>
      <c r="F856">
        <v>50066135</v>
      </c>
      <c r="G856" t="s">
        <v>178</v>
      </c>
      <c r="H856" t="s">
        <v>835</v>
      </c>
      <c r="I856">
        <v>24</v>
      </c>
      <c r="J856" t="s">
        <v>822</v>
      </c>
      <c r="K856">
        <v>6498121</v>
      </c>
    </row>
    <row r="857" spans="1:11" x14ac:dyDescent="0.2">
      <c r="A857" t="s">
        <v>856</v>
      </c>
      <c r="B857" t="s">
        <v>112</v>
      </c>
      <c r="C857" t="s">
        <v>74</v>
      </c>
      <c r="D857">
        <v>1</v>
      </c>
      <c r="E857" t="s">
        <v>815</v>
      </c>
      <c r="F857">
        <v>50066993</v>
      </c>
      <c r="G857" t="s">
        <v>206</v>
      </c>
      <c r="H857" t="s">
        <v>835</v>
      </c>
      <c r="I857">
        <v>144</v>
      </c>
      <c r="J857" t="s">
        <v>822</v>
      </c>
      <c r="K857">
        <v>6498121</v>
      </c>
    </row>
    <row r="858" spans="1:11" x14ac:dyDescent="0.2">
      <c r="A858" t="s">
        <v>856</v>
      </c>
      <c r="B858" t="s">
        <v>112</v>
      </c>
      <c r="C858" t="s">
        <v>74</v>
      </c>
      <c r="D858">
        <v>1</v>
      </c>
      <c r="E858" t="s">
        <v>815</v>
      </c>
      <c r="F858">
        <v>50067217</v>
      </c>
      <c r="G858" t="s">
        <v>215</v>
      </c>
      <c r="H858" t="s">
        <v>835</v>
      </c>
      <c r="I858">
        <v>0.08</v>
      </c>
      <c r="J858" t="s">
        <v>822</v>
      </c>
      <c r="K858">
        <v>6498121</v>
      </c>
    </row>
    <row r="859" spans="1:11" x14ac:dyDescent="0.2">
      <c r="A859" t="s">
        <v>856</v>
      </c>
      <c r="B859" t="s">
        <v>112</v>
      </c>
      <c r="C859" t="s">
        <v>74</v>
      </c>
      <c r="D859">
        <v>1</v>
      </c>
      <c r="E859" t="s">
        <v>815</v>
      </c>
      <c r="F859">
        <v>10226402</v>
      </c>
      <c r="G859" t="s">
        <v>156</v>
      </c>
      <c r="H859" t="s">
        <v>835</v>
      </c>
      <c r="I859">
        <v>10</v>
      </c>
      <c r="J859" t="s">
        <v>822</v>
      </c>
      <c r="K859">
        <v>6498121</v>
      </c>
    </row>
    <row r="860" spans="1:11" x14ac:dyDescent="0.2">
      <c r="A860" t="s">
        <v>856</v>
      </c>
      <c r="B860" t="s">
        <v>112</v>
      </c>
      <c r="C860" t="s">
        <v>74</v>
      </c>
      <c r="D860">
        <v>1</v>
      </c>
      <c r="E860" t="s">
        <v>815</v>
      </c>
      <c r="F860">
        <v>50062495</v>
      </c>
      <c r="G860" t="s">
        <v>801</v>
      </c>
      <c r="H860" t="s">
        <v>835</v>
      </c>
      <c r="I860">
        <v>72</v>
      </c>
      <c r="J860" t="s">
        <v>822</v>
      </c>
      <c r="K860">
        <v>6498121</v>
      </c>
    </row>
    <row r="861" spans="1:11" x14ac:dyDescent="0.2">
      <c r="A861" t="s">
        <v>856</v>
      </c>
      <c r="B861" t="s">
        <v>112</v>
      </c>
      <c r="C861" t="s">
        <v>74</v>
      </c>
      <c r="D861">
        <v>1</v>
      </c>
      <c r="E861" t="s">
        <v>815</v>
      </c>
      <c r="F861">
        <v>50055233</v>
      </c>
      <c r="G861" t="s">
        <v>157</v>
      </c>
      <c r="H861" t="s">
        <v>835</v>
      </c>
      <c r="I861">
        <v>960</v>
      </c>
      <c r="J861" t="s">
        <v>822</v>
      </c>
      <c r="K861">
        <v>6498121</v>
      </c>
    </row>
    <row r="862" spans="1:11" x14ac:dyDescent="0.2">
      <c r="A862" t="s">
        <v>857</v>
      </c>
      <c r="B862" t="s">
        <v>112</v>
      </c>
      <c r="C862" t="s">
        <v>74</v>
      </c>
      <c r="D862">
        <v>1</v>
      </c>
      <c r="E862" t="s">
        <v>815</v>
      </c>
      <c r="F862">
        <v>10215610</v>
      </c>
      <c r="G862" t="s">
        <v>128</v>
      </c>
      <c r="H862" t="s">
        <v>836</v>
      </c>
      <c r="I862">
        <v>20</v>
      </c>
      <c r="J862" t="s">
        <v>819</v>
      </c>
      <c r="K862">
        <v>6498113</v>
      </c>
    </row>
    <row r="863" spans="1:11" x14ac:dyDescent="0.2">
      <c r="A863" t="s">
        <v>857</v>
      </c>
      <c r="B863" t="s">
        <v>112</v>
      </c>
      <c r="C863" t="s">
        <v>74</v>
      </c>
      <c r="D863">
        <v>1</v>
      </c>
      <c r="E863" t="s">
        <v>815</v>
      </c>
      <c r="F863">
        <v>10226377</v>
      </c>
      <c r="G863" t="s">
        <v>136</v>
      </c>
      <c r="H863" t="s">
        <v>836</v>
      </c>
      <c r="I863">
        <v>0.6</v>
      </c>
      <c r="J863" t="s">
        <v>819</v>
      </c>
      <c r="K863">
        <v>6498113</v>
      </c>
    </row>
    <row r="864" spans="1:11" x14ac:dyDescent="0.2">
      <c r="A864" t="s">
        <v>857</v>
      </c>
      <c r="B864" t="s">
        <v>112</v>
      </c>
      <c r="C864" t="s">
        <v>74</v>
      </c>
      <c r="D864">
        <v>1</v>
      </c>
      <c r="E864" t="s">
        <v>815</v>
      </c>
      <c r="F864">
        <v>10226429</v>
      </c>
      <c r="G864" t="s">
        <v>147</v>
      </c>
      <c r="H864" t="s">
        <v>836</v>
      </c>
      <c r="I864">
        <v>10</v>
      </c>
      <c r="J864" t="s">
        <v>819</v>
      </c>
      <c r="K864">
        <v>6498113</v>
      </c>
    </row>
    <row r="865" spans="1:11" x14ac:dyDescent="0.2">
      <c r="A865" t="s">
        <v>857</v>
      </c>
      <c r="B865" t="s">
        <v>112</v>
      </c>
      <c r="C865" t="s">
        <v>74</v>
      </c>
      <c r="D865">
        <v>1</v>
      </c>
      <c r="E865" t="s">
        <v>815</v>
      </c>
      <c r="F865">
        <v>10230675</v>
      </c>
      <c r="G865" t="s">
        <v>165</v>
      </c>
      <c r="H865" t="s">
        <v>836</v>
      </c>
      <c r="I865">
        <v>2.9249999999999998</v>
      </c>
      <c r="J865" t="s">
        <v>819</v>
      </c>
      <c r="K865">
        <v>6498113</v>
      </c>
    </row>
    <row r="866" spans="1:11" x14ac:dyDescent="0.2">
      <c r="A866" t="s">
        <v>857</v>
      </c>
      <c r="B866" t="s">
        <v>112</v>
      </c>
      <c r="C866" t="s">
        <v>74</v>
      </c>
      <c r="D866">
        <v>1</v>
      </c>
      <c r="E866" t="s">
        <v>815</v>
      </c>
      <c r="F866">
        <v>50066820</v>
      </c>
      <c r="G866" t="s">
        <v>194</v>
      </c>
      <c r="H866" t="s">
        <v>836</v>
      </c>
      <c r="I866">
        <v>144</v>
      </c>
      <c r="J866" t="s">
        <v>819</v>
      </c>
      <c r="K866">
        <v>6498113</v>
      </c>
    </row>
    <row r="867" spans="1:11" x14ac:dyDescent="0.2">
      <c r="A867" t="s">
        <v>858</v>
      </c>
      <c r="B867" t="s">
        <v>112</v>
      </c>
      <c r="C867" t="s">
        <v>74</v>
      </c>
      <c r="D867">
        <v>1</v>
      </c>
      <c r="E867" t="s">
        <v>815</v>
      </c>
      <c r="F867">
        <v>50994945</v>
      </c>
      <c r="G867" t="s">
        <v>124</v>
      </c>
      <c r="H867" t="s">
        <v>821</v>
      </c>
      <c r="I867">
        <v>12</v>
      </c>
      <c r="J867" t="s">
        <v>829</v>
      </c>
      <c r="K867">
        <v>6497509</v>
      </c>
    </row>
    <row r="868" spans="1:11" x14ac:dyDescent="0.2">
      <c r="A868" t="s">
        <v>858</v>
      </c>
      <c r="B868" t="s">
        <v>112</v>
      </c>
      <c r="C868" t="s">
        <v>74</v>
      </c>
      <c r="D868">
        <v>1</v>
      </c>
      <c r="E868" t="s">
        <v>815</v>
      </c>
      <c r="F868">
        <v>10208004</v>
      </c>
      <c r="G868" t="s">
        <v>126</v>
      </c>
      <c r="H868" t="s">
        <v>821</v>
      </c>
      <c r="I868">
        <v>0.8</v>
      </c>
      <c r="J868" t="s">
        <v>829</v>
      </c>
      <c r="K868">
        <v>6497509</v>
      </c>
    </row>
    <row r="869" spans="1:11" x14ac:dyDescent="0.2">
      <c r="A869" t="s">
        <v>858</v>
      </c>
      <c r="B869" t="s">
        <v>112</v>
      </c>
      <c r="C869" t="s">
        <v>74</v>
      </c>
      <c r="D869">
        <v>1</v>
      </c>
      <c r="E869" t="s">
        <v>815</v>
      </c>
      <c r="F869">
        <v>50067522</v>
      </c>
      <c r="G869" t="s">
        <v>814</v>
      </c>
      <c r="H869" t="s">
        <v>821</v>
      </c>
      <c r="I869">
        <v>12</v>
      </c>
      <c r="J869" t="s">
        <v>829</v>
      </c>
      <c r="K869">
        <v>6497509</v>
      </c>
    </row>
    <row r="870" spans="1:11" x14ac:dyDescent="0.2">
      <c r="A870" t="s">
        <v>858</v>
      </c>
      <c r="B870" t="s">
        <v>112</v>
      </c>
      <c r="C870" t="s">
        <v>74</v>
      </c>
      <c r="D870">
        <v>1</v>
      </c>
      <c r="E870" t="s">
        <v>815</v>
      </c>
      <c r="F870">
        <v>50067531</v>
      </c>
      <c r="G870" t="s">
        <v>804</v>
      </c>
      <c r="H870" t="s">
        <v>821</v>
      </c>
      <c r="I870">
        <v>12</v>
      </c>
      <c r="J870" t="s">
        <v>829</v>
      </c>
      <c r="K870">
        <v>6497509</v>
      </c>
    </row>
    <row r="871" spans="1:11" x14ac:dyDescent="0.2">
      <c r="A871" t="s">
        <v>905</v>
      </c>
      <c r="B871" t="s">
        <v>112</v>
      </c>
      <c r="C871" t="s">
        <v>74</v>
      </c>
      <c r="D871">
        <v>1</v>
      </c>
      <c r="E871" t="s">
        <v>815</v>
      </c>
      <c r="F871">
        <v>10189150</v>
      </c>
      <c r="G871" t="s">
        <v>904</v>
      </c>
      <c r="H871" t="s">
        <v>158</v>
      </c>
      <c r="I871">
        <v>0.2</v>
      </c>
      <c r="J871" t="s">
        <v>823</v>
      </c>
      <c r="K871">
        <v>6498037</v>
      </c>
    </row>
    <row r="872" spans="1:11" x14ac:dyDescent="0.2">
      <c r="A872" t="s">
        <v>905</v>
      </c>
      <c r="B872" t="s">
        <v>112</v>
      </c>
      <c r="C872" t="s">
        <v>74</v>
      </c>
      <c r="D872">
        <v>1</v>
      </c>
      <c r="E872" t="s">
        <v>815</v>
      </c>
      <c r="F872">
        <v>10224293</v>
      </c>
      <c r="G872" t="s">
        <v>113</v>
      </c>
      <c r="H872" t="s">
        <v>158</v>
      </c>
      <c r="I872">
        <v>1.4</v>
      </c>
      <c r="J872" t="s">
        <v>823</v>
      </c>
      <c r="K872">
        <v>6498037</v>
      </c>
    </row>
    <row r="873" spans="1:11" x14ac:dyDescent="0.2">
      <c r="A873" t="s">
        <v>905</v>
      </c>
      <c r="B873" t="s">
        <v>112</v>
      </c>
      <c r="C873" t="s">
        <v>74</v>
      </c>
      <c r="D873">
        <v>1</v>
      </c>
      <c r="E873" t="s">
        <v>815</v>
      </c>
      <c r="F873">
        <v>10226405</v>
      </c>
      <c r="G873" t="s">
        <v>115</v>
      </c>
      <c r="H873" t="s">
        <v>158</v>
      </c>
      <c r="I873">
        <v>16.2</v>
      </c>
      <c r="J873" t="s">
        <v>823</v>
      </c>
      <c r="K873">
        <v>6498037</v>
      </c>
    </row>
    <row r="874" spans="1:11" x14ac:dyDescent="0.2">
      <c r="A874" t="s">
        <v>905</v>
      </c>
      <c r="B874" t="s">
        <v>112</v>
      </c>
      <c r="C874" t="s">
        <v>74</v>
      </c>
      <c r="D874">
        <v>1</v>
      </c>
      <c r="E874" t="s">
        <v>815</v>
      </c>
      <c r="F874">
        <v>10223657</v>
      </c>
      <c r="G874" t="s">
        <v>116</v>
      </c>
      <c r="H874" t="s">
        <v>158</v>
      </c>
      <c r="I874">
        <v>2.8</v>
      </c>
      <c r="J874" t="s">
        <v>823</v>
      </c>
      <c r="K874">
        <v>6498037</v>
      </c>
    </row>
    <row r="875" spans="1:11" x14ac:dyDescent="0.2">
      <c r="A875" t="s">
        <v>905</v>
      </c>
      <c r="B875" t="s">
        <v>112</v>
      </c>
      <c r="C875" t="s">
        <v>74</v>
      </c>
      <c r="D875">
        <v>1</v>
      </c>
      <c r="E875" t="s">
        <v>815</v>
      </c>
      <c r="F875">
        <v>10198819</v>
      </c>
      <c r="G875" t="s">
        <v>117</v>
      </c>
      <c r="H875" t="s">
        <v>158</v>
      </c>
      <c r="I875">
        <v>0.4</v>
      </c>
      <c r="J875" t="s">
        <v>823</v>
      </c>
      <c r="K875">
        <v>6498037</v>
      </c>
    </row>
    <row r="876" spans="1:11" x14ac:dyDescent="0.2">
      <c r="A876" t="s">
        <v>905</v>
      </c>
      <c r="B876" t="s">
        <v>112</v>
      </c>
      <c r="C876" t="s">
        <v>74</v>
      </c>
      <c r="D876">
        <v>1</v>
      </c>
      <c r="E876" t="s">
        <v>815</v>
      </c>
      <c r="F876">
        <v>50066590</v>
      </c>
      <c r="G876" t="s">
        <v>807</v>
      </c>
      <c r="H876" t="s">
        <v>158</v>
      </c>
      <c r="I876">
        <v>5</v>
      </c>
      <c r="J876" t="s">
        <v>823</v>
      </c>
      <c r="K876">
        <v>6498037</v>
      </c>
    </row>
    <row r="877" spans="1:11" x14ac:dyDescent="0.2">
      <c r="A877" t="s">
        <v>905</v>
      </c>
      <c r="B877" t="s">
        <v>112</v>
      </c>
      <c r="C877" t="s">
        <v>74</v>
      </c>
      <c r="D877">
        <v>1</v>
      </c>
      <c r="E877" t="s">
        <v>815</v>
      </c>
      <c r="F877">
        <v>50066599</v>
      </c>
      <c r="G877" t="s">
        <v>796</v>
      </c>
      <c r="H877" t="s">
        <v>158</v>
      </c>
      <c r="I877">
        <v>1</v>
      </c>
      <c r="J877" t="s">
        <v>823</v>
      </c>
      <c r="K877">
        <v>6498037</v>
      </c>
    </row>
    <row r="878" spans="1:11" x14ac:dyDescent="0.2">
      <c r="A878" t="s">
        <v>905</v>
      </c>
      <c r="B878" t="s">
        <v>112</v>
      </c>
      <c r="C878" t="s">
        <v>74</v>
      </c>
      <c r="D878">
        <v>1</v>
      </c>
      <c r="E878" t="s">
        <v>815</v>
      </c>
      <c r="F878">
        <v>50066622</v>
      </c>
      <c r="G878" t="s">
        <v>808</v>
      </c>
      <c r="H878" t="s">
        <v>158</v>
      </c>
      <c r="I878">
        <v>1</v>
      </c>
      <c r="J878" t="s">
        <v>823</v>
      </c>
      <c r="K878">
        <v>6498037</v>
      </c>
    </row>
    <row r="879" spans="1:11" x14ac:dyDescent="0.2">
      <c r="A879" t="s">
        <v>905</v>
      </c>
      <c r="B879" t="s">
        <v>112</v>
      </c>
      <c r="C879" t="s">
        <v>74</v>
      </c>
      <c r="D879">
        <v>1</v>
      </c>
      <c r="E879" t="s">
        <v>815</v>
      </c>
      <c r="F879">
        <v>10226399</v>
      </c>
      <c r="G879" t="s">
        <v>120</v>
      </c>
      <c r="H879" t="s">
        <v>158</v>
      </c>
      <c r="I879">
        <v>5.6</v>
      </c>
      <c r="J879" t="s">
        <v>823</v>
      </c>
      <c r="K879">
        <v>6498037</v>
      </c>
    </row>
    <row r="880" spans="1:11" x14ac:dyDescent="0.2">
      <c r="A880" t="s">
        <v>905</v>
      </c>
      <c r="B880" t="s">
        <v>112</v>
      </c>
      <c r="C880" t="s">
        <v>74</v>
      </c>
      <c r="D880">
        <v>1</v>
      </c>
      <c r="E880" t="s">
        <v>815</v>
      </c>
      <c r="F880">
        <v>50994931</v>
      </c>
      <c r="G880" t="s">
        <v>121</v>
      </c>
      <c r="H880" t="s">
        <v>158</v>
      </c>
      <c r="I880">
        <v>264</v>
      </c>
      <c r="J880" t="s">
        <v>823</v>
      </c>
      <c r="K880">
        <v>6498037</v>
      </c>
    </row>
    <row r="881" spans="1:11" x14ac:dyDescent="0.2">
      <c r="A881" t="s">
        <v>905</v>
      </c>
      <c r="B881" t="s">
        <v>112</v>
      </c>
      <c r="C881" t="s">
        <v>74</v>
      </c>
      <c r="D881">
        <v>1</v>
      </c>
      <c r="E881" t="s">
        <v>815</v>
      </c>
      <c r="F881">
        <v>10242292</v>
      </c>
      <c r="G881" t="s">
        <v>122</v>
      </c>
      <c r="H881" t="s">
        <v>158</v>
      </c>
      <c r="I881">
        <v>9.6</v>
      </c>
      <c r="J881" t="s">
        <v>823</v>
      </c>
      <c r="K881">
        <v>6498037</v>
      </c>
    </row>
    <row r="882" spans="1:11" x14ac:dyDescent="0.2">
      <c r="A882" t="s">
        <v>905</v>
      </c>
      <c r="B882" t="s">
        <v>112</v>
      </c>
      <c r="C882" t="s">
        <v>74</v>
      </c>
      <c r="D882">
        <v>1</v>
      </c>
      <c r="E882" t="s">
        <v>815</v>
      </c>
      <c r="F882">
        <v>10242293</v>
      </c>
      <c r="G882" t="s">
        <v>123</v>
      </c>
      <c r="H882" t="s">
        <v>158</v>
      </c>
      <c r="I882">
        <v>2.2000000000000002</v>
      </c>
      <c r="J882" t="s">
        <v>823</v>
      </c>
      <c r="K882">
        <v>6498037</v>
      </c>
    </row>
    <row r="883" spans="1:11" x14ac:dyDescent="0.2">
      <c r="A883" t="s">
        <v>905</v>
      </c>
      <c r="B883" t="s">
        <v>112</v>
      </c>
      <c r="C883" t="s">
        <v>74</v>
      </c>
      <c r="D883">
        <v>1</v>
      </c>
      <c r="E883" t="s">
        <v>815</v>
      </c>
      <c r="F883">
        <v>50994945</v>
      </c>
      <c r="G883" t="s">
        <v>124</v>
      </c>
      <c r="H883" t="s">
        <v>158</v>
      </c>
      <c r="I883">
        <v>36</v>
      </c>
      <c r="J883" t="s">
        <v>823</v>
      </c>
      <c r="K883">
        <v>6498037</v>
      </c>
    </row>
    <row r="884" spans="1:11" x14ac:dyDescent="0.2">
      <c r="A884" t="s">
        <v>905</v>
      </c>
      <c r="B884" t="s">
        <v>112</v>
      </c>
      <c r="C884" t="s">
        <v>74</v>
      </c>
      <c r="D884">
        <v>1</v>
      </c>
      <c r="E884" t="s">
        <v>815</v>
      </c>
      <c r="F884">
        <v>10247603</v>
      </c>
      <c r="G884" t="s">
        <v>125</v>
      </c>
      <c r="H884" t="s">
        <v>158</v>
      </c>
      <c r="I884">
        <v>3</v>
      </c>
      <c r="J884" t="s">
        <v>823</v>
      </c>
      <c r="K884">
        <v>6498037</v>
      </c>
    </row>
    <row r="885" spans="1:11" x14ac:dyDescent="0.2">
      <c r="A885" t="s">
        <v>905</v>
      </c>
      <c r="B885" t="s">
        <v>112</v>
      </c>
      <c r="C885" t="s">
        <v>74</v>
      </c>
      <c r="D885">
        <v>1</v>
      </c>
      <c r="E885" t="s">
        <v>815</v>
      </c>
      <c r="F885">
        <v>50065430</v>
      </c>
      <c r="G885" t="s">
        <v>193</v>
      </c>
      <c r="H885" t="s">
        <v>158</v>
      </c>
      <c r="I885">
        <v>3</v>
      </c>
      <c r="J885" t="s">
        <v>823</v>
      </c>
      <c r="K885">
        <v>6498037</v>
      </c>
    </row>
    <row r="886" spans="1:11" x14ac:dyDescent="0.2">
      <c r="A886" t="s">
        <v>905</v>
      </c>
      <c r="B886" t="s">
        <v>112</v>
      </c>
      <c r="C886" t="s">
        <v>74</v>
      </c>
      <c r="D886">
        <v>1</v>
      </c>
      <c r="E886" t="s">
        <v>815</v>
      </c>
      <c r="F886">
        <v>50065431</v>
      </c>
      <c r="G886" t="s">
        <v>204</v>
      </c>
      <c r="H886" t="s">
        <v>158</v>
      </c>
      <c r="I886">
        <v>8</v>
      </c>
      <c r="J886" t="s">
        <v>823</v>
      </c>
      <c r="K886">
        <v>6498037</v>
      </c>
    </row>
    <row r="887" spans="1:11" x14ac:dyDescent="0.2">
      <c r="A887" t="s">
        <v>905</v>
      </c>
      <c r="B887" t="s">
        <v>112</v>
      </c>
      <c r="C887" t="s">
        <v>74</v>
      </c>
      <c r="D887">
        <v>1</v>
      </c>
      <c r="E887" t="s">
        <v>815</v>
      </c>
      <c r="F887">
        <v>50065432</v>
      </c>
      <c r="G887" t="s">
        <v>205</v>
      </c>
      <c r="H887" t="s">
        <v>158</v>
      </c>
      <c r="I887">
        <v>8</v>
      </c>
      <c r="J887" t="s">
        <v>823</v>
      </c>
      <c r="K887">
        <v>6498037</v>
      </c>
    </row>
    <row r="888" spans="1:11" x14ac:dyDescent="0.2">
      <c r="A888" t="s">
        <v>905</v>
      </c>
      <c r="B888" t="s">
        <v>112</v>
      </c>
      <c r="C888" t="s">
        <v>74</v>
      </c>
      <c r="D888">
        <v>1</v>
      </c>
      <c r="E888" t="s">
        <v>815</v>
      </c>
      <c r="F888">
        <v>10208167</v>
      </c>
      <c r="G888" t="s">
        <v>127</v>
      </c>
      <c r="H888" t="s">
        <v>158</v>
      </c>
      <c r="I888">
        <v>1</v>
      </c>
      <c r="J888" t="s">
        <v>823</v>
      </c>
      <c r="K888">
        <v>6498037</v>
      </c>
    </row>
    <row r="889" spans="1:11" x14ac:dyDescent="0.2">
      <c r="A889" t="s">
        <v>905</v>
      </c>
      <c r="B889" t="s">
        <v>112</v>
      </c>
      <c r="C889" t="s">
        <v>74</v>
      </c>
      <c r="D889">
        <v>1</v>
      </c>
      <c r="E889" t="s">
        <v>815</v>
      </c>
      <c r="F889">
        <v>10215610</v>
      </c>
      <c r="G889" t="s">
        <v>128</v>
      </c>
      <c r="H889" t="s">
        <v>158</v>
      </c>
      <c r="I889">
        <v>41.2</v>
      </c>
      <c r="J889" t="s">
        <v>823</v>
      </c>
      <c r="K889">
        <v>6498037</v>
      </c>
    </row>
    <row r="890" spans="1:11" x14ac:dyDescent="0.2">
      <c r="A890" t="s">
        <v>905</v>
      </c>
      <c r="B890" t="s">
        <v>112</v>
      </c>
      <c r="C890" t="s">
        <v>74</v>
      </c>
      <c r="D890">
        <v>1</v>
      </c>
      <c r="E890" t="s">
        <v>815</v>
      </c>
      <c r="F890">
        <v>10215641</v>
      </c>
      <c r="G890" t="s">
        <v>129</v>
      </c>
      <c r="H890" t="s">
        <v>158</v>
      </c>
      <c r="I890">
        <v>0.8</v>
      </c>
      <c r="J890" t="s">
        <v>823</v>
      </c>
      <c r="K890">
        <v>6498037</v>
      </c>
    </row>
    <row r="891" spans="1:11" x14ac:dyDescent="0.2">
      <c r="A891" t="s">
        <v>905</v>
      </c>
      <c r="B891" t="s">
        <v>112</v>
      </c>
      <c r="C891" t="s">
        <v>74</v>
      </c>
      <c r="D891">
        <v>1</v>
      </c>
      <c r="E891" t="s">
        <v>815</v>
      </c>
      <c r="F891">
        <v>10223108</v>
      </c>
      <c r="G891" t="s">
        <v>130</v>
      </c>
      <c r="H891" t="s">
        <v>158</v>
      </c>
      <c r="I891">
        <v>0.6</v>
      </c>
      <c r="J891" t="s">
        <v>823</v>
      </c>
      <c r="K891">
        <v>6498037</v>
      </c>
    </row>
    <row r="892" spans="1:11" x14ac:dyDescent="0.2">
      <c r="A892" t="s">
        <v>905</v>
      </c>
      <c r="B892" t="s">
        <v>112</v>
      </c>
      <c r="C892" t="s">
        <v>74</v>
      </c>
      <c r="D892">
        <v>1</v>
      </c>
      <c r="E892" t="s">
        <v>815</v>
      </c>
      <c r="F892">
        <v>10226367</v>
      </c>
      <c r="G892" t="s">
        <v>133</v>
      </c>
      <c r="H892" t="s">
        <v>158</v>
      </c>
      <c r="I892">
        <v>1.4</v>
      </c>
      <c r="J892" t="s">
        <v>823</v>
      </c>
      <c r="K892">
        <v>6498037</v>
      </c>
    </row>
    <row r="893" spans="1:11" x14ac:dyDescent="0.2">
      <c r="A893" t="s">
        <v>905</v>
      </c>
      <c r="B893" t="s">
        <v>112</v>
      </c>
      <c r="C893" t="s">
        <v>74</v>
      </c>
      <c r="D893">
        <v>1</v>
      </c>
      <c r="E893" t="s">
        <v>815</v>
      </c>
      <c r="F893">
        <v>10226368</v>
      </c>
      <c r="G893" t="s">
        <v>134</v>
      </c>
      <c r="H893" t="s">
        <v>158</v>
      </c>
      <c r="I893">
        <v>0.8</v>
      </c>
      <c r="J893" t="s">
        <v>823</v>
      </c>
      <c r="K893">
        <v>6498037</v>
      </c>
    </row>
    <row r="894" spans="1:11" x14ac:dyDescent="0.2">
      <c r="A894" t="s">
        <v>905</v>
      </c>
      <c r="B894" t="s">
        <v>112</v>
      </c>
      <c r="C894" t="s">
        <v>74</v>
      </c>
      <c r="D894">
        <v>1</v>
      </c>
      <c r="E894" t="s">
        <v>815</v>
      </c>
      <c r="F894">
        <v>10226373</v>
      </c>
      <c r="G894" t="s">
        <v>135</v>
      </c>
      <c r="H894" t="s">
        <v>158</v>
      </c>
      <c r="I894">
        <v>1.4</v>
      </c>
      <c r="J894" t="s">
        <v>823</v>
      </c>
      <c r="K894">
        <v>6498037</v>
      </c>
    </row>
    <row r="895" spans="1:11" x14ac:dyDescent="0.2">
      <c r="A895" t="s">
        <v>905</v>
      </c>
      <c r="B895" t="s">
        <v>112</v>
      </c>
      <c r="C895" t="s">
        <v>74</v>
      </c>
      <c r="D895">
        <v>1</v>
      </c>
      <c r="E895" t="s">
        <v>815</v>
      </c>
      <c r="F895">
        <v>10226388</v>
      </c>
      <c r="G895" t="s">
        <v>138</v>
      </c>
      <c r="H895" t="s">
        <v>158</v>
      </c>
      <c r="I895">
        <v>0.6</v>
      </c>
      <c r="J895" t="s">
        <v>823</v>
      </c>
      <c r="K895">
        <v>6498037</v>
      </c>
    </row>
    <row r="896" spans="1:11" x14ac:dyDescent="0.2">
      <c r="A896" t="s">
        <v>905</v>
      </c>
      <c r="B896" t="s">
        <v>112</v>
      </c>
      <c r="C896" t="s">
        <v>74</v>
      </c>
      <c r="D896">
        <v>1</v>
      </c>
      <c r="E896" t="s">
        <v>815</v>
      </c>
      <c r="F896">
        <v>10226398</v>
      </c>
      <c r="G896" t="s">
        <v>140</v>
      </c>
      <c r="H896" t="s">
        <v>158</v>
      </c>
      <c r="I896">
        <v>2.2000000000000002</v>
      </c>
      <c r="J896" t="s">
        <v>823</v>
      </c>
      <c r="K896">
        <v>6498037</v>
      </c>
    </row>
    <row r="897" spans="1:11" x14ac:dyDescent="0.2">
      <c r="A897" t="s">
        <v>905</v>
      </c>
      <c r="B897" t="s">
        <v>112</v>
      </c>
      <c r="C897" t="s">
        <v>74</v>
      </c>
      <c r="D897">
        <v>1</v>
      </c>
      <c r="E897" t="s">
        <v>815</v>
      </c>
      <c r="F897">
        <v>10226403</v>
      </c>
      <c r="G897" t="s">
        <v>141</v>
      </c>
      <c r="H897" t="s">
        <v>158</v>
      </c>
      <c r="I897">
        <v>2.2000000000000002</v>
      </c>
      <c r="J897" t="s">
        <v>823</v>
      </c>
      <c r="K897">
        <v>6498037</v>
      </c>
    </row>
    <row r="898" spans="1:11" x14ac:dyDescent="0.2">
      <c r="A898" t="s">
        <v>905</v>
      </c>
      <c r="B898" t="s">
        <v>112</v>
      </c>
      <c r="C898" t="s">
        <v>74</v>
      </c>
      <c r="D898">
        <v>1</v>
      </c>
      <c r="E898" t="s">
        <v>815</v>
      </c>
      <c r="F898">
        <v>10226417</v>
      </c>
      <c r="G898" t="s">
        <v>143</v>
      </c>
      <c r="H898" t="s">
        <v>158</v>
      </c>
      <c r="I898">
        <v>10</v>
      </c>
      <c r="J898" t="s">
        <v>823</v>
      </c>
      <c r="K898">
        <v>6498037</v>
      </c>
    </row>
    <row r="899" spans="1:11" x14ac:dyDescent="0.2">
      <c r="A899" t="s">
        <v>905</v>
      </c>
      <c r="B899" t="s">
        <v>112</v>
      </c>
      <c r="C899" t="s">
        <v>74</v>
      </c>
      <c r="D899">
        <v>1</v>
      </c>
      <c r="E899" t="s">
        <v>815</v>
      </c>
      <c r="F899">
        <v>10226425</v>
      </c>
      <c r="G899" t="s">
        <v>145</v>
      </c>
      <c r="H899" t="s">
        <v>158</v>
      </c>
      <c r="I899">
        <v>1.2</v>
      </c>
      <c r="J899" t="s">
        <v>823</v>
      </c>
      <c r="K899">
        <v>6498037</v>
      </c>
    </row>
    <row r="900" spans="1:11" x14ac:dyDescent="0.2">
      <c r="A900" t="s">
        <v>905</v>
      </c>
      <c r="B900" t="s">
        <v>112</v>
      </c>
      <c r="C900" t="s">
        <v>74</v>
      </c>
      <c r="D900">
        <v>1</v>
      </c>
      <c r="E900" t="s">
        <v>815</v>
      </c>
      <c r="F900">
        <v>10226429</v>
      </c>
      <c r="G900" t="s">
        <v>147</v>
      </c>
      <c r="H900" t="s">
        <v>158</v>
      </c>
      <c r="I900">
        <v>10.8</v>
      </c>
      <c r="J900" t="s">
        <v>823</v>
      </c>
      <c r="K900">
        <v>6498037</v>
      </c>
    </row>
    <row r="901" spans="1:11" x14ac:dyDescent="0.2">
      <c r="A901" t="s">
        <v>905</v>
      </c>
      <c r="B901" t="s">
        <v>112</v>
      </c>
      <c r="C901" t="s">
        <v>74</v>
      </c>
      <c r="D901">
        <v>1</v>
      </c>
      <c r="E901" t="s">
        <v>815</v>
      </c>
      <c r="F901">
        <v>10226435</v>
      </c>
      <c r="G901" t="s">
        <v>148</v>
      </c>
      <c r="H901" t="s">
        <v>158</v>
      </c>
      <c r="I901">
        <v>0.2</v>
      </c>
      <c r="J901" t="s">
        <v>823</v>
      </c>
      <c r="K901">
        <v>6498037</v>
      </c>
    </row>
    <row r="902" spans="1:11" x14ac:dyDescent="0.2">
      <c r="A902" t="s">
        <v>905</v>
      </c>
      <c r="B902" t="s">
        <v>112</v>
      </c>
      <c r="C902" t="s">
        <v>74</v>
      </c>
      <c r="D902">
        <v>1</v>
      </c>
      <c r="E902" t="s">
        <v>815</v>
      </c>
      <c r="F902">
        <v>10226452</v>
      </c>
      <c r="G902" t="s">
        <v>151</v>
      </c>
      <c r="H902" t="s">
        <v>158</v>
      </c>
      <c r="I902">
        <v>1.2</v>
      </c>
      <c r="J902" t="s">
        <v>823</v>
      </c>
      <c r="K902">
        <v>6498037</v>
      </c>
    </row>
    <row r="903" spans="1:11" x14ac:dyDescent="0.2">
      <c r="A903" t="s">
        <v>905</v>
      </c>
      <c r="B903" t="s">
        <v>112</v>
      </c>
      <c r="C903" t="s">
        <v>74</v>
      </c>
      <c r="D903">
        <v>1</v>
      </c>
      <c r="E903" t="s">
        <v>815</v>
      </c>
      <c r="F903">
        <v>10226454</v>
      </c>
      <c r="G903" t="s">
        <v>152</v>
      </c>
      <c r="H903" t="s">
        <v>158</v>
      </c>
      <c r="I903">
        <v>7.4</v>
      </c>
      <c r="J903" t="s">
        <v>823</v>
      </c>
      <c r="K903">
        <v>6498037</v>
      </c>
    </row>
    <row r="904" spans="1:11" x14ac:dyDescent="0.2">
      <c r="A904" t="s">
        <v>905</v>
      </c>
      <c r="B904" t="s">
        <v>112</v>
      </c>
      <c r="C904" t="s">
        <v>74</v>
      </c>
      <c r="D904">
        <v>1</v>
      </c>
      <c r="E904" t="s">
        <v>815</v>
      </c>
      <c r="F904">
        <v>50066125</v>
      </c>
      <c r="G904" t="s">
        <v>167</v>
      </c>
      <c r="H904" t="s">
        <v>158</v>
      </c>
      <c r="I904">
        <v>8</v>
      </c>
      <c r="J904" t="s">
        <v>823</v>
      </c>
      <c r="K904">
        <v>6498037</v>
      </c>
    </row>
    <row r="905" spans="1:11" x14ac:dyDescent="0.2">
      <c r="A905" t="s">
        <v>905</v>
      </c>
      <c r="B905" t="s">
        <v>112</v>
      </c>
      <c r="C905" t="s">
        <v>74</v>
      </c>
      <c r="D905">
        <v>1</v>
      </c>
      <c r="E905" t="s">
        <v>815</v>
      </c>
      <c r="F905">
        <v>50066133</v>
      </c>
      <c r="G905" t="s">
        <v>168</v>
      </c>
      <c r="H905" t="s">
        <v>158</v>
      </c>
      <c r="I905">
        <v>8</v>
      </c>
      <c r="J905" t="s">
        <v>823</v>
      </c>
      <c r="K905">
        <v>6498037</v>
      </c>
    </row>
    <row r="906" spans="1:11" x14ac:dyDescent="0.2">
      <c r="A906" t="s">
        <v>905</v>
      </c>
      <c r="B906" t="s">
        <v>112</v>
      </c>
      <c r="C906" t="s">
        <v>74</v>
      </c>
      <c r="D906">
        <v>1</v>
      </c>
      <c r="E906" t="s">
        <v>815</v>
      </c>
      <c r="F906">
        <v>50066135</v>
      </c>
      <c r="G906" t="s">
        <v>178</v>
      </c>
      <c r="H906" t="s">
        <v>158</v>
      </c>
      <c r="I906">
        <v>3</v>
      </c>
      <c r="J906" t="s">
        <v>823</v>
      </c>
      <c r="K906">
        <v>6498037</v>
      </c>
    </row>
    <row r="907" spans="1:11" x14ac:dyDescent="0.2">
      <c r="A907" t="s">
        <v>905</v>
      </c>
      <c r="B907" t="s">
        <v>112</v>
      </c>
      <c r="C907" t="s">
        <v>74</v>
      </c>
      <c r="D907">
        <v>1</v>
      </c>
      <c r="E907" t="s">
        <v>815</v>
      </c>
      <c r="F907">
        <v>50066803</v>
      </c>
      <c r="G907" t="s">
        <v>797</v>
      </c>
      <c r="H907" t="s">
        <v>158</v>
      </c>
      <c r="I907">
        <v>24</v>
      </c>
      <c r="J907" t="s">
        <v>823</v>
      </c>
      <c r="K907">
        <v>6498037</v>
      </c>
    </row>
    <row r="908" spans="1:11" x14ac:dyDescent="0.2">
      <c r="A908" t="s">
        <v>905</v>
      </c>
      <c r="B908" t="s">
        <v>112</v>
      </c>
      <c r="C908" t="s">
        <v>74</v>
      </c>
      <c r="D908">
        <v>1</v>
      </c>
      <c r="E908" t="s">
        <v>815</v>
      </c>
      <c r="F908">
        <v>10226402</v>
      </c>
      <c r="G908" t="s">
        <v>156</v>
      </c>
      <c r="H908" t="s">
        <v>158</v>
      </c>
      <c r="I908">
        <v>0.8</v>
      </c>
      <c r="J908" t="s">
        <v>823</v>
      </c>
      <c r="K908">
        <v>6498037</v>
      </c>
    </row>
    <row r="909" spans="1:11" x14ac:dyDescent="0.2">
      <c r="A909" t="s">
        <v>102</v>
      </c>
    </row>
    <row r="910" spans="1:11" x14ac:dyDescent="0.2">
      <c r="A910" t="s">
        <v>102</v>
      </c>
    </row>
    <row r="911" spans="1:11" x14ac:dyDescent="0.2">
      <c r="A911" t="s">
        <v>102</v>
      </c>
    </row>
    <row r="912" spans="1:11" x14ac:dyDescent="0.2">
      <c r="A912" t="s">
        <v>102</v>
      </c>
    </row>
    <row r="913" spans="1:1" x14ac:dyDescent="0.2">
      <c r="A913" t="s">
        <v>102</v>
      </c>
    </row>
    <row r="914" spans="1:1" x14ac:dyDescent="0.2">
      <c r="A914" t="s">
        <v>102</v>
      </c>
    </row>
    <row r="915" spans="1:1" x14ac:dyDescent="0.2">
      <c r="A915" t="s">
        <v>102</v>
      </c>
    </row>
    <row r="916" spans="1:1" x14ac:dyDescent="0.2">
      <c r="A916" t="s">
        <v>102</v>
      </c>
    </row>
    <row r="917" spans="1:1" x14ac:dyDescent="0.2">
      <c r="A917" t="s">
        <v>102</v>
      </c>
    </row>
    <row r="918" spans="1:1" x14ac:dyDescent="0.2">
      <c r="A918" t="s">
        <v>102</v>
      </c>
    </row>
    <row r="919" spans="1:1" x14ac:dyDescent="0.2">
      <c r="A919" t="s">
        <v>102</v>
      </c>
    </row>
    <row r="920" spans="1:1" x14ac:dyDescent="0.2">
      <c r="A920" t="s">
        <v>102</v>
      </c>
    </row>
    <row r="921" spans="1:1" x14ac:dyDescent="0.2">
      <c r="A921" t="s">
        <v>102</v>
      </c>
    </row>
    <row r="922" spans="1:1" x14ac:dyDescent="0.2">
      <c r="A922" t="s">
        <v>102</v>
      </c>
    </row>
    <row r="923" spans="1:1" x14ac:dyDescent="0.2">
      <c r="A923" t="s">
        <v>102</v>
      </c>
    </row>
    <row r="924" spans="1:1" x14ac:dyDescent="0.2">
      <c r="A924" t="s">
        <v>102</v>
      </c>
    </row>
    <row r="925" spans="1:1" x14ac:dyDescent="0.2">
      <c r="A925" t="s">
        <v>102</v>
      </c>
    </row>
    <row r="926" spans="1:1" x14ac:dyDescent="0.2">
      <c r="A926" t="s">
        <v>102</v>
      </c>
    </row>
    <row r="927" spans="1:1" x14ac:dyDescent="0.2">
      <c r="A927" t="s">
        <v>102</v>
      </c>
    </row>
    <row r="928" spans="1:1" x14ac:dyDescent="0.2">
      <c r="A928" t="s">
        <v>102</v>
      </c>
    </row>
    <row r="929" spans="1:1" x14ac:dyDescent="0.2">
      <c r="A929" t="s">
        <v>102</v>
      </c>
    </row>
    <row r="930" spans="1:1" x14ac:dyDescent="0.2">
      <c r="A930" t="s">
        <v>102</v>
      </c>
    </row>
    <row r="931" spans="1:1" x14ac:dyDescent="0.2">
      <c r="A931" t="s">
        <v>102</v>
      </c>
    </row>
    <row r="932" spans="1:1" x14ac:dyDescent="0.2">
      <c r="A932" t="s">
        <v>102</v>
      </c>
    </row>
    <row r="933" spans="1:1" x14ac:dyDescent="0.2">
      <c r="A933" t="s">
        <v>102</v>
      </c>
    </row>
    <row r="934" spans="1:1" x14ac:dyDescent="0.2">
      <c r="A934" t="s">
        <v>102</v>
      </c>
    </row>
    <row r="935" spans="1:1" x14ac:dyDescent="0.2">
      <c r="A935" t="s">
        <v>102</v>
      </c>
    </row>
    <row r="936" spans="1:1" x14ac:dyDescent="0.2">
      <c r="A936" t="s">
        <v>102</v>
      </c>
    </row>
    <row r="937" spans="1:1" x14ac:dyDescent="0.2">
      <c r="A937" t="s">
        <v>102</v>
      </c>
    </row>
    <row r="938" spans="1:1" x14ac:dyDescent="0.2">
      <c r="A938" t="s">
        <v>102</v>
      </c>
    </row>
    <row r="939" spans="1:1" x14ac:dyDescent="0.2">
      <c r="A939" t="s">
        <v>102</v>
      </c>
    </row>
    <row r="940" spans="1:1" x14ac:dyDescent="0.2">
      <c r="A940" t="s">
        <v>102</v>
      </c>
    </row>
    <row r="941" spans="1:1" x14ac:dyDescent="0.2">
      <c r="A941" t="s">
        <v>102</v>
      </c>
    </row>
    <row r="942" spans="1:1" x14ac:dyDescent="0.2">
      <c r="A942" t="s">
        <v>102</v>
      </c>
    </row>
    <row r="943" spans="1:1" x14ac:dyDescent="0.2">
      <c r="A943" t="s">
        <v>102</v>
      </c>
    </row>
    <row r="944" spans="1:1" x14ac:dyDescent="0.2">
      <c r="A944" t="s">
        <v>102</v>
      </c>
    </row>
    <row r="945" spans="1:1" x14ac:dyDescent="0.2">
      <c r="A945" t="s">
        <v>102</v>
      </c>
    </row>
    <row r="946" spans="1:1" x14ac:dyDescent="0.2">
      <c r="A946" t="s">
        <v>102</v>
      </c>
    </row>
    <row r="947" spans="1:1" x14ac:dyDescent="0.2">
      <c r="A947" t="s">
        <v>102</v>
      </c>
    </row>
    <row r="948" spans="1:1" x14ac:dyDescent="0.2">
      <c r="A948" t="s">
        <v>102</v>
      </c>
    </row>
    <row r="949" spans="1:1" x14ac:dyDescent="0.2">
      <c r="A949" t="s">
        <v>102</v>
      </c>
    </row>
    <row r="950" spans="1:1" x14ac:dyDescent="0.2">
      <c r="A950" t="s">
        <v>102</v>
      </c>
    </row>
    <row r="951" spans="1:1" x14ac:dyDescent="0.2">
      <c r="A951" t="s">
        <v>102</v>
      </c>
    </row>
    <row r="952" spans="1:1" x14ac:dyDescent="0.2">
      <c r="A952" t="s">
        <v>102</v>
      </c>
    </row>
    <row r="953" spans="1:1" x14ac:dyDescent="0.2">
      <c r="A953" t="s">
        <v>102</v>
      </c>
    </row>
    <row r="954" spans="1:1" x14ac:dyDescent="0.2">
      <c r="A954" t="s">
        <v>102</v>
      </c>
    </row>
    <row r="955" spans="1:1" x14ac:dyDescent="0.2">
      <c r="A955" t="s">
        <v>102</v>
      </c>
    </row>
    <row r="956" spans="1:1" x14ac:dyDescent="0.2">
      <c r="A956" t="s">
        <v>102</v>
      </c>
    </row>
    <row r="957" spans="1:1" x14ac:dyDescent="0.2">
      <c r="A957" t="s">
        <v>102</v>
      </c>
    </row>
    <row r="958" spans="1:1" x14ac:dyDescent="0.2">
      <c r="A958" t="s">
        <v>102</v>
      </c>
    </row>
    <row r="959" spans="1:1" x14ac:dyDescent="0.2">
      <c r="A959" t="s">
        <v>102</v>
      </c>
    </row>
    <row r="960" spans="1:1" x14ac:dyDescent="0.2">
      <c r="A960" t="s">
        <v>102</v>
      </c>
    </row>
    <row r="961" spans="1:1" x14ac:dyDescent="0.2">
      <c r="A961" t="s">
        <v>102</v>
      </c>
    </row>
    <row r="962" spans="1:1" x14ac:dyDescent="0.2">
      <c r="A962" t="s">
        <v>102</v>
      </c>
    </row>
    <row r="963" spans="1:1" x14ac:dyDescent="0.2">
      <c r="A963" t="s">
        <v>102</v>
      </c>
    </row>
    <row r="964" spans="1:1" x14ac:dyDescent="0.2">
      <c r="A964" t="s">
        <v>102</v>
      </c>
    </row>
    <row r="965" spans="1:1" x14ac:dyDescent="0.2">
      <c r="A965" t="s">
        <v>102</v>
      </c>
    </row>
    <row r="966" spans="1:1" x14ac:dyDescent="0.2">
      <c r="A966" t="s">
        <v>102</v>
      </c>
    </row>
    <row r="967" spans="1:1" x14ac:dyDescent="0.2">
      <c r="A967" t="s">
        <v>102</v>
      </c>
    </row>
    <row r="968" spans="1:1" x14ac:dyDescent="0.2">
      <c r="A968" t="s">
        <v>102</v>
      </c>
    </row>
    <row r="969" spans="1:1" x14ac:dyDescent="0.2">
      <c r="A969" t="s">
        <v>102</v>
      </c>
    </row>
    <row r="970" spans="1:1" x14ac:dyDescent="0.2">
      <c r="A970" t="s">
        <v>102</v>
      </c>
    </row>
    <row r="971" spans="1:1" x14ac:dyDescent="0.2">
      <c r="A971" t="s">
        <v>102</v>
      </c>
    </row>
    <row r="972" spans="1:1" x14ac:dyDescent="0.2">
      <c r="A972" t="s">
        <v>102</v>
      </c>
    </row>
    <row r="973" spans="1:1" x14ac:dyDescent="0.2">
      <c r="A973" t="s">
        <v>102</v>
      </c>
    </row>
    <row r="974" spans="1:1" x14ac:dyDescent="0.2">
      <c r="A974" t="s">
        <v>102</v>
      </c>
    </row>
    <row r="975" spans="1:1" x14ac:dyDescent="0.2">
      <c r="A975" t="s">
        <v>102</v>
      </c>
    </row>
    <row r="976" spans="1:1" x14ac:dyDescent="0.2">
      <c r="A976" t="s">
        <v>102</v>
      </c>
    </row>
    <row r="977" spans="1:1" x14ac:dyDescent="0.2">
      <c r="A977" t="s">
        <v>102</v>
      </c>
    </row>
    <row r="978" spans="1:1" x14ac:dyDescent="0.2">
      <c r="A978" t="s">
        <v>102</v>
      </c>
    </row>
    <row r="979" spans="1:1" x14ac:dyDescent="0.2">
      <c r="A979" t="s">
        <v>102</v>
      </c>
    </row>
    <row r="980" spans="1:1" x14ac:dyDescent="0.2">
      <c r="A980" t="s">
        <v>102</v>
      </c>
    </row>
    <row r="981" spans="1:1" x14ac:dyDescent="0.2">
      <c r="A981" t="s">
        <v>102</v>
      </c>
    </row>
    <row r="982" spans="1:1" x14ac:dyDescent="0.2">
      <c r="A982" t="s">
        <v>102</v>
      </c>
    </row>
    <row r="983" spans="1:1" x14ac:dyDescent="0.2">
      <c r="A983" t="s">
        <v>102</v>
      </c>
    </row>
    <row r="984" spans="1:1" x14ac:dyDescent="0.2">
      <c r="A984" t="s">
        <v>102</v>
      </c>
    </row>
    <row r="985" spans="1:1" x14ac:dyDescent="0.2">
      <c r="A985" t="s">
        <v>102</v>
      </c>
    </row>
    <row r="986" spans="1:1" x14ac:dyDescent="0.2">
      <c r="A986" t="s">
        <v>102</v>
      </c>
    </row>
    <row r="987" spans="1:1" x14ac:dyDescent="0.2">
      <c r="A987" t="s">
        <v>102</v>
      </c>
    </row>
    <row r="988" spans="1:1" x14ac:dyDescent="0.2">
      <c r="A988" t="s">
        <v>102</v>
      </c>
    </row>
    <row r="989" spans="1:1" x14ac:dyDescent="0.2">
      <c r="A989" t="s">
        <v>102</v>
      </c>
    </row>
    <row r="990" spans="1:1" x14ac:dyDescent="0.2">
      <c r="A990" t="s">
        <v>102</v>
      </c>
    </row>
    <row r="991" spans="1:1" x14ac:dyDescent="0.2">
      <c r="A991" t="s">
        <v>102</v>
      </c>
    </row>
    <row r="992" spans="1:1" x14ac:dyDescent="0.2">
      <c r="A992" t="s">
        <v>102</v>
      </c>
    </row>
    <row r="993" spans="1:1" x14ac:dyDescent="0.2">
      <c r="A993" t="s">
        <v>102</v>
      </c>
    </row>
    <row r="994" spans="1:1" x14ac:dyDescent="0.2">
      <c r="A994" t="s">
        <v>102</v>
      </c>
    </row>
    <row r="995" spans="1:1" x14ac:dyDescent="0.2">
      <c r="A995" t="s">
        <v>102</v>
      </c>
    </row>
    <row r="996" spans="1:1" x14ac:dyDescent="0.2">
      <c r="A996" t="s">
        <v>102</v>
      </c>
    </row>
    <row r="997" spans="1:1" x14ac:dyDescent="0.2">
      <c r="A997" t="s">
        <v>102</v>
      </c>
    </row>
    <row r="998" spans="1:1" x14ac:dyDescent="0.2">
      <c r="A998" t="s">
        <v>102</v>
      </c>
    </row>
    <row r="999" spans="1:1" x14ac:dyDescent="0.2">
      <c r="A999" t="s">
        <v>102</v>
      </c>
    </row>
    <row r="1000" spans="1:1" x14ac:dyDescent="0.2">
      <c r="A1000" t="s">
        <v>102</v>
      </c>
    </row>
    <row r="1001" spans="1:1" x14ac:dyDescent="0.2">
      <c r="A1001" t="s">
        <v>102</v>
      </c>
    </row>
    <row r="1002" spans="1:1" x14ac:dyDescent="0.2">
      <c r="A1002" t="s">
        <v>102</v>
      </c>
    </row>
    <row r="1003" spans="1:1" x14ac:dyDescent="0.2">
      <c r="A1003" t="s">
        <v>102</v>
      </c>
    </row>
    <row r="1004" spans="1:1" x14ac:dyDescent="0.2">
      <c r="A1004" t="s">
        <v>102</v>
      </c>
    </row>
    <row r="1005" spans="1:1" x14ac:dyDescent="0.2">
      <c r="A1005" t="s">
        <v>102</v>
      </c>
    </row>
    <row r="1006" spans="1:1" x14ac:dyDescent="0.2">
      <c r="A1006" t="s">
        <v>102</v>
      </c>
    </row>
    <row r="1007" spans="1:1" x14ac:dyDescent="0.2">
      <c r="A1007" t="s">
        <v>102</v>
      </c>
    </row>
    <row r="1008" spans="1:1" x14ac:dyDescent="0.2">
      <c r="A1008" t="s">
        <v>102</v>
      </c>
    </row>
    <row r="1009" spans="1:1" x14ac:dyDescent="0.2">
      <c r="A1009" t="s">
        <v>102</v>
      </c>
    </row>
    <row r="1010" spans="1:1" x14ac:dyDescent="0.2">
      <c r="A1010" t="s">
        <v>102</v>
      </c>
    </row>
    <row r="1011" spans="1:1" x14ac:dyDescent="0.2">
      <c r="A1011" t="s">
        <v>102</v>
      </c>
    </row>
    <row r="1012" spans="1:1" x14ac:dyDescent="0.2">
      <c r="A1012" t="s">
        <v>102</v>
      </c>
    </row>
    <row r="1013" spans="1:1" x14ac:dyDescent="0.2">
      <c r="A1013" t="s">
        <v>102</v>
      </c>
    </row>
    <row r="1014" spans="1:1" x14ac:dyDescent="0.2">
      <c r="A1014" t="s">
        <v>102</v>
      </c>
    </row>
    <row r="1015" spans="1:1" x14ac:dyDescent="0.2">
      <c r="A1015" t="s">
        <v>102</v>
      </c>
    </row>
    <row r="1016" spans="1:1" x14ac:dyDescent="0.2">
      <c r="A1016" t="s">
        <v>102</v>
      </c>
    </row>
    <row r="1017" spans="1:1" x14ac:dyDescent="0.2">
      <c r="A1017" t="s">
        <v>102</v>
      </c>
    </row>
    <row r="1018" spans="1:1" x14ac:dyDescent="0.2">
      <c r="A1018" t="s">
        <v>102</v>
      </c>
    </row>
    <row r="1019" spans="1:1" x14ac:dyDescent="0.2">
      <c r="A1019" t="s">
        <v>102</v>
      </c>
    </row>
    <row r="1020" spans="1:1" x14ac:dyDescent="0.2">
      <c r="A1020" t="s">
        <v>102</v>
      </c>
    </row>
    <row r="1021" spans="1:1" x14ac:dyDescent="0.2">
      <c r="A1021" t="s">
        <v>102</v>
      </c>
    </row>
    <row r="1022" spans="1:1" x14ac:dyDescent="0.2">
      <c r="A1022" t="s">
        <v>102</v>
      </c>
    </row>
    <row r="1023" spans="1:1" x14ac:dyDescent="0.2">
      <c r="A1023" t="s">
        <v>102</v>
      </c>
    </row>
    <row r="1024" spans="1:1" x14ac:dyDescent="0.2">
      <c r="A1024" t="s">
        <v>102</v>
      </c>
    </row>
    <row r="1025" spans="1:1" x14ac:dyDescent="0.2">
      <c r="A1025" t="s">
        <v>102</v>
      </c>
    </row>
    <row r="1026" spans="1:1" x14ac:dyDescent="0.2">
      <c r="A1026" t="s">
        <v>102</v>
      </c>
    </row>
    <row r="1027" spans="1:1" x14ac:dyDescent="0.2">
      <c r="A1027" t="s">
        <v>102</v>
      </c>
    </row>
    <row r="1028" spans="1:1" x14ac:dyDescent="0.2">
      <c r="A1028" t="s">
        <v>102</v>
      </c>
    </row>
    <row r="1029" spans="1:1" x14ac:dyDescent="0.2">
      <c r="A1029" t="s">
        <v>102</v>
      </c>
    </row>
    <row r="1030" spans="1:1" x14ac:dyDescent="0.2">
      <c r="A1030" t="s">
        <v>102</v>
      </c>
    </row>
    <row r="1031" spans="1:1" x14ac:dyDescent="0.2">
      <c r="A1031" t="s">
        <v>102</v>
      </c>
    </row>
    <row r="1032" spans="1:1" x14ac:dyDescent="0.2">
      <c r="A1032" t="s">
        <v>102</v>
      </c>
    </row>
    <row r="1033" spans="1:1" x14ac:dyDescent="0.2">
      <c r="A1033" t="s">
        <v>102</v>
      </c>
    </row>
    <row r="1034" spans="1:1" x14ac:dyDescent="0.2">
      <c r="A1034" t="s">
        <v>102</v>
      </c>
    </row>
    <row r="1035" spans="1:1" x14ac:dyDescent="0.2">
      <c r="A1035" t="s">
        <v>102</v>
      </c>
    </row>
    <row r="1036" spans="1:1" x14ac:dyDescent="0.2">
      <c r="A1036" t="s">
        <v>102</v>
      </c>
    </row>
    <row r="1037" spans="1:1" x14ac:dyDescent="0.2">
      <c r="A1037" t="s">
        <v>102</v>
      </c>
    </row>
    <row r="1038" spans="1:1" x14ac:dyDescent="0.2">
      <c r="A1038" t="s">
        <v>102</v>
      </c>
    </row>
    <row r="1039" spans="1:1" x14ac:dyDescent="0.2">
      <c r="A1039" t="s">
        <v>102</v>
      </c>
    </row>
    <row r="1040" spans="1:1" x14ac:dyDescent="0.2">
      <c r="A1040" t="s">
        <v>102</v>
      </c>
    </row>
    <row r="1041" spans="1:1" x14ac:dyDescent="0.2">
      <c r="A1041" t="s">
        <v>102</v>
      </c>
    </row>
    <row r="1042" spans="1:1" x14ac:dyDescent="0.2">
      <c r="A1042" t="s">
        <v>102</v>
      </c>
    </row>
    <row r="1043" spans="1:1" x14ac:dyDescent="0.2">
      <c r="A1043" t="s">
        <v>102</v>
      </c>
    </row>
    <row r="1044" spans="1:1" x14ac:dyDescent="0.2">
      <c r="A1044" t="s">
        <v>102</v>
      </c>
    </row>
    <row r="1045" spans="1:1" x14ac:dyDescent="0.2">
      <c r="A1045" t="s">
        <v>102</v>
      </c>
    </row>
    <row r="1046" spans="1:1" x14ac:dyDescent="0.2">
      <c r="A1046" t="s">
        <v>102</v>
      </c>
    </row>
    <row r="1047" spans="1:1" x14ac:dyDescent="0.2">
      <c r="A1047" t="s">
        <v>102</v>
      </c>
    </row>
    <row r="1048" spans="1:1" x14ac:dyDescent="0.2">
      <c r="A1048" t="s">
        <v>102</v>
      </c>
    </row>
    <row r="1049" spans="1:1" x14ac:dyDescent="0.2">
      <c r="A1049" t="s">
        <v>102</v>
      </c>
    </row>
    <row r="1050" spans="1:1" x14ac:dyDescent="0.2">
      <c r="A1050" t="s">
        <v>102</v>
      </c>
    </row>
    <row r="1051" spans="1:1" x14ac:dyDescent="0.2">
      <c r="A1051" t="s">
        <v>102</v>
      </c>
    </row>
    <row r="1052" spans="1:1" x14ac:dyDescent="0.2">
      <c r="A1052" t="s">
        <v>102</v>
      </c>
    </row>
    <row r="1053" spans="1:1" x14ac:dyDescent="0.2">
      <c r="A1053" t="s">
        <v>102</v>
      </c>
    </row>
    <row r="1054" spans="1:1" x14ac:dyDescent="0.2">
      <c r="A1054" t="s">
        <v>102</v>
      </c>
    </row>
    <row r="1055" spans="1:1" x14ac:dyDescent="0.2">
      <c r="A1055" t="s">
        <v>102</v>
      </c>
    </row>
    <row r="1056" spans="1:1" x14ac:dyDescent="0.2">
      <c r="A1056" t="s">
        <v>102</v>
      </c>
    </row>
    <row r="1057" spans="1:1" x14ac:dyDescent="0.2">
      <c r="A1057" t="s">
        <v>102</v>
      </c>
    </row>
    <row r="1058" spans="1:1" x14ac:dyDescent="0.2">
      <c r="A1058" t="s">
        <v>102</v>
      </c>
    </row>
    <row r="1059" spans="1:1" x14ac:dyDescent="0.2">
      <c r="A1059" t="s">
        <v>102</v>
      </c>
    </row>
    <row r="1060" spans="1:1" x14ac:dyDescent="0.2">
      <c r="A1060" t="s">
        <v>102</v>
      </c>
    </row>
    <row r="1061" spans="1:1" x14ac:dyDescent="0.2">
      <c r="A1061" t="s">
        <v>102</v>
      </c>
    </row>
    <row r="1062" spans="1:1" x14ac:dyDescent="0.2">
      <c r="A1062" t="s">
        <v>102</v>
      </c>
    </row>
    <row r="1063" spans="1:1" x14ac:dyDescent="0.2">
      <c r="A1063" t="s">
        <v>102</v>
      </c>
    </row>
    <row r="1064" spans="1:1" x14ac:dyDescent="0.2">
      <c r="A1064" t="s">
        <v>102</v>
      </c>
    </row>
    <row r="1065" spans="1:1" x14ac:dyDescent="0.2">
      <c r="A1065" t="s">
        <v>102</v>
      </c>
    </row>
    <row r="1066" spans="1:1" x14ac:dyDescent="0.2">
      <c r="A1066" t="s">
        <v>102</v>
      </c>
    </row>
    <row r="1067" spans="1:1" x14ac:dyDescent="0.2">
      <c r="A1067" t="s">
        <v>102</v>
      </c>
    </row>
    <row r="1068" spans="1:1" x14ac:dyDescent="0.2">
      <c r="A1068" t="s">
        <v>102</v>
      </c>
    </row>
    <row r="1069" spans="1:1" x14ac:dyDescent="0.2">
      <c r="A1069" t="s">
        <v>102</v>
      </c>
    </row>
    <row r="1070" spans="1:1" x14ac:dyDescent="0.2">
      <c r="A1070" t="s">
        <v>102</v>
      </c>
    </row>
    <row r="1071" spans="1:1" x14ac:dyDescent="0.2">
      <c r="A1071" t="s">
        <v>102</v>
      </c>
    </row>
    <row r="1072" spans="1:1" x14ac:dyDescent="0.2">
      <c r="A1072" t="s">
        <v>102</v>
      </c>
    </row>
    <row r="1073" spans="1:1" x14ac:dyDescent="0.2">
      <c r="A1073" t="s">
        <v>102</v>
      </c>
    </row>
    <row r="1074" spans="1:1" x14ac:dyDescent="0.2">
      <c r="A1074" t="s">
        <v>102</v>
      </c>
    </row>
    <row r="1075" spans="1:1" x14ac:dyDescent="0.2">
      <c r="A1075" t="s">
        <v>102</v>
      </c>
    </row>
    <row r="1076" spans="1:1" x14ac:dyDescent="0.2">
      <c r="A1076" t="s">
        <v>102</v>
      </c>
    </row>
    <row r="1077" spans="1:1" x14ac:dyDescent="0.2">
      <c r="A1077" t="s">
        <v>102</v>
      </c>
    </row>
    <row r="1078" spans="1:1" x14ac:dyDescent="0.2">
      <c r="A1078" t="s">
        <v>102</v>
      </c>
    </row>
    <row r="1079" spans="1:1" x14ac:dyDescent="0.2">
      <c r="A1079" t="s">
        <v>102</v>
      </c>
    </row>
    <row r="1080" spans="1:1" x14ac:dyDescent="0.2">
      <c r="A1080" t="s">
        <v>102</v>
      </c>
    </row>
    <row r="1081" spans="1:1" x14ac:dyDescent="0.2">
      <c r="A1081" t="s">
        <v>102</v>
      </c>
    </row>
    <row r="1082" spans="1:1" x14ac:dyDescent="0.2">
      <c r="A1082" t="s">
        <v>102</v>
      </c>
    </row>
    <row r="1083" spans="1:1" x14ac:dyDescent="0.2">
      <c r="A1083" t="s">
        <v>102</v>
      </c>
    </row>
    <row r="1084" spans="1:1" x14ac:dyDescent="0.2">
      <c r="A1084" t="s">
        <v>102</v>
      </c>
    </row>
    <row r="1085" spans="1:1" x14ac:dyDescent="0.2">
      <c r="A1085" t="s">
        <v>102</v>
      </c>
    </row>
    <row r="1086" spans="1:1" x14ac:dyDescent="0.2">
      <c r="A1086" t="s">
        <v>102</v>
      </c>
    </row>
    <row r="1087" spans="1:1" x14ac:dyDescent="0.2">
      <c r="A1087" t="s">
        <v>102</v>
      </c>
    </row>
    <row r="1088" spans="1:1" x14ac:dyDescent="0.2">
      <c r="A1088" t="s">
        <v>102</v>
      </c>
    </row>
    <row r="1089" spans="1:1" x14ac:dyDescent="0.2">
      <c r="A1089" t="s">
        <v>102</v>
      </c>
    </row>
    <row r="1090" spans="1:1" x14ac:dyDescent="0.2">
      <c r="A1090" t="s">
        <v>102</v>
      </c>
    </row>
    <row r="1091" spans="1:1" x14ac:dyDescent="0.2">
      <c r="A1091" t="s">
        <v>102</v>
      </c>
    </row>
    <row r="1092" spans="1:1" x14ac:dyDescent="0.2">
      <c r="A1092" t="s">
        <v>102</v>
      </c>
    </row>
    <row r="1093" spans="1:1" x14ac:dyDescent="0.2">
      <c r="A1093" t="s">
        <v>102</v>
      </c>
    </row>
    <row r="1094" spans="1:1" x14ac:dyDescent="0.2">
      <c r="A1094" t="s">
        <v>102</v>
      </c>
    </row>
    <row r="1095" spans="1:1" x14ac:dyDescent="0.2">
      <c r="A1095" t="s">
        <v>102</v>
      </c>
    </row>
    <row r="1096" spans="1:1" x14ac:dyDescent="0.2">
      <c r="A1096" t="s">
        <v>102</v>
      </c>
    </row>
    <row r="1097" spans="1:1" x14ac:dyDescent="0.2">
      <c r="A1097" t="s">
        <v>102</v>
      </c>
    </row>
    <row r="1098" spans="1:1" x14ac:dyDescent="0.2">
      <c r="A1098" t="s">
        <v>102</v>
      </c>
    </row>
    <row r="1099" spans="1:1" x14ac:dyDescent="0.2">
      <c r="A1099" t="s">
        <v>102</v>
      </c>
    </row>
    <row r="1100" spans="1:1" x14ac:dyDescent="0.2">
      <c r="A1100" t="s">
        <v>102</v>
      </c>
    </row>
    <row r="1101" spans="1:1" x14ac:dyDescent="0.2">
      <c r="A1101" t="s">
        <v>102</v>
      </c>
    </row>
    <row r="1102" spans="1:1" x14ac:dyDescent="0.2">
      <c r="A1102" t="s">
        <v>102</v>
      </c>
    </row>
    <row r="1103" spans="1:1" x14ac:dyDescent="0.2">
      <c r="A1103" t="s">
        <v>102</v>
      </c>
    </row>
    <row r="1104" spans="1:1" x14ac:dyDescent="0.2">
      <c r="A1104" t="s">
        <v>102</v>
      </c>
    </row>
    <row r="1105" spans="1:1" x14ac:dyDescent="0.2">
      <c r="A1105" t="s">
        <v>102</v>
      </c>
    </row>
    <row r="1106" spans="1:1" x14ac:dyDescent="0.2">
      <c r="A1106" t="s">
        <v>102</v>
      </c>
    </row>
    <row r="1107" spans="1:1" x14ac:dyDescent="0.2">
      <c r="A1107" t="s">
        <v>102</v>
      </c>
    </row>
    <row r="1108" spans="1:1" x14ac:dyDescent="0.2">
      <c r="A1108" t="s">
        <v>102</v>
      </c>
    </row>
    <row r="1109" spans="1:1" x14ac:dyDescent="0.2">
      <c r="A1109" t="s">
        <v>102</v>
      </c>
    </row>
    <row r="1110" spans="1:1" x14ac:dyDescent="0.2">
      <c r="A1110" t="s">
        <v>102</v>
      </c>
    </row>
    <row r="1111" spans="1:1" x14ac:dyDescent="0.2">
      <c r="A1111" t="s">
        <v>102</v>
      </c>
    </row>
    <row r="1112" spans="1:1" x14ac:dyDescent="0.2">
      <c r="A1112" t="s">
        <v>102</v>
      </c>
    </row>
    <row r="1113" spans="1:1" x14ac:dyDescent="0.2">
      <c r="A1113" t="s">
        <v>102</v>
      </c>
    </row>
    <row r="1114" spans="1:1" x14ac:dyDescent="0.2">
      <c r="A1114" t="s">
        <v>102</v>
      </c>
    </row>
    <row r="1115" spans="1:1" x14ac:dyDescent="0.2">
      <c r="A1115" t="s">
        <v>102</v>
      </c>
    </row>
    <row r="1116" spans="1:1" x14ac:dyDescent="0.2">
      <c r="A1116" t="s">
        <v>102</v>
      </c>
    </row>
    <row r="1117" spans="1:1" x14ac:dyDescent="0.2">
      <c r="A1117" t="s">
        <v>102</v>
      </c>
    </row>
    <row r="1118" spans="1:1" x14ac:dyDescent="0.2">
      <c r="A1118" t="s">
        <v>102</v>
      </c>
    </row>
    <row r="1119" spans="1:1" x14ac:dyDescent="0.2">
      <c r="A1119" t="s">
        <v>102</v>
      </c>
    </row>
    <row r="1120" spans="1:1" x14ac:dyDescent="0.2">
      <c r="A1120" t="s">
        <v>102</v>
      </c>
    </row>
    <row r="1121" spans="1:1" x14ac:dyDescent="0.2">
      <c r="A1121" t="s">
        <v>102</v>
      </c>
    </row>
    <row r="1122" spans="1:1" x14ac:dyDescent="0.2">
      <c r="A1122" t="s">
        <v>102</v>
      </c>
    </row>
    <row r="1123" spans="1:1" x14ac:dyDescent="0.2">
      <c r="A1123" t="s">
        <v>102</v>
      </c>
    </row>
    <row r="1124" spans="1:1" x14ac:dyDescent="0.2">
      <c r="A1124" t="s">
        <v>102</v>
      </c>
    </row>
    <row r="1125" spans="1:1" x14ac:dyDescent="0.2">
      <c r="A1125" t="s">
        <v>102</v>
      </c>
    </row>
    <row r="1126" spans="1:1" x14ac:dyDescent="0.2">
      <c r="A1126" t="s">
        <v>102</v>
      </c>
    </row>
    <row r="1127" spans="1:1" x14ac:dyDescent="0.2">
      <c r="A1127" t="s">
        <v>102</v>
      </c>
    </row>
    <row r="1128" spans="1:1" x14ac:dyDescent="0.2">
      <c r="A1128" t="s">
        <v>102</v>
      </c>
    </row>
    <row r="1129" spans="1:1" x14ac:dyDescent="0.2">
      <c r="A1129" t="s">
        <v>102</v>
      </c>
    </row>
    <row r="1130" spans="1:1" x14ac:dyDescent="0.2">
      <c r="A1130" t="s">
        <v>102</v>
      </c>
    </row>
    <row r="1131" spans="1:1" x14ac:dyDescent="0.2">
      <c r="A1131" t="s">
        <v>102</v>
      </c>
    </row>
    <row r="1132" spans="1:1" x14ac:dyDescent="0.2">
      <c r="A1132" t="s">
        <v>102</v>
      </c>
    </row>
    <row r="1133" spans="1:1" x14ac:dyDescent="0.2">
      <c r="A1133" t="s">
        <v>102</v>
      </c>
    </row>
    <row r="1134" spans="1:1" x14ac:dyDescent="0.2">
      <c r="A1134" t="s">
        <v>102</v>
      </c>
    </row>
    <row r="1135" spans="1:1" x14ac:dyDescent="0.2">
      <c r="A1135" t="s">
        <v>102</v>
      </c>
    </row>
    <row r="1136" spans="1:1" x14ac:dyDescent="0.2">
      <c r="A1136" t="s">
        <v>102</v>
      </c>
    </row>
    <row r="1137" spans="1:1" x14ac:dyDescent="0.2">
      <c r="A1137" t="s">
        <v>102</v>
      </c>
    </row>
    <row r="1138" spans="1:1" x14ac:dyDescent="0.2">
      <c r="A1138" t="s">
        <v>102</v>
      </c>
    </row>
    <row r="1139" spans="1:1" x14ac:dyDescent="0.2">
      <c r="A1139" t="s">
        <v>102</v>
      </c>
    </row>
    <row r="1140" spans="1:1" x14ac:dyDescent="0.2">
      <c r="A1140" t="s">
        <v>102</v>
      </c>
    </row>
    <row r="1141" spans="1:1" x14ac:dyDescent="0.2">
      <c r="A1141" t="s">
        <v>102</v>
      </c>
    </row>
    <row r="1142" spans="1:1" x14ac:dyDescent="0.2">
      <c r="A1142" t="s">
        <v>102</v>
      </c>
    </row>
    <row r="1143" spans="1:1" x14ac:dyDescent="0.2">
      <c r="A1143" t="s">
        <v>102</v>
      </c>
    </row>
    <row r="1144" spans="1:1" x14ac:dyDescent="0.2">
      <c r="A1144" t="s">
        <v>102</v>
      </c>
    </row>
    <row r="1145" spans="1:1" x14ac:dyDescent="0.2">
      <c r="A1145" t="s">
        <v>102</v>
      </c>
    </row>
    <row r="1146" spans="1:1" x14ac:dyDescent="0.2">
      <c r="A1146" t="s">
        <v>102</v>
      </c>
    </row>
    <row r="1147" spans="1:1" x14ac:dyDescent="0.2">
      <c r="A1147" t="s">
        <v>102</v>
      </c>
    </row>
    <row r="1148" spans="1:1" x14ac:dyDescent="0.2">
      <c r="A1148" t="s">
        <v>102</v>
      </c>
    </row>
    <row r="1149" spans="1:1" x14ac:dyDescent="0.2">
      <c r="A1149" t="s">
        <v>102</v>
      </c>
    </row>
    <row r="1150" spans="1:1" x14ac:dyDescent="0.2">
      <c r="A1150" t="s">
        <v>102</v>
      </c>
    </row>
    <row r="1151" spans="1:1" x14ac:dyDescent="0.2">
      <c r="A1151" t="s">
        <v>102</v>
      </c>
    </row>
    <row r="1152" spans="1:1" x14ac:dyDescent="0.2">
      <c r="A1152" t="s">
        <v>102</v>
      </c>
    </row>
    <row r="1153" spans="1:1" x14ac:dyDescent="0.2">
      <c r="A1153" t="s">
        <v>102</v>
      </c>
    </row>
    <row r="1154" spans="1:1" x14ac:dyDescent="0.2">
      <c r="A1154" t="s">
        <v>102</v>
      </c>
    </row>
    <row r="1155" spans="1:1" x14ac:dyDescent="0.2">
      <c r="A1155" t="s">
        <v>102</v>
      </c>
    </row>
    <row r="1156" spans="1:1" x14ac:dyDescent="0.2">
      <c r="A1156" t="s">
        <v>102</v>
      </c>
    </row>
    <row r="1157" spans="1:1" x14ac:dyDescent="0.2">
      <c r="A1157" t="s">
        <v>102</v>
      </c>
    </row>
    <row r="1158" spans="1:1" x14ac:dyDescent="0.2">
      <c r="A1158" t="s">
        <v>102</v>
      </c>
    </row>
    <row r="1159" spans="1:1" x14ac:dyDescent="0.2">
      <c r="A1159" t="s">
        <v>102</v>
      </c>
    </row>
    <row r="1160" spans="1:1" x14ac:dyDescent="0.2">
      <c r="A1160" t="s">
        <v>102</v>
      </c>
    </row>
    <row r="1161" spans="1:1" x14ac:dyDescent="0.2">
      <c r="A1161" t="s">
        <v>102</v>
      </c>
    </row>
    <row r="1162" spans="1:1" x14ac:dyDescent="0.2">
      <c r="A1162" t="s">
        <v>102</v>
      </c>
    </row>
    <row r="1163" spans="1:1" x14ac:dyDescent="0.2">
      <c r="A1163" t="s">
        <v>102</v>
      </c>
    </row>
    <row r="1164" spans="1:1" x14ac:dyDescent="0.2">
      <c r="A1164" t="s">
        <v>102</v>
      </c>
    </row>
    <row r="1165" spans="1:1" x14ac:dyDescent="0.2">
      <c r="A1165" t="s">
        <v>102</v>
      </c>
    </row>
    <row r="1166" spans="1:1" x14ac:dyDescent="0.2">
      <c r="A1166" t="s">
        <v>102</v>
      </c>
    </row>
    <row r="1167" spans="1:1" x14ac:dyDescent="0.2">
      <c r="A1167" t="s">
        <v>102</v>
      </c>
    </row>
    <row r="1168" spans="1:1" x14ac:dyDescent="0.2">
      <c r="A1168" t="s">
        <v>102</v>
      </c>
    </row>
    <row r="1169" spans="1:1" x14ac:dyDescent="0.2">
      <c r="A1169" t="s">
        <v>102</v>
      </c>
    </row>
    <row r="1170" spans="1:1" x14ac:dyDescent="0.2">
      <c r="A1170" t="s">
        <v>102</v>
      </c>
    </row>
    <row r="1171" spans="1:1" x14ac:dyDescent="0.2">
      <c r="A1171" t="s">
        <v>102</v>
      </c>
    </row>
    <row r="1172" spans="1:1" x14ac:dyDescent="0.2">
      <c r="A1172" t="s">
        <v>102</v>
      </c>
    </row>
    <row r="1173" spans="1:1" x14ac:dyDescent="0.2">
      <c r="A1173" t="s">
        <v>102</v>
      </c>
    </row>
    <row r="1174" spans="1:1" x14ac:dyDescent="0.2">
      <c r="A1174" t="s">
        <v>102</v>
      </c>
    </row>
    <row r="1175" spans="1:1" x14ac:dyDescent="0.2">
      <c r="A1175" t="s">
        <v>102</v>
      </c>
    </row>
    <row r="1176" spans="1:1" x14ac:dyDescent="0.2">
      <c r="A1176" t="s">
        <v>102</v>
      </c>
    </row>
    <row r="1177" spans="1:1" x14ac:dyDescent="0.2">
      <c r="A1177" t="s">
        <v>102</v>
      </c>
    </row>
    <row r="1178" spans="1:1" x14ac:dyDescent="0.2">
      <c r="A1178" t="s">
        <v>102</v>
      </c>
    </row>
    <row r="1179" spans="1:1" x14ac:dyDescent="0.2">
      <c r="A1179" t="s">
        <v>102</v>
      </c>
    </row>
    <row r="1180" spans="1:1" x14ac:dyDescent="0.2">
      <c r="A1180" t="s">
        <v>102</v>
      </c>
    </row>
    <row r="1181" spans="1:1" x14ac:dyDescent="0.2">
      <c r="A1181" t="s">
        <v>102</v>
      </c>
    </row>
    <row r="1182" spans="1:1" x14ac:dyDescent="0.2">
      <c r="A1182" t="s">
        <v>102</v>
      </c>
    </row>
    <row r="1183" spans="1:1" x14ac:dyDescent="0.2">
      <c r="A1183" t="s">
        <v>102</v>
      </c>
    </row>
    <row r="1184" spans="1:1" x14ac:dyDescent="0.2">
      <c r="A1184" t="s">
        <v>102</v>
      </c>
    </row>
    <row r="1185" spans="1:1" x14ac:dyDescent="0.2">
      <c r="A1185" t="s">
        <v>102</v>
      </c>
    </row>
    <row r="1186" spans="1:1" x14ac:dyDescent="0.2">
      <c r="A1186" t="s">
        <v>102</v>
      </c>
    </row>
    <row r="1187" spans="1:1" x14ac:dyDescent="0.2">
      <c r="A1187" t="s">
        <v>102</v>
      </c>
    </row>
    <row r="1188" spans="1:1" x14ac:dyDescent="0.2">
      <c r="A1188" t="s">
        <v>102</v>
      </c>
    </row>
    <row r="1189" spans="1:1" x14ac:dyDescent="0.2">
      <c r="A1189" t="s">
        <v>102</v>
      </c>
    </row>
    <row r="1190" spans="1:1" x14ac:dyDescent="0.2">
      <c r="A1190" t="s">
        <v>102</v>
      </c>
    </row>
    <row r="1191" spans="1:1" x14ac:dyDescent="0.2">
      <c r="A1191" t="s">
        <v>102</v>
      </c>
    </row>
    <row r="1192" spans="1:1" x14ac:dyDescent="0.2">
      <c r="A1192" t="s">
        <v>102</v>
      </c>
    </row>
    <row r="1193" spans="1:1" x14ac:dyDescent="0.2">
      <c r="A1193" t="s">
        <v>102</v>
      </c>
    </row>
    <row r="1194" spans="1:1" x14ac:dyDescent="0.2">
      <c r="A1194" t="s">
        <v>102</v>
      </c>
    </row>
    <row r="1195" spans="1:1" x14ac:dyDescent="0.2">
      <c r="A1195" t="s">
        <v>102</v>
      </c>
    </row>
    <row r="1196" spans="1:1" x14ac:dyDescent="0.2">
      <c r="A1196" t="s">
        <v>102</v>
      </c>
    </row>
    <row r="1197" spans="1:1" x14ac:dyDescent="0.2">
      <c r="A1197" t="s">
        <v>102</v>
      </c>
    </row>
    <row r="1198" spans="1:1" x14ac:dyDescent="0.2">
      <c r="A1198" t="s">
        <v>102</v>
      </c>
    </row>
    <row r="1199" spans="1:1" x14ac:dyDescent="0.2">
      <c r="A1199" t="s">
        <v>102</v>
      </c>
    </row>
    <row r="1200" spans="1:1" x14ac:dyDescent="0.2">
      <c r="A1200" t="s">
        <v>102</v>
      </c>
    </row>
    <row r="1201" spans="1:1" x14ac:dyDescent="0.2">
      <c r="A1201" t="s">
        <v>102</v>
      </c>
    </row>
    <row r="1202" spans="1:1" x14ac:dyDescent="0.2">
      <c r="A1202" t="s">
        <v>102</v>
      </c>
    </row>
    <row r="1203" spans="1:1" x14ac:dyDescent="0.2">
      <c r="A1203" t="s">
        <v>102</v>
      </c>
    </row>
    <row r="1204" spans="1:1" x14ac:dyDescent="0.2">
      <c r="A1204" t="s">
        <v>102</v>
      </c>
    </row>
    <row r="1205" spans="1:1" x14ac:dyDescent="0.2">
      <c r="A1205" t="s">
        <v>102</v>
      </c>
    </row>
    <row r="1206" spans="1:1" x14ac:dyDescent="0.2">
      <c r="A1206" t="s">
        <v>102</v>
      </c>
    </row>
    <row r="1207" spans="1:1" x14ac:dyDescent="0.2">
      <c r="A1207" t="s">
        <v>102</v>
      </c>
    </row>
    <row r="1208" spans="1:1" x14ac:dyDescent="0.2">
      <c r="A1208" t="s">
        <v>102</v>
      </c>
    </row>
    <row r="1209" spans="1:1" x14ac:dyDescent="0.2">
      <c r="A1209" t="s">
        <v>102</v>
      </c>
    </row>
    <row r="1210" spans="1:1" x14ac:dyDescent="0.2">
      <c r="A1210" t="s">
        <v>102</v>
      </c>
    </row>
    <row r="1211" spans="1:1" x14ac:dyDescent="0.2">
      <c r="A1211" t="s">
        <v>102</v>
      </c>
    </row>
    <row r="1212" spans="1:1" x14ac:dyDescent="0.2">
      <c r="A1212" t="s">
        <v>102</v>
      </c>
    </row>
    <row r="1213" spans="1:1" x14ac:dyDescent="0.2">
      <c r="A1213" t="s">
        <v>102</v>
      </c>
    </row>
    <row r="1214" spans="1:1" x14ac:dyDescent="0.2">
      <c r="A1214" t="s">
        <v>102</v>
      </c>
    </row>
    <row r="1215" spans="1:1" x14ac:dyDescent="0.2">
      <c r="A1215" t="s">
        <v>102</v>
      </c>
    </row>
    <row r="1216" spans="1:1" x14ac:dyDescent="0.2">
      <c r="A1216" t="s">
        <v>102</v>
      </c>
    </row>
    <row r="1217" spans="1:1" x14ac:dyDescent="0.2">
      <c r="A1217" t="s">
        <v>102</v>
      </c>
    </row>
    <row r="1218" spans="1:1" x14ac:dyDescent="0.2">
      <c r="A1218" t="s">
        <v>102</v>
      </c>
    </row>
    <row r="1219" spans="1:1" x14ac:dyDescent="0.2">
      <c r="A1219" t="s">
        <v>102</v>
      </c>
    </row>
    <row r="1220" spans="1:1" x14ac:dyDescent="0.2">
      <c r="A1220" t="s">
        <v>102</v>
      </c>
    </row>
    <row r="1221" spans="1:1" x14ac:dyDescent="0.2">
      <c r="A1221" t="s">
        <v>102</v>
      </c>
    </row>
    <row r="1222" spans="1:1" x14ac:dyDescent="0.2">
      <c r="A1222" t="s">
        <v>102</v>
      </c>
    </row>
    <row r="1223" spans="1:1" x14ac:dyDescent="0.2">
      <c r="A1223" t="s">
        <v>102</v>
      </c>
    </row>
    <row r="1224" spans="1:1" x14ac:dyDescent="0.2">
      <c r="A1224" t="s">
        <v>102</v>
      </c>
    </row>
    <row r="1225" spans="1:1" x14ac:dyDescent="0.2">
      <c r="A1225" t="s">
        <v>102</v>
      </c>
    </row>
    <row r="1226" spans="1:1" x14ac:dyDescent="0.2">
      <c r="A1226" t="s">
        <v>102</v>
      </c>
    </row>
    <row r="1227" spans="1:1" x14ac:dyDescent="0.2">
      <c r="A1227" t="s">
        <v>102</v>
      </c>
    </row>
    <row r="1228" spans="1:1" x14ac:dyDescent="0.2">
      <c r="A1228" t="s">
        <v>102</v>
      </c>
    </row>
    <row r="1229" spans="1:1" x14ac:dyDescent="0.2">
      <c r="A1229" t="s">
        <v>102</v>
      </c>
    </row>
    <row r="1230" spans="1:1" x14ac:dyDescent="0.2">
      <c r="A1230" t="s">
        <v>102</v>
      </c>
    </row>
    <row r="1231" spans="1:1" x14ac:dyDescent="0.2">
      <c r="A1231" t="s">
        <v>102</v>
      </c>
    </row>
    <row r="1232" spans="1:1" x14ac:dyDescent="0.2">
      <c r="A1232" t="s">
        <v>102</v>
      </c>
    </row>
    <row r="1233" spans="1:1" x14ac:dyDescent="0.2">
      <c r="A1233" t="s">
        <v>102</v>
      </c>
    </row>
    <row r="1234" spans="1:1" x14ac:dyDescent="0.2">
      <c r="A1234" t="s">
        <v>102</v>
      </c>
    </row>
    <row r="1235" spans="1:1" x14ac:dyDescent="0.2">
      <c r="A1235" t="s">
        <v>102</v>
      </c>
    </row>
    <row r="1236" spans="1:1" x14ac:dyDescent="0.2">
      <c r="A1236" t="s">
        <v>102</v>
      </c>
    </row>
    <row r="1237" spans="1:1" x14ac:dyDescent="0.2">
      <c r="A1237" t="s">
        <v>102</v>
      </c>
    </row>
    <row r="1238" spans="1:1" x14ac:dyDescent="0.2">
      <c r="A1238" t="s">
        <v>102</v>
      </c>
    </row>
    <row r="1239" spans="1:1" x14ac:dyDescent="0.2">
      <c r="A1239" t="s">
        <v>102</v>
      </c>
    </row>
    <row r="1240" spans="1:1" x14ac:dyDescent="0.2">
      <c r="A1240" t="s">
        <v>102</v>
      </c>
    </row>
    <row r="1241" spans="1:1" x14ac:dyDescent="0.2">
      <c r="A1241" t="s">
        <v>102</v>
      </c>
    </row>
    <row r="1242" spans="1:1" x14ac:dyDescent="0.2">
      <c r="A1242" t="s">
        <v>102</v>
      </c>
    </row>
    <row r="1243" spans="1:1" x14ac:dyDescent="0.2">
      <c r="A1243" t="s">
        <v>102</v>
      </c>
    </row>
    <row r="1244" spans="1:1" x14ac:dyDescent="0.2">
      <c r="A1244" t="s">
        <v>102</v>
      </c>
    </row>
    <row r="1245" spans="1:1" x14ac:dyDescent="0.2">
      <c r="A1245" t="s">
        <v>102</v>
      </c>
    </row>
    <row r="1246" spans="1:1" x14ac:dyDescent="0.2">
      <c r="A1246" t="s">
        <v>102</v>
      </c>
    </row>
    <row r="1247" spans="1:1" x14ac:dyDescent="0.2">
      <c r="A1247" t="s">
        <v>102</v>
      </c>
    </row>
    <row r="1248" spans="1:1" x14ac:dyDescent="0.2">
      <c r="A1248" t="s">
        <v>102</v>
      </c>
    </row>
    <row r="1249" spans="1:1" x14ac:dyDescent="0.2">
      <c r="A1249" t="s">
        <v>102</v>
      </c>
    </row>
    <row r="1250" spans="1:1" x14ac:dyDescent="0.2">
      <c r="A1250" t="s">
        <v>102</v>
      </c>
    </row>
    <row r="1251" spans="1:1" x14ac:dyDescent="0.2">
      <c r="A1251" t="s">
        <v>102</v>
      </c>
    </row>
    <row r="1252" spans="1:1" x14ac:dyDescent="0.2">
      <c r="A1252" t="s">
        <v>102</v>
      </c>
    </row>
    <row r="1253" spans="1:1" x14ac:dyDescent="0.2">
      <c r="A1253" t="s">
        <v>102</v>
      </c>
    </row>
    <row r="1254" spans="1:1" x14ac:dyDescent="0.2">
      <c r="A1254" t="s">
        <v>102</v>
      </c>
    </row>
    <row r="1255" spans="1:1" x14ac:dyDescent="0.2">
      <c r="A1255" t="s">
        <v>102</v>
      </c>
    </row>
    <row r="1256" spans="1:1" x14ac:dyDescent="0.2">
      <c r="A1256" t="s">
        <v>102</v>
      </c>
    </row>
    <row r="1257" spans="1:1" x14ac:dyDescent="0.2">
      <c r="A1257" t="s">
        <v>102</v>
      </c>
    </row>
    <row r="1258" spans="1:1" x14ac:dyDescent="0.2">
      <c r="A1258" t="s">
        <v>102</v>
      </c>
    </row>
    <row r="1259" spans="1:1" x14ac:dyDescent="0.2">
      <c r="A1259" t="s">
        <v>102</v>
      </c>
    </row>
    <row r="1260" spans="1:1" x14ac:dyDescent="0.2">
      <c r="A1260" t="s">
        <v>102</v>
      </c>
    </row>
    <row r="1261" spans="1:1" x14ac:dyDescent="0.2">
      <c r="A1261" t="s">
        <v>102</v>
      </c>
    </row>
    <row r="1262" spans="1:1" x14ac:dyDescent="0.2">
      <c r="A1262" t="s">
        <v>102</v>
      </c>
    </row>
    <row r="1263" spans="1:1" x14ac:dyDescent="0.2">
      <c r="A1263" t="s">
        <v>102</v>
      </c>
    </row>
    <row r="1264" spans="1:1" x14ac:dyDescent="0.2">
      <c r="A1264" t="s">
        <v>102</v>
      </c>
    </row>
    <row r="1265" spans="1:1" x14ac:dyDescent="0.2">
      <c r="A1265" t="s">
        <v>102</v>
      </c>
    </row>
    <row r="1266" spans="1:1" x14ac:dyDescent="0.2">
      <c r="A1266" t="s">
        <v>102</v>
      </c>
    </row>
    <row r="1267" spans="1:1" x14ac:dyDescent="0.2">
      <c r="A1267" t="s">
        <v>102</v>
      </c>
    </row>
    <row r="1268" spans="1:1" x14ac:dyDescent="0.2">
      <c r="A1268" t="s">
        <v>102</v>
      </c>
    </row>
    <row r="1269" spans="1:1" x14ac:dyDescent="0.2">
      <c r="A1269" t="s">
        <v>102</v>
      </c>
    </row>
    <row r="1270" spans="1:1" x14ac:dyDescent="0.2">
      <c r="A1270" t="s">
        <v>102</v>
      </c>
    </row>
    <row r="1271" spans="1:1" x14ac:dyDescent="0.2">
      <c r="A1271" t="s">
        <v>102</v>
      </c>
    </row>
    <row r="1272" spans="1:1" x14ac:dyDescent="0.2">
      <c r="A1272" t="s">
        <v>102</v>
      </c>
    </row>
    <row r="1273" spans="1:1" x14ac:dyDescent="0.2">
      <c r="A1273" t="s">
        <v>102</v>
      </c>
    </row>
    <row r="1274" spans="1:1" x14ac:dyDescent="0.2">
      <c r="A1274" t="s">
        <v>102</v>
      </c>
    </row>
    <row r="1275" spans="1:1" x14ac:dyDescent="0.2">
      <c r="A1275" t="s">
        <v>102</v>
      </c>
    </row>
    <row r="1276" spans="1:1" x14ac:dyDescent="0.2">
      <c r="A1276" t="s">
        <v>102</v>
      </c>
    </row>
    <row r="1277" spans="1:1" x14ac:dyDescent="0.2">
      <c r="A1277" t="s">
        <v>102</v>
      </c>
    </row>
    <row r="1278" spans="1:1" x14ac:dyDescent="0.2">
      <c r="A1278" t="s">
        <v>102</v>
      </c>
    </row>
    <row r="1279" spans="1:1" x14ac:dyDescent="0.2">
      <c r="A1279" t="s">
        <v>102</v>
      </c>
    </row>
    <row r="1280" spans="1:1" x14ac:dyDescent="0.2">
      <c r="A1280" t="s">
        <v>102</v>
      </c>
    </row>
    <row r="1281" spans="1:1" x14ac:dyDescent="0.2">
      <c r="A1281" t="s">
        <v>102</v>
      </c>
    </row>
    <row r="1282" spans="1:1" x14ac:dyDescent="0.2">
      <c r="A1282" t="s">
        <v>102</v>
      </c>
    </row>
    <row r="1283" spans="1:1" x14ac:dyDescent="0.2">
      <c r="A1283" t="s">
        <v>102</v>
      </c>
    </row>
    <row r="1284" spans="1:1" x14ac:dyDescent="0.2">
      <c r="A1284" t="s">
        <v>102</v>
      </c>
    </row>
    <row r="1285" spans="1:1" x14ac:dyDescent="0.2">
      <c r="A1285" t="s">
        <v>102</v>
      </c>
    </row>
    <row r="1286" spans="1:1" x14ac:dyDescent="0.2">
      <c r="A1286" t="s">
        <v>102</v>
      </c>
    </row>
    <row r="1287" spans="1:1" x14ac:dyDescent="0.2">
      <c r="A1287" t="s">
        <v>102</v>
      </c>
    </row>
    <row r="1288" spans="1:1" x14ac:dyDescent="0.2">
      <c r="A1288" t="s">
        <v>102</v>
      </c>
    </row>
    <row r="1289" spans="1:1" x14ac:dyDescent="0.2">
      <c r="A1289" t="s">
        <v>102</v>
      </c>
    </row>
    <row r="1290" spans="1:1" x14ac:dyDescent="0.2">
      <c r="A1290" t="s">
        <v>102</v>
      </c>
    </row>
    <row r="1291" spans="1:1" x14ac:dyDescent="0.2">
      <c r="A1291" t="s">
        <v>102</v>
      </c>
    </row>
    <row r="1292" spans="1:1" x14ac:dyDescent="0.2">
      <c r="A1292" t="s">
        <v>102</v>
      </c>
    </row>
    <row r="1293" spans="1:1" x14ac:dyDescent="0.2">
      <c r="A1293" t="s">
        <v>102</v>
      </c>
    </row>
    <row r="1294" spans="1:1" x14ac:dyDescent="0.2">
      <c r="A1294" t="s">
        <v>102</v>
      </c>
    </row>
    <row r="1295" spans="1:1" x14ac:dyDescent="0.2">
      <c r="A1295" t="s">
        <v>102</v>
      </c>
    </row>
    <row r="1296" spans="1:1" x14ac:dyDescent="0.2">
      <c r="A1296" t="s">
        <v>102</v>
      </c>
    </row>
    <row r="1297" spans="1:1" x14ac:dyDescent="0.2">
      <c r="A1297" t="s">
        <v>102</v>
      </c>
    </row>
    <row r="1298" spans="1:1" x14ac:dyDescent="0.2">
      <c r="A1298" t="s">
        <v>102</v>
      </c>
    </row>
    <row r="1299" spans="1:1" x14ac:dyDescent="0.2">
      <c r="A1299" t="s">
        <v>102</v>
      </c>
    </row>
    <row r="1300" spans="1:1" x14ac:dyDescent="0.2">
      <c r="A1300" t="s">
        <v>102</v>
      </c>
    </row>
    <row r="1301" spans="1:1" x14ac:dyDescent="0.2">
      <c r="A1301" t="s">
        <v>102</v>
      </c>
    </row>
    <row r="1302" spans="1:1" x14ac:dyDescent="0.2">
      <c r="A1302" t="s">
        <v>102</v>
      </c>
    </row>
    <row r="1303" spans="1:1" x14ac:dyDescent="0.2">
      <c r="A1303" t="s">
        <v>102</v>
      </c>
    </row>
    <row r="1304" spans="1:1" x14ac:dyDescent="0.2">
      <c r="A1304" t="s">
        <v>102</v>
      </c>
    </row>
    <row r="1305" spans="1:1" x14ac:dyDescent="0.2">
      <c r="A1305" t="s">
        <v>102</v>
      </c>
    </row>
    <row r="1306" spans="1:1" x14ac:dyDescent="0.2">
      <c r="A1306" t="s">
        <v>102</v>
      </c>
    </row>
    <row r="1307" spans="1:1" x14ac:dyDescent="0.2">
      <c r="A1307" t="s">
        <v>102</v>
      </c>
    </row>
    <row r="1308" spans="1:1" x14ac:dyDescent="0.2">
      <c r="A1308" t="s">
        <v>102</v>
      </c>
    </row>
    <row r="1309" spans="1:1" x14ac:dyDescent="0.2">
      <c r="A1309" t="s">
        <v>102</v>
      </c>
    </row>
    <row r="1310" spans="1:1" x14ac:dyDescent="0.2">
      <c r="A1310" t="s">
        <v>102</v>
      </c>
    </row>
    <row r="1311" spans="1:1" x14ac:dyDescent="0.2">
      <c r="A1311" t="s">
        <v>102</v>
      </c>
    </row>
    <row r="1312" spans="1:1" x14ac:dyDescent="0.2">
      <c r="A1312" t="s">
        <v>102</v>
      </c>
    </row>
    <row r="1313" spans="1:1" x14ac:dyDescent="0.2">
      <c r="A1313" t="s">
        <v>102</v>
      </c>
    </row>
    <row r="1314" spans="1:1" x14ac:dyDescent="0.2">
      <c r="A1314" t="s">
        <v>102</v>
      </c>
    </row>
    <row r="1315" spans="1:1" x14ac:dyDescent="0.2">
      <c r="A1315" t="s">
        <v>102</v>
      </c>
    </row>
    <row r="1316" spans="1:1" x14ac:dyDescent="0.2">
      <c r="A1316" t="s">
        <v>102</v>
      </c>
    </row>
    <row r="1317" spans="1:1" x14ac:dyDescent="0.2">
      <c r="A1317" t="s">
        <v>102</v>
      </c>
    </row>
    <row r="1318" spans="1:1" x14ac:dyDescent="0.2">
      <c r="A1318" t="s">
        <v>102</v>
      </c>
    </row>
    <row r="1319" spans="1:1" x14ac:dyDescent="0.2">
      <c r="A1319" t="s">
        <v>102</v>
      </c>
    </row>
    <row r="1320" spans="1:1" x14ac:dyDescent="0.2">
      <c r="A1320" t="s">
        <v>102</v>
      </c>
    </row>
    <row r="1321" spans="1:1" x14ac:dyDescent="0.2">
      <c r="A1321" t="s">
        <v>102</v>
      </c>
    </row>
    <row r="1322" spans="1:1" x14ac:dyDescent="0.2">
      <c r="A1322" t="s">
        <v>102</v>
      </c>
    </row>
    <row r="1323" spans="1:1" x14ac:dyDescent="0.2">
      <c r="A1323" t="s">
        <v>102</v>
      </c>
    </row>
    <row r="1324" spans="1:1" x14ac:dyDescent="0.2">
      <c r="A1324" t="s">
        <v>102</v>
      </c>
    </row>
    <row r="1325" spans="1:1" x14ac:dyDescent="0.2">
      <c r="A1325" t="s">
        <v>102</v>
      </c>
    </row>
    <row r="1326" spans="1:1" x14ac:dyDescent="0.2">
      <c r="A1326" t="s">
        <v>102</v>
      </c>
    </row>
    <row r="1327" spans="1:1" x14ac:dyDescent="0.2">
      <c r="A1327" t="s">
        <v>102</v>
      </c>
    </row>
    <row r="1328" spans="1:1" x14ac:dyDescent="0.2">
      <c r="A1328" t="s">
        <v>102</v>
      </c>
    </row>
    <row r="1329" spans="1:1" x14ac:dyDescent="0.2">
      <c r="A1329" t="s">
        <v>102</v>
      </c>
    </row>
    <row r="1330" spans="1:1" x14ac:dyDescent="0.2">
      <c r="A1330" t="s">
        <v>102</v>
      </c>
    </row>
    <row r="1331" spans="1:1" x14ac:dyDescent="0.2">
      <c r="A1331" t="s">
        <v>102</v>
      </c>
    </row>
    <row r="1332" spans="1:1" x14ac:dyDescent="0.2">
      <c r="A1332" t="s">
        <v>102</v>
      </c>
    </row>
    <row r="1333" spans="1:1" x14ac:dyDescent="0.2">
      <c r="A1333" t="s">
        <v>102</v>
      </c>
    </row>
    <row r="1334" spans="1:1" x14ac:dyDescent="0.2">
      <c r="A1334" t="s">
        <v>102</v>
      </c>
    </row>
    <row r="1335" spans="1:1" x14ac:dyDescent="0.2">
      <c r="A1335" t="s">
        <v>102</v>
      </c>
    </row>
    <row r="1336" spans="1:1" x14ac:dyDescent="0.2">
      <c r="A1336" t="s">
        <v>102</v>
      </c>
    </row>
    <row r="1337" spans="1:1" x14ac:dyDescent="0.2">
      <c r="A1337" t="s">
        <v>102</v>
      </c>
    </row>
    <row r="1338" spans="1:1" x14ac:dyDescent="0.2">
      <c r="A1338" t="s">
        <v>102</v>
      </c>
    </row>
    <row r="1339" spans="1:1" x14ac:dyDescent="0.2">
      <c r="A1339" t="s">
        <v>102</v>
      </c>
    </row>
    <row r="1340" spans="1:1" x14ac:dyDescent="0.2">
      <c r="A1340" t="s">
        <v>102</v>
      </c>
    </row>
    <row r="1341" spans="1:1" x14ac:dyDescent="0.2">
      <c r="A1341" t="s">
        <v>102</v>
      </c>
    </row>
    <row r="1342" spans="1:1" x14ac:dyDescent="0.2">
      <c r="A1342" t="s">
        <v>102</v>
      </c>
    </row>
    <row r="1343" spans="1:1" x14ac:dyDescent="0.2">
      <c r="A1343" t="s">
        <v>102</v>
      </c>
    </row>
    <row r="1344" spans="1:1" x14ac:dyDescent="0.2">
      <c r="A1344" t="s">
        <v>102</v>
      </c>
    </row>
    <row r="1345" spans="1:1" x14ac:dyDescent="0.2">
      <c r="A1345" t="s">
        <v>102</v>
      </c>
    </row>
    <row r="1346" spans="1:1" x14ac:dyDescent="0.2">
      <c r="A1346" t="s">
        <v>102</v>
      </c>
    </row>
    <row r="1347" spans="1:1" x14ac:dyDescent="0.2">
      <c r="A1347" t="s">
        <v>102</v>
      </c>
    </row>
    <row r="1348" spans="1:1" x14ac:dyDescent="0.2">
      <c r="A1348" t="s">
        <v>102</v>
      </c>
    </row>
    <row r="1349" spans="1:1" x14ac:dyDescent="0.2">
      <c r="A1349" t="s">
        <v>102</v>
      </c>
    </row>
    <row r="1350" spans="1:1" x14ac:dyDescent="0.2">
      <c r="A1350" t="s">
        <v>102</v>
      </c>
    </row>
    <row r="1351" spans="1:1" x14ac:dyDescent="0.2">
      <c r="A1351" t="s">
        <v>102</v>
      </c>
    </row>
    <row r="1352" spans="1:1" x14ac:dyDescent="0.2">
      <c r="A1352" t="s">
        <v>102</v>
      </c>
    </row>
    <row r="1353" spans="1:1" x14ac:dyDescent="0.2">
      <c r="A1353" t="s">
        <v>102</v>
      </c>
    </row>
    <row r="1354" spans="1:1" x14ac:dyDescent="0.2">
      <c r="A1354" t="s">
        <v>102</v>
      </c>
    </row>
    <row r="1355" spans="1:1" x14ac:dyDescent="0.2">
      <c r="A1355" t="s">
        <v>102</v>
      </c>
    </row>
    <row r="1356" spans="1:1" x14ac:dyDescent="0.2">
      <c r="A1356" t="s">
        <v>102</v>
      </c>
    </row>
    <row r="1357" spans="1:1" x14ac:dyDescent="0.2">
      <c r="A1357" t="s">
        <v>102</v>
      </c>
    </row>
    <row r="1358" spans="1:1" x14ac:dyDescent="0.2">
      <c r="A1358" t="s">
        <v>102</v>
      </c>
    </row>
    <row r="1359" spans="1:1" x14ac:dyDescent="0.2">
      <c r="A1359" t="s">
        <v>102</v>
      </c>
    </row>
    <row r="1360" spans="1:1" x14ac:dyDescent="0.2">
      <c r="A1360" t="s">
        <v>102</v>
      </c>
    </row>
    <row r="1361" spans="1:1" x14ac:dyDescent="0.2">
      <c r="A1361" t="s">
        <v>102</v>
      </c>
    </row>
    <row r="1362" spans="1:1" x14ac:dyDescent="0.2">
      <c r="A1362" t="s">
        <v>102</v>
      </c>
    </row>
    <row r="1363" spans="1:1" x14ac:dyDescent="0.2">
      <c r="A1363" t="s">
        <v>102</v>
      </c>
    </row>
    <row r="1364" spans="1:1" x14ac:dyDescent="0.2">
      <c r="A1364" t="s">
        <v>102</v>
      </c>
    </row>
    <row r="1365" spans="1:1" x14ac:dyDescent="0.2">
      <c r="A1365" t="s">
        <v>102</v>
      </c>
    </row>
    <row r="1366" spans="1:1" x14ac:dyDescent="0.2">
      <c r="A1366" t="s">
        <v>102</v>
      </c>
    </row>
    <row r="1367" spans="1:1" x14ac:dyDescent="0.2">
      <c r="A1367" t="s">
        <v>102</v>
      </c>
    </row>
    <row r="1368" spans="1:1" x14ac:dyDescent="0.2">
      <c r="A1368" t="s">
        <v>102</v>
      </c>
    </row>
    <row r="1369" spans="1:1" x14ac:dyDescent="0.2">
      <c r="A1369" t="s">
        <v>102</v>
      </c>
    </row>
    <row r="1370" spans="1:1" x14ac:dyDescent="0.2">
      <c r="A1370" t="s">
        <v>102</v>
      </c>
    </row>
    <row r="1371" spans="1:1" x14ac:dyDescent="0.2">
      <c r="A1371" t="s">
        <v>102</v>
      </c>
    </row>
    <row r="1372" spans="1:1" x14ac:dyDescent="0.2">
      <c r="A1372" t="s">
        <v>102</v>
      </c>
    </row>
    <row r="1373" spans="1:1" x14ac:dyDescent="0.2">
      <c r="A1373" t="s">
        <v>102</v>
      </c>
    </row>
    <row r="1374" spans="1:1" x14ac:dyDescent="0.2">
      <c r="A1374" t="s">
        <v>102</v>
      </c>
    </row>
    <row r="1375" spans="1:1" x14ac:dyDescent="0.2">
      <c r="A1375" t="s">
        <v>102</v>
      </c>
    </row>
    <row r="1376" spans="1:1" x14ac:dyDescent="0.2">
      <c r="A1376" t="s">
        <v>102</v>
      </c>
    </row>
    <row r="1377" spans="1:1" x14ac:dyDescent="0.2">
      <c r="A1377" t="s">
        <v>102</v>
      </c>
    </row>
    <row r="1378" spans="1:1" x14ac:dyDescent="0.2">
      <c r="A1378" t="s">
        <v>102</v>
      </c>
    </row>
    <row r="1379" spans="1:1" x14ac:dyDescent="0.2">
      <c r="A1379" t="s">
        <v>102</v>
      </c>
    </row>
    <row r="1380" spans="1:1" x14ac:dyDescent="0.2">
      <c r="A1380" t="s">
        <v>102</v>
      </c>
    </row>
    <row r="1381" spans="1:1" x14ac:dyDescent="0.2">
      <c r="A1381" t="s">
        <v>102</v>
      </c>
    </row>
    <row r="1382" spans="1:1" x14ac:dyDescent="0.2">
      <c r="A1382" t="s">
        <v>102</v>
      </c>
    </row>
    <row r="1383" spans="1:1" x14ac:dyDescent="0.2">
      <c r="A1383" t="s">
        <v>102</v>
      </c>
    </row>
    <row r="1384" spans="1:1" x14ac:dyDescent="0.2">
      <c r="A1384" t="s">
        <v>102</v>
      </c>
    </row>
    <row r="1385" spans="1:1" x14ac:dyDescent="0.2">
      <c r="A1385" t="s">
        <v>102</v>
      </c>
    </row>
    <row r="1386" spans="1:1" x14ac:dyDescent="0.2">
      <c r="A1386" t="s">
        <v>102</v>
      </c>
    </row>
    <row r="1387" spans="1:1" x14ac:dyDescent="0.2">
      <c r="A1387" t="s">
        <v>102</v>
      </c>
    </row>
    <row r="1388" spans="1:1" x14ac:dyDescent="0.2">
      <c r="A1388" t="s">
        <v>102</v>
      </c>
    </row>
    <row r="1389" spans="1:1" x14ac:dyDescent="0.2">
      <c r="A1389" t="s">
        <v>102</v>
      </c>
    </row>
    <row r="1390" spans="1:1" x14ac:dyDescent="0.2">
      <c r="A1390" t="s">
        <v>102</v>
      </c>
    </row>
    <row r="1391" spans="1:1" x14ac:dyDescent="0.2">
      <c r="A1391" t="s">
        <v>102</v>
      </c>
    </row>
    <row r="1392" spans="1:1" x14ac:dyDescent="0.2">
      <c r="A1392" t="s">
        <v>102</v>
      </c>
    </row>
    <row r="1393" spans="1:1" x14ac:dyDescent="0.2">
      <c r="A1393" t="s">
        <v>102</v>
      </c>
    </row>
    <row r="1394" spans="1:1" x14ac:dyDescent="0.2">
      <c r="A1394" t="s">
        <v>102</v>
      </c>
    </row>
    <row r="1395" spans="1:1" x14ac:dyDescent="0.2">
      <c r="A1395" t="s">
        <v>102</v>
      </c>
    </row>
    <row r="1396" spans="1:1" x14ac:dyDescent="0.2">
      <c r="A1396" t="s">
        <v>102</v>
      </c>
    </row>
    <row r="1397" spans="1:1" x14ac:dyDescent="0.2">
      <c r="A1397" t="s">
        <v>102</v>
      </c>
    </row>
    <row r="1398" spans="1:1" x14ac:dyDescent="0.2">
      <c r="A1398" t="s">
        <v>102</v>
      </c>
    </row>
    <row r="1399" spans="1:1" x14ac:dyDescent="0.2">
      <c r="A1399" t="s">
        <v>102</v>
      </c>
    </row>
    <row r="1400" spans="1:1" x14ac:dyDescent="0.2">
      <c r="A1400" t="s">
        <v>102</v>
      </c>
    </row>
    <row r="1401" spans="1:1" x14ac:dyDescent="0.2">
      <c r="A1401" t="s">
        <v>102</v>
      </c>
    </row>
    <row r="1402" spans="1:1" x14ac:dyDescent="0.2">
      <c r="A1402" t="s">
        <v>102</v>
      </c>
    </row>
    <row r="1403" spans="1:1" x14ac:dyDescent="0.2">
      <c r="A1403" t="s">
        <v>102</v>
      </c>
    </row>
    <row r="1404" spans="1:1" x14ac:dyDescent="0.2">
      <c r="A1404" t="s">
        <v>102</v>
      </c>
    </row>
    <row r="1405" spans="1:1" x14ac:dyDescent="0.2">
      <c r="A1405" t="s">
        <v>102</v>
      </c>
    </row>
    <row r="1406" spans="1:1" x14ac:dyDescent="0.2">
      <c r="A1406" t="s">
        <v>102</v>
      </c>
    </row>
    <row r="1407" spans="1:1" x14ac:dyDescent="0.2">
      <c r="A1407" t="s">
        <v>102</v>
      </c>
    </row>
    <row r="1408" spans="1:1" x14ac:dyDescent="0.2">
      <c r="A1408" t="s">
        <v>102</v>
      </c>
    </row>
    <row r="1409" spans="1:1" x14ac:dyDescent="0.2">
      <c r="A1409" t="s">
        <v>102</v>
      </c>
    </row>
    <row r="1410" spans="1:1" x14ac:dyDescent="0.2">
      <c r="A1410" t="s">
        <v>102</v>
      </c>
    </row>
    <row r="1411" spans="1:1" x14ac:dyDescent="0.2">
      <c r="A1411" t="s">
        <v>102</v>
      </c>
    </row>
    <row r="1412" spans="1:1" x14ac:dyDescent="0.2">
      <c r="A1412" t="s">
        <v>102</v>
      </c>
    </row>
    <row r="1413" spans="1:1" x14ac:dyDescent="0.2">
      <c r="A1413" t="s">
        <v>102</v>
      </c>
    </row>
    <row r="1414" spans="1:1" x14ac:dyDescent="0.2">
      <c r="A1414" t="s">
        <v>102</v>
      </c>
    </row>
    <row r="1415" spans="1:1" x14ac:dyDescent="0.2">
      <c r="A1415" t="s">
        <v>102</v>
      </c>
    </row>
    <row r="1416" spans="1:1" x14ac:dyDescent="0.2">
      <c r="A1416" t="s">
        <v>102</v>
      </c>
    </row>
    <row r="1417" spans="1:1" x14ac:dyDescent="0.2">
      <c r="A1417" t="s">
        <v>102</v>
      </c>
    </row>
    <row r="1418" spans="1:1" x14ac:dyDescent="0.2">
      <c r="A1418" t="s">
        <v>102</v>
      </c>
    </row>
    <row r="1419" spans="1:1" x14ac:dyDescent="0.2">
      <c r="A1419" t="s">
        <v>102</v>
      </c>
    </row>
    <row r="1420" spans="1:1" x14ac:dyDescent="0.2">
      <c r="A1420" t="s">
        <v>102</v>
      </c>
    </row>
    <row r="1421" spans="1:1" x14ac:dyDescent="0.2">
      <c r="A1421" t="s">
        <v>102</v>
      </c>
    </row>
    <row r="1422" spans="1:1" x14ac:dyDescent="0.2">
      <c r="A1422" t="s">
        <v>102</v>
      </c>
    </row>
    <row r="1423" spans="1:1" x14ac:dyDescent="0.2">
      <c r="A1423" t="s">
        <v>102</v>
      </c>
    </row>
    <row r="1424" spans="1:1" x14ac:dyDescent="0.2">
      <c r="A1424" t="s">
        <v>102</v>
      </c>
    </row>
    <row r="1425" spans="1:1" x14ac:dyDescent="0.2">
      <c r="A1425" t="s">
        <v>102</v>
      </c>
    </row>
    <row r="1426" spans="1:1" x14ac:dyDescent="0.2">
      <c r="A1426" t="s">
        <v>102</v>
      </c>
    </row>
    <row r="1427" spans="1:1" x14ac:dyDescent="0.2">
      <c r="A1427" t="s">
        <v>102</v>
      </c>
    </row>
    <row r="1428" spans="1:1" x14ac:dyDescent="0.2">
      <c r="A1428" t="s">
        <v>102</v>
      </c>
    </row>
    <row r="1429" spans="1:1" x14ac:dyDescent="0.2">
      <c r="A1429" t="s">
        <v>102</v>
      </c>
    </row>
    <row r="1430" spans="1:1" x14ac:dyDescent="0.2">
      <c r="A1430" t="s">
        <v>102</v>
      </c>
    </row>
    <row r="1431" spans="1:1" x14ac:dyDescent="0.2">
      <c r="A1431" t="s">
        <v>102</v>
      </c>
    </row>
    <row r="1432" spans="1:1" x14ac:dyDescent="0.2">
      <c r="A1432" t="s">
        <v>102</v>
      </c>
    </row>
    <row r="1433" spans="1:1" x14ac:dyDescent="0.2">
      <c r="A1433" t="s">
        <v>102</v>
      </c>
    </row>
    <row r="1434" spans="1:1" x14ac:dyDescent="0.2">
      <c r="A1434" t="s">
        <v>102</v>
      </c>
    </row>
    <row r="1435" spans="1:1" x14ac:dyDescent="0.2">
      <c r="A1435" t="s">
        <v>102</v>
      </c>
    </row>
    <row r="1436" spans="1:1" x14ac:dyDescent="0.2">
      <c r="A1436" t="s">
        <v>102</v>
      </c>
    </row>
    <row r="1437" spans="1:1" x14ac:dyDescent="0.2">
      <c r="A1437" t="s">
        <v>102</v>
      </c>
    </row>
    <row r="1438" spans="1:1" x14ac:dyDescent="0.2">
      <c r="A1438" t="s">
        <v>102</v>
      </c>
    </row>
    <row r="1439" spans="1:1" x14ac:dyDescent="0.2">
      <c r="A1439" t="s">
        <v>102</v>
      </c>
    </row>
    <row r="1440" spans="1:1" x14ac:dyDescent="0.2">
      <c r="A1440" t="s">
        <v>102</v>
      </c>
    </row>
    <row r="1441" spans="1:1" x14ac:dyDescent="0.2">
      <c r="A1441" t="s">
        <v>102</v>
      </c>
    </row>
    <row r="1442" spans="1:1" x14ac:dyDescent="0.2">
      <c r="A1442" t="s">
        <v>102</v>
      </c>
    </row>
    <row r="1443" spans="1:1" x14ac:dyDescent="0.2">
      <c r="A1443" t="s">
        <v>102</v>
      </c>
    </row>
    <row r="1444" spans="1:1" x14ac:dyDescent="0.2">
      <c r="A1444" t="s">
        <v>102</v>
      </c>
    </row>
    <row r="1445" spans="1:1" x14ac:dyDescent="0.2">
      <c r="A1445" t="s">
        <v>102</v>
      </c>
    </row>
    <row r="1446" spans="1:1" x14ac:dyDescent="0.2">
      <c r="A1446" t="s">
        <v>102</v>
      </c>
    </row>
    <row r="1447" spans="1:1" x14ac:dyDescent="0.2">
      <c r="A1447" t="s">
        <v>102</v>
      </c>
    </row>
    <row r="1448" spans="1:1" x14ac:dyDescent="0.2">
      <c r="A1448" t="s">
        <v>102</v>
      </c>
    </row>
    <row r="1449" spans="1:1" x14ac:dyDescent="0.2">
      <c r="A1449" t="s">
        <v>102</v>
      </c>
    </row>
    <row r="1450" spans="1:1" x14ac:dyDescent="0.2">
      <c r="A1450" t="s">
        <v>102</v>
      </c>
    </row>
    <row r="1451" spans="1:1" x14ac:dyDescent="0.2">
      <c r="A1451" t="s">
        <v>102</v>
      </c>
    </row>
    <row r="1452" spans="1:1" x14ac:dyDescent="0.2">
      <c r="A1452" t="s">
        <v>102</v>
      </c>
    </row>
    <row r="1453" spans="1:1" x14ac:dyDescent="0.2">
      <c r="A1453" t="s">
        <v>102</v>
      </c>
    </row>
    <row r="1454" spans="1:1" x14ac:dyDescent="0.2">
      <c r="A1454" t="s">
        <v>102</v>
      </c>
    </row>
    <row r="1455" spans="1:1" x14ac:dyDescent="0.2">
      <c r="A1455" t="s">
        <v>102</v>
      </c>
    </row>
    <row r="1456" spans="1:1" x14ac:dyDescent="0.2">
      <c r="A1456" t="s">
        <v>102</v>
      </c>
    </row>
    <row r="1457" spans="1:1" x14ac:dyDescent="0.2">
      <c r="A1457" t="s">
        <v>102</v>
      </c>
    </row>
    <row r="1458" spans="1:1" x14ac:dyDescent="0.2">
      <c r="A1458" t="s">
        <v>102</v>
      </c>
    </row>
    <row r="1459" spans="1:1" x14ac:dyDescent="0.2">
      <c r="A1459" t="s">
        <v>102</v>
      </c>
    </row>
    <row r="1460" spans="1:1" x14ac:dyDescent="0.2">
      <c r="A1460" t="s">
        <v>102</v>
      </c>
    </row>
    <row r="1461" spans="1:1" x14ac:dyDescent="0.2">
      <c r="A1461" t="s">
        <v>102</v>
      </c>
    </row>
    <row r="1462" spans="1:1" x14ac:dyDescent="0.2">
      <c r="A1462" t="s">
        <v>102</v>
      </c>
    </row>
    <row r="1463" spans="1:1" x14ac:dyDescent="0.2">
      <c r="A1463" t="s">
        <v>102</v>
      </c>
    </row>
    <row r="1464" spans="1:1" x14ac:dyDescent="0.2">
      <c r="A1464" t="s">
        <v>102</v>
      </c>
    </row>
    <row r="1465" spans="1:1" x14ac:dyDescent="0.2">
      <c r="A1465" t="s">
        <v>102</v>
      </c>
    </row>
    <row r="1466" spans="1:1" x14ac:dyDescent="0.2">
      <c r="A1466" t="s">
        <v>102</v>
      </c>
    </row>
    <row r="1467" spans="1:1" x14ac:dyDescent="0.2">
      <c r="A1467" t="s">
        <v>102</v>
      </c>
    </row>
    <row r="1468" spans="1:1" x14ac:dyDescent="0.2">
      <c r="A1468" t="s">
        <v>102</v>
      </c>
    </row>
    <row r="1469" spans="1:1" x14ac:dyDescent="0.2">
      <c r="A1469" t="s">
        <v>102</v>
      </c>
    </row>
    <row r="1470" spans="1:1" x14ac:dyDescent="0.2">
      <c r="A1470" t="s">
        <v>102</v>
      </c>
    </row>
    <row r="1471" spans="1:1" x14ac:dyDescent="0.2">
      <c r="A1471" t="s">
        <v>102</v>
      </c>
    </row>
    <row r="1472" spans="1:1" x14ac:dyDescent="0.2">
      <c r="A1472" t="s">
        <v>102</v>
      </c>
    </row>
    <row r="1473" spans="1:1" x14ac:dyDescent="0.2">
      <c r="A1473" t="s">
        <v>102</v>
      </c>
    </row>
    <row r="1474" spans="1:1" x14ac:dyDescent="0.2">
      <c r="A1474" t="s">
        <v>102</v>
      </c>
    </row>
    <row r="1475" spans="1:1" x14ac:dyDescent="0.2">
      <c r="A1475" t="s">
        <v>102</v>
      </c>
    </row>
    <row r="1476" spans="1:1" x14ac:dyDescent="0.2">
      <c r="A1476" t="s">
        <v>102</v>
      </c>
    </row>
    <row r="1477" spans="1:1" x14ac:dyDescent="0.2">
      <c r="A1477" t="s">
        <v>102</v>
      </c>
    </row>
    <row r="1478" spans="1:1" x14ac:dyDescent="0.2">
      <c r="A1478" t="s">
        <v>102</v>
      </c>
    </row>
    <row r="1479" spans="1:1" x14ac:dyDescent="0.2">
      <c r="A1479" t="s">
        <v>102</v>
      </c>
    </row>
    <row r="1480" spans="1:1" x14ac:dyDescent="0.2">
      <c r="A1480" t="s">
        <v>102</v>
      </c>
    </row>
    <row r="1481" spans="1:1" x14ac:dyDescent="0.2">
      <c r="A1481" t="s">
        <v>102</v>
      </c>
    </row>
    <row r="1482" spans="1:1" x14ac:dyDescent="0.2">
      <c r="A1482" t="s">
        <v>102</v>
      </c>
    </row>
    <row r="1483" spans="1:1" x14ac:dyDescent="0.2">
      <c r="A1483" t="s">
        <v>102</v>
      </c>
    </row>
    <row r="1484" spans="1:1" x14ac:dyDescent="0.2">
      <c r="A1484" t="s">
        <v>102</v>
      </c>
    </row>
    <row r="1485" spans="1:1" x14ac:dyDescent="0.2">
      <c r="A1485" t="s">
        <v>102</v>
      </c>
    </row>
    <row r="1486" spans="1:1" x14ac:dyDescent="0.2">
      <c r="A1486" t="s">
        <v>102</v>
      </c>
    </row>
    <row r="1487" spans="1:1" x14ac:dyDescent="0.2">
      <c r="A1487" t="s">
        <v>102</v>
      </c>
    </row>
    <row r="1488" spans="1:1" x14ac:dyDescent="0.2">
      <c r="A1488" t="s">
        <v>102</v>
      </c>
    </row>
    <row r="1489" spans="1:1" x14ac:dyDescent="0.2">
      <c r="A1489" t="s">
        <v>102</v>
      </c>
    </row>
    <row r="1490" spans="1:1" x14ac:dyDescent="0.2">
      <c r="A1490" t="s">
        <v>102</v>
      </c>
    </row>
    <row r="1491" spans="1:1" x14ac:dyDescent="0.2">
      <c r="A1491" t="s">
        <v>102</v>
      </c>
    </row>
    <row r="1492" spans="1:1" x14ac:dyDescent="0.2">
      <c r="A1492" t="s">
        <v>102</v>
      </c>
    </row>
    <row r="1493" spans="1:1" x14ac:dyDescent="0.2">
      <c r="A1493" t="s">
        <v>102</v>
      </c>
    </row>
    <row r="1494" spans="1:1" x14ac:dyDescent="0.2">
      <c r="A1494" t="s">
        <v>102</v>
      </c>
    </row>
    <row r="1495" spans="1:1" x14ac:dyDescent="0.2">
      <c r="A1495" t="s">
        <v>102</v>
      </c>
    </row>
    <row r="1496" spans="1:1" x14ac:dyDescent="0.2">
      <c r="A1496" t="s">
        <v>102</v>
      </c>
    </row>
    <row r="1497" spans="1:1" x14ac:dyDescent="0.2">
      <c r="A1497" t="s">
        <v>102</v>
      </c>
    </row>
    <row r="1498" spans="1:1" x14ac:dyDescent="0.2">
      <c r="A1498" t="s">
        <v>102</v>
      </c>
    </row>
    <row r="1499" spans="1:1" x14ac:dyDescent="0.2">
      <c r="A1499" t="s">
        <v>102</v>
      </c>
    </row>
    <row r="1500" spans="1:1" x14ac:dyDescent="0.2">
      <c r="A1500" t="s">
        <v>102</v>
      </c>
    </row>
    <row r="1501" spans="1:1" x14ac:dyDescent="0.2">
      <c r="A1501" t="s">
        <v>102</v>
      </c>
    </row>
    <row r="1502" spans="1:1" x14ac:dyDescent="0.2">
      <c r="A1502" t="s">
        <v>102</v>
      </c>
    </row>
    <row r="1503" spans="1:1" x14ac:dyDescent="0.2">
      <c r="A1503" t="s">
        <v>102</v>
      </c>
    </row>
    <row r="1504" spans="1:1" x14ac:dyDescent="0.2">
      <c r="A1504" t="s">
        <v>102</v>
      </c>
    </row>
    <row r="1505" spans="1:1" x14ac:dyDescent="0.2">
      <c r="A1505" t="s">
        <v>102</v>
      </c>
    </row>
    <row r="1506" spans="1:1" x14ac:dyDescent="0.2">
      <c r="A1506" t="s">
        <v>102</v>
      </c>
    </row>
    <row r="1507" spans="1:1" x14ac:dyDescent="0.2">
      <c r="A1507" t="s">
        <v>102</v>
      </c>
    </row>
    <row r="1508" spans="1:1" x14ac:dyDescent="0.2">
      <c r="A1508" t="s">
        <v>102</v>
      </c>
    </row>
    <row r="1509" spans="1:1" x14ac:dyDescent="0.2">
      <c r="A1509" t="s">
        <v>102</v>
      </c>
    </row>
    <row r="1510" spans="1:1" x14ac:dyDescent="0.2">
      <c r="A1510" t="s">
        <v>102</v>
      </c>
    </row>
    <row r="1511" spans="1:1" x14ac:dyDescent="0.2">
      <c r="A1511" t="s">
        <v>102</v>
      </c>
    </row>
    <row r="1512" spans="1:1" x14ac:dyDescent="0.2">
      <c r="A1512" t="s">
        <v>102</v>
      </c>
    </row>
    <row r="1513" spans="1:1" x14ac:dyDescent="0.2">
      <c r="A1513" t="s">
        <v>102</v>
      </c>
    </row>
    <row r="1514" spans="1:1" x14ac:dyDescent="0.2">
      <c r="A1514" t="s">
        <v>102</v>
      </c>
    </row>
    <row r="1515" spans="1:1" x14ac:dyDescent="0.2">
      <c r="A1515" t="s">
        <v>102</v>
      </c>
    </row>
    <row r="1516" spans="1:1" x14ac:dyDescent="0.2">
      <c r="A1516" t="s">
        <v>102</v>
      </c>
    </row>
    <row r="1517" spans="1:1" x14ac:dyDescent="0.2">
      <c r="A1517" t="s">
        <v>102</v>
      </c>
    </row>
    <row r="1518" spans="1:1" x14ac:dyDescent="0.2">
      <c r="A1518" t="s">
        <v>102</v>
      </c>
    </row>
    <row r="1519" spans="1:1" x14ac:dyDescent="0.2">
      <c r="A1519" t="s">
        <v>102</v>
      </c>
    </row>
    <row r="1520" spans="1:1" x14ac:dyDescent="0.2">
      <c r="A1520" t="s">
        <v>102</v>
      </c>
    </row>
    <row r="1521" spans="1:1" x14ac:dyDescent="0.2">
      <c r="A1521" t="s">
        <v>102</v>
      </c>
    </row>
    <row r="1522" spans="1:1" x14ac:dyDescent="0.2">
      <c r="A1522" t="s">
        <v>102</v>
      </c>
    </row>
    <row r="1523" spans="1:1" x14ac:dyDescent="0.2">
      <c r="A1523" t="s">
        <v>102</v>
      </c>
    </row>
    <row r="1524" spans="1:1" x14ac:dyDescent="0.2">
      <c r="A1524" t="s">
        <v>102</v>
      </c>
    </row>
    <row r="1525" spans="1:1" x14ac:dyDescent="0.2">
      <c r="A1525" t="s">
        <v>102</v>
      </c>
    </row>
    <row r="1526" spans="1:1" x14ac:dyDescent="0.2">
      <c r="A1526" t="s">
        <v>102</v>
      </c>
    </row>
    <row r="1527" spans="1:1" x14ac:dyDescent="0.2">
      <c r="A1527" t="s">
        <v>102</v>
      </c>
    </row>
    <row r="1528" spans="1:1" x14ac:dyDescent="0.2">
      <c r="A1528" t="s">
        <v>102</v>
      </c>
    </row>
    <row r="1529" spans="1:1" x14ac:dyDescent="0.2">
      <c r="A1529" t="s">
        <v>102</v>
      </c>
    </row>
    <row r="1530" spans="1:1" x14ac:dyDescent="0.2">
      <c r="A1530" t="s">
        <v>102</v>
      </c>
    </row>
    <row r="1531" spans="1:1" x14ac:dyDescent="0.2">
      <c r="A1531" t="s">
        <v>102</v>
      </c>
    </row>
    <row r="1532" spans="1:1" x14ac:dyDescent="0.2">
      <c r="A1532" t="s">
        <v>102</v>
      </c>
    </row>
    <row r="1533" spans="1:1" x14ac:dyDescent="0.2">
      <c r="A1533" t="s">
        <v>102</v>
      </c>
    </row>
    <row r="1534" spans="1:1" x14ac:dyDescent="0.2">
      <c r="A1534" t="s">
        <v>102</v>
      </c>
    </row>
    <row r="1535" spans="1:1" x14ac:dyDescent="0.2">
      <c r="A1535" t="s">
        <v>102</v>
      </c>
    </row>
    <row r="1536" spans="1:1" x14ac:dyDescent="0.2">
      <c r="A1536" t="s">
        <v>102</v>
      </c>
    </row>
    <row r="1537" spans="1:1" x14ac:dyDescent="0.2">
      <c r="A1537" t="s">
        <v>102</v>
      </c>
    </row>
    <row r="1538" spans="1:1" x14ac:dyDescent="0.2">
      <c r="A1538" t="s">
        <v>102</v>
      </c>
    </row>
    <row r="1539" spans="1:1" x14ac:dyDescent="0.2">
      <c r="A1539" t="s">
        <v>102</v>
      </c>
    </row>
    <row r="1540" spans="1:1" x14ac:dyDescent="0.2">
      <c r="A1540" t="s">
        <v>102</v>
      </c>
    </row>
    <row r="1541" spans="1:1" x14ac:dyDescent="0.2">
      <c r="A1541" t="s">
        <v>102</v>
      </c>
    </row>
    <row r="1542" spans="1:1" x14ac:dyDescent="0.2">
      <c r="A1542" t="s">
        <v>102</v>
      </c>
    </row>
    <row r="1543" spans="1:1" x14ac:dyDescent="0.2">
      <c r="A1543" t="s">
        <v>102</v>
      </c>
    </row>
    <row r="1544" spans="1:1" x14ac:dyDescent="0.2">
      <c r="A1544" t="s">
        <v>102</v>
      </c>
    </row>
    <row r="1545" spans="1:1" x14ac:dyDescent="0.2">
      <c r="A1545" t="s">
        <v>102</v>
      </c>
    </row>
    <row r="1546" spans="1:1" x14ac:dyDescent="0.2">
      <c r="A1546" t="s">
        <v>102</v>
      </c>
    </row>
    <row r="1547" spans="1:1" x14ac:dyDescent="0.2">
      <c r="A1547" t="s">
        <v>102</v>
      </c>
    </row>
    <row r="1548" spans="1:1" x14ac:dyDescent="0.2">
      <c r="A1548" t="s">
        <v>102</v>
      </c>
    </row>
    <row r="1549" spans="1:1" x14ac:dyDescent="0.2">
      <c r="A1549" t="s">
        <v>102</v>
      </c>
    </row>
    <row r="1550" spans="1:1" x14ac:dyDescent="0.2">
      <c r="A1550" t="s">
        <v>102</v>
      </c>
    </row>
    <row r="1551" spans="1:1" x14ac:dyDescent="0.2">
      <c r="A1551" t="s">
        <v>102</v>
      </c>
    </row>
    <row r="1552" spans="1:1" x14ac:dyDescent="0.2">
      <c r="A1552" t="s">
        <v>102</v>
      </c>
    </row>
    <row r="1553" spans="1:1" x14ac:dyDescent="0.2">
      <c r="A1553" t="s">
        <v>102</v>
      </c>
    </row>
    <row r="1554" spans="1:1" x14ac:dyDescent="0.2">
      <c r="A1554" t="s">
        <v>102</v>
      </c>
    </row>
    <row r="1555" spans="1:1" x14ac:dyDescent="0.2">
      <c r="A1555" t="s">
        <v>102</v>
      </c>
    </row>
    <row r="1556" spans="1:1" x14ac:dyDescent="0.2">
      <c r="A1556" t="s">
        <v>102</v>
      </c>
    </row>
    <row r="1557" spans="1:1" x14ac:dyDescent="0.2">
      <c r="A1557" t="s">
        <v>102</v>
      </c>
    </row>
    <row r="1558" spans="1:1" x14ac:dyDescent="0.2">
      <c r="A1558" t="s">
        <v>102</v>
      </c>
    </row>
    <row r="1559" spans="1:1" x14ac:dyDescent="0.2">
      <c r="A1559" t="s">
        <v>102</v>
      </c>
    </row>
    <row r="1560" spans="1:1" x14ac:dyDescent="0.2">
      <c r="A1560" t="s">
        <v>102</v>
      </c>
    </row>
    <row r="1561" spans="1:1" x14ac:dyDescent="0.2">
      <c r="A1561" t="s">
        <v>102</v>
      </c>
    </row>
    <row r="1562" spans="1:1" x14ac:dyDescent="0.2">
      <c r="A1562" t="s">
        <v>102</v>
      </c>
    </row>
    <row r="1563" spans="1:1" x14ac:dyDescent="0.2">
      <c r="A1563" t="s">
        <v>102</v>
      </c>
    </row>
    <row r="1564" spans="1:1" x14ac:dyDescent="0.2">
      <c r="A1564" t="s">
        <v>102</v>
      </c>
    </row>
    <row r="1565" spans="1:1" x14ac:dyDescent="0.2">
      <c r="A1565" t="s">
        <v>102</v>
      </c>
    </row>
    <row r="1566" spans="1:1" x14ac:dyDescent="0.2">
      <c r="A1566" t="s">
        <v>102</v>
      </c>
    </row>
    <row r="1567" spans="1:1" x14ac:dyDescent="0.2">
      <c r="A1567" t="s">
        <v>102</v>
      </c>
    </row>
    <row r="1568" spans="1:1" x14ac:dyDescent="0.2">
      <c r="A1568" t="s">
        <v>102</v>
      </c>
    </row>
    <row r="1569" spans="1:1" x14ac:dyDescent="0.2">
      <c r="A1569" t="s">
        <v>102</v>
      </c>
    </row>
    <row r="1570" spans="1:1" x14ac:dyDescent="0.2">
      <c r="A1570" t="s">
        <v>102</v>
      </c>
    </row>
    <row r="1571" spans="1:1" x14ac:dyDescent="0.2">
      <c r="A1571" t="s">
        <v>102</v>
      </c>
    </row>
    <row r="1572" spans="1:1" x14ac:dyDescent="0.2">
      <c r="A1572" t="s">
        <v>102</v>
      </c>
    </row>
    <row r="1573" spans="1:1" x14ac:dyDescent="0.2">
      <c r="A1573" t="s">
        <v>102</v>
      </c>
    </row>
    <row r="1574" spans="1:1" x14ac:dyDescent="0.2">
      <c r="A1574" t="s">
        <v>102</v>
      </c>
    </row>
    <row r="1575" spans="1:1" x14ac:dyDescent="0.2">
      <c r="A1575" t="s">
        <v>102</v>
      </c>
    </row>
    <row r="1576" spans="1:1" x14ac:dyDescent="0.2">
      <c r="A1576" t="s">
        <v>102</v>
      </c>
    </row>
    <row r="1577" spans="1:1" x14ac:dyDescent="0.2">
      <c r="A1577" t="s">
        <v>102</v>
      </c>
    </row>
    <row r="1578" spans="1:1" x14ac:dyDescent="0.2">
      <c r="A1578" t="s">
        <v>102</v>
      </c>
    </row>
    <row r="1579" spans="1:1" x14ac:dyDescent="0.2">
      <c r="A1579" t="s">
        <v>102</v>
      </c>
    </row>
    <row r="1580" spans="1:1" x14ac:dyDescent="0.2">
      <c r="A1580" t="s">
        <v>102</v>
      </c>
    </row>
    <row r="1581" spans="1:1" x14ac:dyDescent="0.2">
      <c r="A1581" t="s">
        <v>102</v>
      </c>
    </row>
    <row r="1582" spans="1:1" x14ac:dyDescent="0.2">
      <c r="A1582" t="s">
        <v>102</v>
      </c>
    </row>
    <row r="1583" spans="1:1" x14ac:dyDescent="0.2">
      <c r="A1583" t="s">
        <v>102</v>
      </c>
    </row>
    <row r="1584" spans="1:1" x14ac:dyDescent="0.2">
      <c r="A1584" t="s">
        <v>102</v>
      </c>
    </row>
    <row r="1585" spans="1:1" x14ac:dyDescent="0.2">
      <c r="A1585" t="s">
        <v>102</v>
      </c>
    </row>
    <row r="1586" spans="1:1" x14ac:dyDescent="0.2">
      <c r="A1586" t="s">
        <v>102</v>
      </c>
    </row>
    <row r="1587" spans="1:1" x14ac:dyDescent="0.2">
      <c r="A1587" t="s">
        <v>102</v>
      </c>
    </row>
    <row r="1588" spans="1:1" x14ac:dyDescent="0.2">
      <c r="A1588" t="s">
        <v>102</v>
      </c>
    </row>
    <row r="1589" spans="1:1" x14ac:dyDescent="0.2">
      <c r="A1589" t="s">
        <v>102</v>
      </c>
    </row>
    <row r="1590" spans="1:1" x14ac:dyDescent="0.2">
      <c r="A1590" t="s">
        <v>102</v>
      </c>
    </row>
    <row r="1591" spans="1:1" x14ac:dyDescent="0.2">
      <c r="A1591" t="s">
        <v>102</v>
      </c>
    </row>
    <row r="1592" spans="1:1" x14ac:dyDescent="0.2">
      <c r="A1592" t="s">
        <v>102</v>
      </c>
    </row>
    <row r="1593" spans="1:1" x14ac:dyDescent="0.2">
      <c r="A1593" t="s">
        <v>102</v>
      </c>
    </row>
    <row r="1594" spans="1:1" x14ac:dyDescent="0.2">
      <c r="A1594" t="s">
        <v>102</v>
      </c>
    </row>
    <row r="1595" spans="1:1" x14ac:dyDescent="0.2">
      <c r="A1595" t="s">
        <v>102</v>
      </c>
    </row>
    <row r="1596" spans="1:1" x14ac:dyDescent="0.2">
      <c r="A1596" t="s">
        <v>102</v>
      </c>
    </row>
    <row r="1597" spans="1:1" x14ac:dyDescent="0.2">
      <c r="A1597" t="s">
        <v>102</v>
      </c>
    </row>
    <row r="1598" spans="1:1" x14ac:dyDescent="0.2">
      <c r="A1598" t="s">
        <v>102</v>
      </c>
    </row>
    <row r="1599" spans="1:1" x14ac:dyDescent="0.2">
      <c r="A1599" t="s">
        <v>102</v>
      </c>
    </row>
    <row r="1600" spans="1:1" x14ac:dyDescent="0.2">
      <c r="A1600" t="s">
        <v>102</v>
      </c>
    </row>
    <row r="1601" spans="1:1" x14ac:dyDescent="0.2">
      <c r="A1601" t="s">
        <v>102</v>
      </c>
    </row>
    <row r="1602" spans="1:1" x14ac:dyDescent="0.2">
      <c r="A1602" t="s">
        <v>102</v>
      </c>
    </row>
    <row r="1603" spans="1:1" x14ac:dyDescent="0.2">
      <c r="A1603" t="s">
        <v>102</v>
      </c>
    </row>
    <row r="1604" spans="1:1" x14ac:dyDescent="0.2">
      <c r="A1604" t="s">
        <v>102</v>
      </c>
    </row>
    <row r="1605" spans="1:1" x14ac:dyDescent="0.2">
      <c r="A1605" t="s">
        <v>102</v>
      </c>
    </row>
    <row r="1606" spans="1:1" x14ac:dyDescent="0.2">
      <c r="A1606" t="s">
        <v>102</v>
      </c>
    </row>
    <row r="1607" spans="1:1" x14ac:dyDescent="0.2">
      <c r="A1607" t="s">
        <v>102</v>
      </c>
    </row>
    <row r="1608" spans="1:1" x14ac:dyDescent="0.2">
      <c r="A1608" t="s">
        <v>102</v>
      </c>
    </row>
    <row r="1609" spans="1:1" x14ac:dyDescent="0.2">
      <c r="A1609" t="s">
        <v>102</v>
      </c>
    </row>
    <row r="1610" spans="1:1" x14ac:dyDescent="0.2">
      <c r="A1610" t="s">
        <v>102</v>
      </c>
    </row>
    <row r="1611" spans="1:1" x14ac:dyDescent="0.2">
      <c r="A1611" t="s">
        <v>102</v>
      </c>
    </row>
    <row r="1612" spans="1:1" x14ac:dyDescent="0.2">
      <c r="A1612" t="s">
        <v>102</v>
      </c>
    </row>
    <row r="1613" spans="1:1" x14ac:dyDescent="0.2">
      <c r="A1613" t="s">
        <v>102</v>
      </c>
    </row>
    <row r="1614" spans="1:1" x14ac:dyDescent="0.2">
      <c r="A1614" t="s">
        <v>102</v>
      </c>
    </row>
    <row r="1615" spans="1:1" x14ac:dyDescent="0.2">
      <c r="A1615" t="s">
        <v>102</v>
      </c>
    </row>
    <row r="1616" spans="1:1" x14ac:dyDescent="0.2">
      <c r="A1616" t="s">
        <v>102</v>
      </c>
    </row>
    <row r="1617" spans="1:1" x14ac:dyDescent="0.2">
      <c r="A1617" t="s">
        <v>102</v>
      </c>
    </row>
    <row r="1618" spans="1:1" x14ac:dyDescent="0.2">
      <c r="A1618" t="s">
        <v>102</v>
      </c>
    </row>
    <row r="1619" spans="1:1" x14ac:dyDescent="0.2">
      <c r="A1619" t="s">
        <v>102</v>
      </c>
    </row>
    <row r="1620" spans="1:1" x14ac:dyDescent="0.2">
      <c r="A1620" t="s">
        <v>102</v>
      </c>
    </row>
    <row r="1621" spans="1:1" x14ac:dyDescent="0.2">
      <c r="A1621" t="s">
        <v>102</v>
      </c>
    </row>
    <row r="1622" spans="1:1" x14ac:dyDescent="0.2">
      <c r="A1622" t="s">
        <v>102</v>
      </c>
    </row>
    <row r="1623" spans="1:1" x14ac:dyDescent="0.2">
      <c r="A1623" t="s">
        <v>102</v>
      </c>
    </row>
    <row r="1624" spans="1:1" x14ac:dyDescent="0.2">
      <c r="A1624" t="s">
        <v>102</v>
      </c>
    </row>
    <row r="1625" spans="1:1" x14ac:dyDescent="0.2">
      <c r="A1625" t="s">
        <v>102</v>
      </c>
    </row>
    <row r="1626" spans="1:1" x14ac:dyDescent="0.2">
      <c r="A1626" t="s">
        <v>102</v>
      </c>
    </row>
    <row r="1627" spans="1:1" x14ac:dyDescent="0.2">
      <c r="A1627" t="s">
        <v>102</v>
      </c>
    </row>
    <row r="1628" spans="1:1" x14ac:dyDescent="0.2">
      <c r="A1628" t="s">
        <v>102</v>
      </c>
    </row>
    <row r="1629" spans="1:1" x14ac:dyDescent="0.2">
      <c r="A1629" t="s">
        <v>102</v>
      </c>
    </row>
    <row r="1630" spans="1:1" x14ac:dyDescent="0.2">
      <c r="A1630" t="s">
        <v>102</v>
      </c>
    </row>
    <row r="1631" spans="1:1" x14ac:dyDescent="0.2">
      <c r="A1631" t="s">
        <v>102</v>
      </c>
    </row>
    <row r="1632" spans="1:1" x14ac:dyDescent="0.2">
      <c r="A1632" t="s">
        <v>102</v>
      </c>
    </row>
    <row r="1633" spans="1:1" x14ac:dyDescent="0.2">
      <c r="A1633" t="s">
        <v>102</v>
      </c>
    </row>
    <row r="1634" spans="1:1" x14ac:dyDescent="0.2">
      <c r="A1634" t="s">
        <v>102</v>
      </c>
    </row>
    <row r="1635" spans="1:1" x14ac:dyDescent="0.2">
      <c r="A1635" t="s">
        <v>102</v>
      </c>
    </row>
    <row r="1636" spans="1:1" x14ac:dyDescent="0.2">
      <c r="A1636" t="s">
        <v>102</v>
      </c>
    </row>
    <row r="1637" spans="1:1" x14ac:dyDescent="0.2">
      <c r="A1637" t="s">
        <v>102</v>
      </c>
    </row>
    <row r="1638" spans="1:1" x14ac:dyDescent="0.2">
      <c r="A1638" t="s">
        <v>102</v>
      </c>
    </row>
    <row r="1639" spans="1:1" x14ac:dyDescent="0.2">
      <c r="A1639" t="s">
        <v>102</v>
      </c>
    </row>
    <row r="1640" spans="1:1" x14ac:dyDescent="0.2">
      <c r="A1640" t="s">
        <v>102</v>
      </c>
    </row>
    <row r="1641" spans="1:1" x14ac:dyDescent="0.2">
      <c r="A1641" t="s">
        <v>102</v>
      </c>
    </row>
    <row r="1642" spans="1:1" x14ac:dyDescent="0.2">
      <c r="A1642" t="s">
        <v>102</v>
      </c>
    </row>
    <row r="1643" spans="1:1" x14ac:dyDescent="0.2">
      <c r="A1643" t="s">
        <v>102</v>
      </c>
    </row>
    <row r="1644" spans="1:1" x14ac:dyDescent="0.2">
      <c r="A1644" t="s">
        <v>102</v>
      </c>
    </row>
    <row r="1645" spans="1:1" x14ac:dyDescent="0.2">
      <c r="A1645" t="s">
        <v>102</v>
      </c>
    </row>
    <row r="1646" spans="1:1" x14ac:dyDescent="0.2">
      <c r="A1646" t="s">
        <v>102</v>
      </c>
    </row>
    <row r="1647" spans="1:1" x14ac:dyDescent="0.2">
      <c r="A1647" t="s">
        <v>102</v>
      </c>
    </row>
    <row r="1648" spans="1:1" x14ac:dyDescent="0.2">
      <c r="A1648" t="s">
        <v>102</v>
      </c>
    </row>
    <row r="1649" spans="1:1" x14ac:dyDescent="0.2">
      <c r="A1649" t="s">
        <v>102</v>
      </c>
    </row>
    <row r="1650" spans="1:1" x14ac:dyDescent="0.2">
      <c r="A1650" t="s">
        <v>102</v>
      </c>
    </row>
    <row r="1651" spans="1:1" x14ac:dyDescent="0.2">
      <c r="A1651" t="s">
        <v>102</v>
      </c>
    </row>
    <row r="1652" spans="1:1" x14ac:dyDescent="0.2">
      <c r="A1652" t="s">
        <v>102</v>
      </c>
    </row>
    <row r="1653" spans="1:1" x14ac:dyDescent="0.2">
      <c r="A1653" t="s">
        <v>102</v>
      </c>
    </row>
    <row r="1654" spans="1:1" x14ac:dyDescent="0.2">
      <c r="A1654" t="s">
        <v>102</v>
      </c>
    </row>
    <row r="1655" spans="1:1" x14ac:dyDescent="0.2">
      <c r="A1655" t="s">
        <v>102</v>
      </c>
    </row>
    <row r="1656" spans="1:1" x14ac:dyDescent="0.2">
      <c r="A1656" t="s">
        <v>102</v>
      </c>
    </row>
    <row r="1657" spans="1:1" x14ac:dyDescent="0.2">
      <c r="A1657" t="s">
        <v>102</v>
      </c>
    </row>
    <row r="1658" spans="1:1" x14ac:dyDescent="0.2">
      <c r="A1658" t="s">
        <v>102</v>
      </c>
    </row>
    <row r="1659" spans="1:1" x14ac:dyDescent="0.2">
      <c r="A1659" t="s">
        <v>102</v>
      </c>
    </row>
    <row r="1660" spans="1:1" x14ac:dyDescent="0.2">
      <c r="A1660" t="s">
        <v>102</v>
      </c>
    </row>
    <row r="1661" spans="1:1" x14ac:dyDescent="0.2">
      <c r="A1661" t="s">
        <v>102</v>
      </c>
    </row>
    <row r="1662" spans="1:1" x14ac:dyDescent="0.2">
      <c r="A1662" t="s">
        <v>102</v>
      </c>
    </row>
    <row r="1663" spans="1:1" x14ac:dyDescent="0.2">
      <c r="A1663" t="s">
        <v>102</v>
      </c>
    </row>
    <row r="1664" spans="1:1" x14ac:dyDescent="0.2">
      <c r="A1664" t="s">
        <v>102</v>
      </c>
    </row>
    <row r="1665" spans="1:1" x14ac:dyDescent="0.2">
      <c r="A1665" t="s">
        <v>102</v>
      </c>
    </row>
    <row r="1666" spans="1:1" x14ac:dyDescent="0.2">
      <c r="A1666" t="s">
        <v>102</v>
      </c>
    </row>
    <row r="1667" spans="1:1" x14ac:dyDescent="0.2">
      <c r="A1667" t="s">
        <v>102</v>
      </c>
    </row>
    <row r="1668" spans="1:1" x14ac:dyDescent="0.2">
      <c r="A1668" t="s">
        <v>102</v>
      </c>
    </row>
    <row r="1669" spans="1:1" x14ac:dyDescent="0.2">
      <c r="A1669" t="s">
        <v>102</v>
      </c>
    </row>
    <row r="1670" spans="1:1" x14ac:dyDescent="0.2">
      <c r="A1670" t="s">
        <v>102</v>
      </c>
    </row>
    <row r="1671" spans="1:1" x14ac:dyDescent="0.2">
      <c r="A1671" t="s">
        <v>102</v>
      </c>
    </row>
    <row r="1672" spans="1:1" x14ac:dyDescent="0.2">
      <c r="A1672" t="s">
        <v>102</v>
      </c>
    </row>
    <row r="1673" spans="1:1" x14ac:dyDescent="0.2">
      <c r="A1673" t="s">
        <v>102</v>
      </c>
    </row>
    <row r="1674" spans="1:1" x14ac:dyDescent="0.2">
      <c r="A1674" t="s">
        <v>102</v>
      </c>
    </row>
    <row r="1675" spans="1:1" x14ac:dyDescent="0.2">
      <c r="A1675" t="s">
        <v>102</v>
      </c>
    </row>
    <row r="1676" spans="1:1" x14ac:dyDescent="0.2">
      <c r="A1676" t="s">
        <v>102</v>
      </c>
    </row>
    <row r="1677" spans="1:1" x14ac:dyDescent="0.2">
      <c r="A1677" t="s">
        <v>102</v>
      </c>
    </row>
    <row r="1678" spans="1:1" x14ac:dyDescent="0.2">
      <c r="A1678" t="s">
        <v>102</v>
      </c>
    </row>
    <row r="1679" spans="1:1" x14ac:dyDescent="0.2">
      <c r="A1679" t="s">
        <v>102</v>
      </c>
    </row>
    <row r="1680" spans="1:1" x14ac:dyDescent="0.2">
      <c r="A1680" t="s">
        <v>102</v>
      </c>
    </row>
    <row r="1681" spans="1:1" x14ac:dyDescent="0.2">
      <c r="A1681" t="s">
        <v>102</v>
      </c>
    </row>
    <row r="1682" spans="1:1" x14ac:dyDescent="0.2">
      <c r="A1682" t="s">
        <v>102</v>
      </c>
    </row>
    <row r="1683" spans="1:1" x14ac:dyDescent="0.2">
      <c r="A1683" t="s">
        <v>102</v>
      </c>
    </row>
    <row r="1684" spans="1:1" x14ac:dyDescent="0.2">
      <c r="A1684" t="s">
        <v>102</v>
      </c>
    </row>
    <row r="1685" spans="1:1" x14ac:dyDescent="0.2">
      <c r="A1685" t="s">
        <v>102</v>
      </c>
    </row>
    <row r="1686" spans="1:1" x14ac:dyDescent="0.2">
      <c r="A1686" t="s">
        <v>102</v>
      </c>
    </row>
    <row r="1687" spans="1:1" x14ac:dyDescent="0.2">
      <c r="A1687" t="s">
        <v>102</v>
      </c>
    </row>
    <row r="1688" spans="1:1" x14ac:dyDescent="0.2">
      <c r="A1688" t="s">
        <v>102</v>
      </c>
    </row>
    <row r="1689" spans="1:1" x14ac:dyDescent="0.2">
      <c r="A1689" t="s">
        <v>102</v>
      </c>
    </row>
    <row r="1690" spans="1:1" x14ac:dyDescent="0.2">
      <c r="A1690" t="s">
        <v>102</v>
      </c>
    </row>
    <row r="1691" spans="1:1" x14ac:dyDescent="0.2">
      <c r="A1691" t="s">
        <v>102</v>
      </c>
    </row>
    <row r="1692" spans="1:1" x14ac:dyDescent="0.2">
      <c r="A1692" t="s">
        <v>102</v>
      </c>
    </row>
    <row r="1693" spans="1:1" x14ac:dyDescent="0.2">
      <c r="A1693" t="s">
        <v>102</v>
      </c>
    </row>
    <row r="1694" spans="1:1" x14ac:dyDescent="0.2">
      <c r="A1694" t="s">
        <v>102</v>
      </c>
    </row>
    <row r="1695" spans="1:1" x14ac:dyDescent="0.2">
      <c r="A1695" t="s">
        <v>102</v>
      </c>
    </row>
    <row r="1696" spans="1:1" x14ac:dyDescent="0.2">
      <c r="A1696" t="s">
        <v>102</v>
      </c>
    </row>
    <row r="1697" spans="1:1" x14ac:dyDescent="0.2">
      <c r="A1697" t="s">
        <v>102</v>
      </c>
    </row>
    <row r="1698" spans="1:1" x14ac:dyDescent="0.2">
      <c r="A1698" t="s">
        <v>102</v>
      </c>
    </row>
    <row r="1699" spans="1:1" x14ac:dyDescent="0.2">
      <c r="A1699" t="s">
        <v>102</v>
      </c>
    </row>
    <row r="1700" spans="1:1" x14ac:dyDescent="0.2">
      <c r="A1700" t="s">
        <v>102</v>
      </c>
    </row>
    <row r="1701" spans="1:1" x14ac:dyDescent="0.2">
      <c r="A1701" t="s">
        <v>102</v>
      </c>
    </row>
    <row r="1702" spans="1:1" x14ac:dyDescent="0.2">
      <c r="A1702" t="s">
        <v>102</v>
      </c>
    </row>
    <row r="1703" spans="1:1" x14ac:dyDescent="0.2">
      <c r="A1703" t="s">
        <v>102</v>
      </c>
    </row>
    <row r="1704" spans="1:1" x14ac:dyDescent="0.2">
      <c r="A1704" t="s">
        <v>102</v>
      </c>
    </row>
    <row r="1705" spans="1:1" x14ac:dyDescent="0.2">
      <c r="A1705" t="s">
        <v>102</v>
      </c>
    </row>
    <row r="1706" spans="1:1" x14ac:dyDescent="0.2">
      <c r="A1706" t="s">
        <v>102</v>
      </c>
    </row>
    <row r="1707" spans="1:1" x14ac:dyDescent="0.2">
      <c r="A1707" t="s">
        <v>102</v>
      </c>
    </row>
    <row r="1708" spans="1:1" x14ac:dyDescent="0.2">
      <c r="A1708" t="s">
        <v>102</v>
      </c>
    </row>
    <row r="1709" spans="1:1" x14ac:dyDescent="0.2">
      <c r="A1709" t="s">
        <v>102</v>
      </c>
    </row>
    <row r="1710" spans="1:1" x14ac:dyDescent="0.2">
      <c r="A1710" t="s">
        <v>102</v>
      </c>
    </row>
    <row r="1711" spans="1:1" x14ac:dyDescent="0.2">
      <c r="A1711" t="s">
        <v>102</v>
      </c>
    </row>
    <row r="1712" spans="1:1" x14ac:dyDescent="0.2">
      <c r="A1712" t="s">
        <v>102</v>
      </c>
    </row>
    <row r="1713" spans="1:1" x14ac:dyDescent="0.2">
      <c r="A1713" t="s">
        <v>102</v>
      </c>
    </row>
    <row r="1714" spans="1:1" x14ac:dyDescent="0.2">
      <c r="A1714" t="s">
        <v>102</v>
      </c>
    </row>
    <row r="1715" spans="1:1" x14ac:dyDescent="0.2">
      <c r="A1715" t="s">
        <v>102</v>
      </c>
    </row>
    <row r="1716" spans="1:1" x14ac:dyDescent="0.2">
      <c r="A1716" t="s">
        <v>102</v>
      </c>
    </row>
    <row r="1717" spans="1:1" x14ac:dyDescent="0.2">
      <c r="A1717" t="s">
        <v>102</v>
      </c>
    </row>
    <row r="1718" spans="1:1" x14ac:dyDescent="0.2">
      <c r="A1718" t="s">
        <v>102</v>
      </c>
    </row>
    <row r="1719" spans="1:1" x14ac:dyDescent="0.2">
      <c r="A1719" t="s">
        <v>102</v>
      </c>
    </row>
    <row r="1720" spans="1:1" x14ac:dyDescent="0.2">
      <c r="A1720" t="s">
        <v>102</v>
      </c>
    </row>
    <row r="1721" spans="1:1" x14ac:dyDescent="0.2">
      <c r="A1721" t="s">
        <v>102</v>
      </c>
    </row>
    <row r="1722" spans="1:1" x14ac:dyDescent="0.2">
      <c r="A1722" t="s">
        <v>102</v>
      </c>
    </row>
    <row r="1723" spans="1:1" x14ac:dyDescent="0.2">
      <c r="A1723" t="s">
        <v>102</v>
      </c>
    </row>
    <row r="1724" spans="1:1" x14ac:dyDescent="0.2">
      <c r="A1724" t="s">
        <v>102</v>
      </c>
    </row>
    <row r="1725" spans="1:1" x14ac:dyDescent="0.2">
      <c r="A1725" t="s">
        <v>102</v>
      </c>
    </row>
    <row r="1726" spans="1:1" x14ac:dyDescent="0.2">
      <c r="A1726" t="s">
        <v>102</v>
      </c>
    </row>
    <row r="1727" spans="1:1" x14ac:dyDescent="0.2">
      <c r="A1727" t="s">
        <v>102</v>
      </c>
    </row>
    <row r="1728" spans="1:1" x14ac:dyDescent="0.2">
      <c r="A1728" t="s">
        <v>102</v>
      </c>
    </row>
    <row r="1729" spans="1:1" x14ac:dyDescent="0.2">
      <c r="A1729" t="s">
        <v>102</v>
      </c>
    </row>
    <row r="1730" spans="1:1" x14ac:dyDescent="0.2">
      <c r="A1730" t="s">
        <v>102</v>
      </c>
    </row>
    <row r="1731" spans="1:1" x14ac:dyDescent="0.2">
      <c r="A1731" t="s">
        <v>102</v>
      </c>
    </row>
    <row r="1732" spans="1:1" x14ac:dyDescent="0.2">
      <c r="A1732" t="s">
        <v>102</v>
      </c>
    </row>
    <row r="1733" spans="1:1" x14ac:dyDescent="0.2">
      <c r="A1733" t="s">
        <v>102</v>
      </c>
    </row>
    <row r="1734" spans="1:1" x14ac:dyDescent="0.2">
      <c r="A1734" t="s">
        <v>102</v>
      </c>
    </row>
    <row r="1735" spans="1:1" x14ac:dyDescent="0.2">
      <c r="A1735" t="s">
        <v>102</v>
      </c>
    </row>
    <row r="1736" spans="1:1" x14ac:dyDescent="0.2">
      <c r="A1736" t="s">
        <v>102</v>
      </c>
    </row>
    <row r="1737" spans="1:1" x14ac:dyDescent="0.2">
      <c r="A1737" t="s">
        <v>102</v>
      </c>
    </row>
    <row r="1738" spans="1:1" x14ac:dyDescent="0.2">
      <c r="A1738" t="s">
        <v>102</v>
      </c>
    </row>
    <row r="1739" spans="1:1" x14ac:dyDescent="0.2">
      <c r="A1739" t="s">
        <v>102</v>
      </c>
    </row>
    <row r="1740" spans="1:1" x14ac:dyDescent="0.2">
      <c r="A1740" t="s">
        <v>102</v>
      </c>
    </row>
    <row r="1741" spans="1:1" x14ac:dyDescent="0.2">
      <c r="A1741" t="s">
        <v>102</v>
      </c>
    </row>
    <row r="1742" spans="1:1" x14ac:dyDescent="0.2">
      <c r="A1742" t="s">
        <v>102</v>
      </c>
    </row>
    <row r="1743" spans="1:1" x14ac:dyDescent="0.2">
      <c r="A1743" t="s">
        <v>102</v>
      </c>
    </row>
    <row r="1744" spans="1:1" x14ac:dyDescent="0.2">
      <c r="A1744" t="s">
        <v>102</v>
      </c>
    </row>
    <row r="1745" spans="1:1" x14ac:dyDescent="0.2">
      <c r="A1745" t="s">
        <v>102</v>
      </c>
    </row>
    <row r="1746" spans="1:1" x14ac:dyDescent="0.2">
      <c r="A1746" t="s">
        <v>102</v>
      </c>
    </row>
    <row r="1747" spans="1:1" x14ac:dyDescent="0.2">
      <c r="A1747" t="s">
        <v>102</v>
      </c>
    </row>
    <row r="1748" spans="1:1" x14ac:dyDescent="0.2">
      <c r="A1748" t="s">
        <v>102</v>
      </c>
    </row>
    <row r="1749" spans="1:1" x14ac:dyDescent="0.2">
      <c r="A1749" t="s">
        <v>102</v>
      </c>
    </row>
    <row r="1750" spans="1:1" x14ac:dyDescent="0.2">
      <c r="A1750" t="s">
        <v>102</v>
      </c>
    </row>
    <row r="1751" spans="1:1" x14ac:dyDescent="0.2">
      <c r="A1751" t="s">
        <v>102</v>
      </c>
    </row>
    <row r="1752" spans="1:1" x14ac:dyDescent="0.2">
      <c r="A1752" t="s">
        <v>102</v>
      </c>
    </row>
    <row r="1753" spans="1:1" x14ac:dyDescent="0.2">
      <c r="A1753" t="s">
        <v>102</v>
      </c>
    </row>
    <row r="1754" spans="1:1" x14ac:dyDescent="0.2">
      <c r="A1754" t="s">
        <v>102</v>
      </c>
    </row>
    <row r="1755" spans="1:1" x14ac:dyDescent="0.2">
      <c r="A1755" t="s">
        <v>102</v>
      </c>
    </row>
    <row r="1756" spans="1:1" x14ac:dyDescent="0.2">
      <c r="A1756" t="s">
        <v>102</v>
      </c>
    </row>
    <row r="1757" spans="1:1" x14ac:dyDescent="0.2">
      <c r="A1757" t="s">
        <v>102</v>
      </c>
    </row>
    <row r="1758" spans="1:1" x14ac:dyDescent="0.2">
      <c r="A1758" t="s">
        <v>102</v>
      </c>
    </row>
    <row r="1759" spans="1:1" x14ac:dyDescent="0.2">
      <c r="A1759" t="s">
        <v>102</v>
      </c>
    </row>
    <row r="1760" spans="1:1" x14ac:dyDescent="0.2">
      <c r="A1760" t="s">
        <v>102</v>
      </c>
    </row>
    <row r="1761" spans="1:1" x14ac:dyDescent="0.2">
      <c r="A1761" t="s">
        <v>102</v>
      </c>
    </row>
    <row r="1762" spans="1:1" x14ac:dyDescent="0.2">
      <c r="A1762" t="s">
        <v>102</v>
      </c>
    </row>
    <row r="1763" spans="1:1" x14ac:dyDescent="0.2">
      <c r="A1763" t="s">
        <v>102</v>
      </c>
    </row>
    <row r="1764" spans="1:1" x14ac:dyDescent="0.2">
      <c r="A1764" t="s">
        <v>102</v>
      </c>
    </row>
    <row r="1765" spans="1:1" x14ac:dyDescent="0.2">
      <c r="A1765" t="s">
        <v>102</v>
      </c>
    </row>
    <row r="1766" spans="1:1" x14ac:dyDescent="0.2">
      <c r="A1766" t="s">
        <v>102</v>
      </c>
    </row>
    <row r="1767" spans="1:1" x14ac:dyDescent="0.2">
      <c r="A1767" t="s">
        <v>102</v>
      </c>
    </row>
    <row r="1768" spans="1:1" x14ac:dyDescent="0.2">
      <c r="A1768" t="s">
        <v>102</v>
      </c>
    </row>
    <row r="1769" spans="1:1" x14ac:dyDescent="0.2">
      <c r="A1769" t="s">
        <v>102</v>
      </c>
    </row>
    <row r="1770" spans="1:1" x14ac:dyDescent="0.2">
      <c r="A1770" t="s">
        <v>102</v>
      </c>
    </row>
    <row r="1771" spans="1:1" x14ac:dyDescent="0.2">
      <c r="A1771" t="s">
        <v>102</v>
      </c>
    </row>
    <row r="1772" spans="1:1" x14ac:dyDescent="0.2">
      <c r="A1772" t="s">
        <v>102</v>
      </c>
    </row>
    <row r="1773" spans="1:1" x14ac:dyDescent="0.2">
      <c r="A1773" t="s">
        <v>102</v>
      </c>
    </row>
    <row r="1774" spans="1:1" x14ac:dyDescent="0.2">
      <c r="A1774" t="s">
        <v>102</v>
      </c>
    </row>
    <row r="1775" spans="1:1" x14ac:dyDescent="0.2">
      <c r="A1775" t="s">
        <v>102</v>
      </c>
    </row>
    <row r="1776" spans="1:1" x14ac:dyDescent="0.2">
      <c r="A1776" t="s">
        <v>102</v>
      </c>
    </row>
    <row r="1777" spans="1:1" x14ac:dyDescent="0.2">
      <c r="A1777" t="s">
        <v>102</v>
      </c>
    </row>
    <row r="1778" spans="1:1" x14ac:dyDescent="0.2">
      <c r="A1778" t="s">
        <v>102</v>
      </c>
    </row>
    <row r="1779" spans="1:1" x14ac:dyDescent="0.2">
      <c r="A1779" t="s">
        <v>102</v>
      </c>
    </row>
    <row r="1780" spans="1:1" x14ac:dyDescent="0.2">
      <c r="A1780" t="s">
        <v>102</v>
      </c>
    </row>
    <row r="1781" spans="1:1" x14ac:dyDescent="0.2">
      <c r="A1781" t="s">
        <v>102</v>
      </c>
    </row>
    <row r="1782" spans="1:1" x14ac:dyDescent="0.2">
      <c r="A1782" t="s">
        <v>102</v>
      </c>
    </row>
    <row r="1783" spans="1:1" x14ac:dyDescent="0.2">
      <c r="A1783" t="s">
        <v>102</v>
      </c>
    </row>
    <row r="1784" spans="1:1" x14ac:dyDescent="0.2">
      <c r="A1784" t="s">
        <v>102</v>
      </c>
    </row>
    <row r="1785" spans="1:1" x14ac:dyDescent="0.2">
      <c r="A1785" t="s">
        <v>102</v>
      </c>
    </row>
    <row r="1786" spans="1:1" x14ac:dyDescent="0.2">
      <c r="A1786" t="s">
        <v>102</v>
      </c>
    </row>
    <row r="1787" spans="1:1" x14ac:dyDescent="0.2">
      <c r="A1787" t="s">
        <v>102</v>
      </c>
    </row>
    <row r="1788" spans="1:1" x14ac:dyDescent="0.2">
      <c r="A1788" t="s">
        <v>102</v>
      </c>
    </row>
    <row r="1789" spans="1:1" x14ac:dyDescent="0.2">
      <c r="A1789" t="s">
        <v>102</v>
      </c>
    </row>
    <row r="1790" spans="1:1" x14ac:dyDescent="0.2">
      <c r="A1790" t="s">
        <v>102</v>
      </c>
    </row>
    <row r="1791" spans="1:1" x14ac:dyDescent="0.2">
      <c r="A1791" t="s">
        <v>102</v>
      </c>
    </row>
    <row r="1792" spans="1:1" x14ac:dyDescent="0.2">
      <c r="A1792" t="s">
        <v>102</v>
      </c>
    </row>
    <row r="1793" spans="1:1" x14ac:dyDescent="0.2">
      <c r="A1793" t="s">
        <v>102</v>
      </c>
    </row>
    <row r="1794" spans="1:1" x14ac:dyDescent="0.2">
      <c r="A1794" t="s">
        <v>102</v>
      </c>
    </row>
    <row r="1795" spans="1:1" x14ac:dyDescent="0.2">
      <c r="A1795" t="s">
        <v>102</v>
      </c>
    </row>
    <row r="1796" spans="1:1" x14ac:dyDescent="0.2">
      <c r="A1796" t="s">
        <v>102</v>
      </c>
    </row>
    <row r="1797" spans="1:1" x14ac:dyDescent="0.2">
      <c r="A1797" t="s">
        <v>102</v>
      </c>
    </row>
    <row r="1798" spans="1:1" x14ac:dyDescent="0.2">
      <c r="A1798" t="s">
        <v>102</v>
      </c>
    </row>
    <row r="1799" spans="1:1" x14ac:dyDescent="0.2">
      <c r="A1799" t="s">
        <v>102</v>
      </c>
    </row>
    <row r="1800" spans="1:1" x14ac:dyDescent="0.2">
      <c r="A1800" t="s">
        <v>102</v>
      </c>
    </row>
    <row r="1801" spans="1:1" x14ac:dyDescent="0.2">
      <c r="A1801" t="s">
        <v>102</v>
      </c>
    </row>
    <row r="1802" spans="1:1" x14ac:dyDescent="0.2">
      <c r="A1802" t="s">
        <v>102</v>
      </c>
    </row>
    <row r="1803" spans="1:1" x14ac:dyDescent="0.2">
      <c r="A1803" t="s">
        <v>102</v>
      </c>
    </row>
    <row r="1804" spans="1:1" x14ac:dyDescent="0.2">
      <c r="A1804" t="s">
        <v>102</v>
      </c>
    </row>
    <row r="1805" spans="1:1" x14ac:dyDescent="0.2">
      <c r="A1805" t="s">
        <v>102</v>
      </c>
    </row>
    <row r="1806" spans="1:1" x14ac:dyDescent="0.2">
      <c r="A1806" t="s">
        <v>102</v>
      </c>
    </row>
    <row r="1807" spans="1:1" x14ac:dyDescent="0.2">
      <c r="A1807" t="s">
        <v>102</v>
      </c>
    </row>
    <row r="1808" spans="1:1" x14ac:dyDescent="0.2">
      <c r="A1808" t="s">
        <v>102</v>
      </c>
    </row>
    <row r="1809" spans="1:1" x14ac:dyDescent="0.2">
      <c r="A1809" t="s">
        <v>102</v>
      </c>
    </row>
    <row r="1810" spans="1:1" x14ac:dyDescent="0.2">
      <c r="A1810" t="s">
        <v>102</v>
      </c>
    </row>
    <row r="1811" spans="1:1" x14ac:dyDescent="0.2">
      <c r="A1811" t="s">
        <v>102</v>
      </c>
    </row>
    <row r="1812" spans="1:1" x14ac:dyDescent="0.2">
      <c r="A1812" t="s">
        <v>102</v>
      </c>
    </row>
    <row r="1813" spans="1:1" x14ac:dyDescent="0.2">
      <c r="A1813" t="s">
        <v>102</v>
      </c>
    </row>
    <row r="1814" spans="1:1" x14ac:dyDescent="0.2">
      <c r="A1814" t="s">
        <v>102</v>
      </c>
    </row>
    <row r="1815" spans="1:1" x14ac:dyDescent="0.2">
      <c r="A1815" t="s">
        <v>102</v>
      </c>
    </row>
    <row r="1816" spans="1:1" x14ac:dyDescent="0.2">
      <c r="A1816" t="s">
        <v>102</v>
      </c>
    </row>
    <row r="1817" spans="1:1" x14ac:dyDescent="0.2">
      <c r="A1817" t="s">
        <v>102</v>
      </c>
    </row>
    <row r="1818" spans="1:1" x14ac:dyDescent="0.2">
      <c r="A1818" t="s">
        <v>102</v>
      </c>
    </row>
    <row r="1819" spans="1:1" x14ac:dyDescent="0.2">
      <c r="A1819" t="s">
        <v>102</v>
      </c>
    </row>
    <row r="1820" spans="1:1" x14ac:dyDescent="0.2">
      <c r="A1820" t="s">
        <v>102</v>
      </c>
    </row>
    <row r="1821" spans="1:1" x14ac:dyDescent="0.2">
      <c r="A1821" t="s">
        <v>102</v>
      </c>
    </row>
    <row r="1822" spans="1:1" x14ac:dyDescent="0.2">
      <c r="A1822" t="s">
        <v>102</v>
      </c>
    </row>
    <row r="1823" spans="1:1" x14ac:dyDescent="0.2">
      <c r="A1823" t="s">
        <v>102</v>
      </c>
    </row>
    <row r="1824" spans="1:1" x14ac:dyDescent="0.2">
      <c r="A1824" t="s">
        <v>102</v>
      </c>
    </row>
    <row r="1825" spans="1:1" x14ac:dyDescent="0.2">
      <c r="A1825" t="s">
        <v>102</v>
      </c>
    </row>
    <row r="1826" spans="1:1" x14ac:dyDescent="0.2">
      <c r="A1826" t="s">
        <v>102</v>
      </c>
    </row>
    <row r="1827" spans="1:1" x14ac:dyDescent="0.2">
      <c r="A1827" t="s">
        <v>102</v>
      </c>
    </row>
    <row r="1828" spans="1:1" x14ac:dyDescent="0.2">
      <c r="A1828" t="s">
        <v>102</v>
      </c>
    </row>
    <row r="1829" spans="1:1" x14ac:dyDescent="0.2">
      <c r="A1829" t="s">
        <v>102</v>
      </c>
    </row>
    <row r="1830" spans="1:1" x14ac:dyDescent="0.2">
      <c r="A1830" t="s">
        <v>102</v>
      </c>
    </row>
    <row r="1831" spans="1:1" x14ac:dyDescent="0.2">
      <c r="A1831" t="s">
        <v>102</v>
      </c>
    </row>
    <row r="1832" spans="1:1" x14ac:dyDescent="0.2">
      <c r="A1832" t="s">
        <v>102</v>
      </c>
    </row>
    <row r="1833" spans="1:1" x14ac:dyDescent="0.2">
      <c r="A1833" t="s">
        <v>102</v>
      </c>
    </row>
    <row r="1834" spans="1:1" x14ac:dyDescent="0.2">
      <c r="A1834" t="s">
        <v>102</v>
      </c>
    </row>
    <row r="1835" spans="1:1" x14ac:dyDescent="0.2">
      <c r="A1835" t="s">
        <v>102</v>
      </c>
    </row>
    <row r="1836" spans="1:1" x14ac:dyDescent="0.2">
      <c r="A1836" t="s">
        <v>102</v>
      </c>
    </row>
    <row r="1837" spans="1:1" x14ac:dyDescent="0.2">
      <c r="A1837" t="s">
        <v>102</v>
      </c>
    </row>
    <row r="1838" spans="1:1" x14ac:dyDescent="0.2">
      <c r="A1838" t="s">
        <v>102</v>
      </c>
    </row>
    <row r="1839" spans="1:1" x14ac:dyDescent="0.2">
      <c r="A1839" t="s">
        <v>102</v>
      </c>
    </row>
    <row r="1840" spans="1:1" x14ac:dyDescent="0.2">
      <c r="A1840" t="s">
        <v>102</v>
      </c>
    </row>
    <row r="1841" spans="1:1" x14ac:dyDescent="0.2">
      <c r="A1841" t="s">
        <v>102</v>
      </c>
    </row>
    <row r="1842" spans="1:1" x14ac:dyDescent="0.2">
      <c r="A1842" t="s">
        <v>102</v>
      </c>
    </row>
    <row r="1843" spans="1:1" x14ac:dyDescent="0.2">
      <c r="A1843" t="s">
        <v>102</v>
      </c>
    </row>
    <row r="1844" spans="1:1" x14ac:dyDescent="0.2">
      <c r="A1844" t="s">
        <v>102</v>
      </c>
    </row>
    <row r="1845" spans="1:1" x14ac:dyDescent="0.2">
      <c r="A1845" t="s">
        <v>102</v>
      </c>
    </row>
    <row r="1846" spans="1:1" x14ac:dyDescent="0.2">
      <c r="A1846" t="s">
        <v>102</v>
      </c>
    </row>
    <row r="1847" spans="1:1" x14ac:dyDescent="0.2">
      <c r="A1847" t="s">
        <v>102</v>
      </c>
    </row>
    <row r="1848" spans="1:1" x14ac:dyDescent="0.2">
      <c r="A1848" t="s">
        <v>102</v>
      </c>
    </row>
    <row r="1849" spans="1:1" x14ac:dyDescent="0.2">
      <c r="A1849" t="s">
        <v>102</v>
      </c>
    </row>
    <row r="1850" spans="1:1" x14ac:dyDescent="0.2">
      <c r="A1850" t="s">
        <v>102</v>
      </c>
    </row>
    <row r="1851" spans="1:1" x14ac:dyDescent="0.2">
      <c r="A1851" t="s">
        <v>102</v>
      </c>
    </row>
    <row r="1852" spans="1:1" x14ac:dyDescent="0.2">
      <c r="A1852" t="s">
        <v>102</v>
      </c>
    </row>
    <row r="1853" spans="1:1" x14ac:dyDescent="0.2">
      <c r="A1853" t="s">
        <v>102</v>
      </c>
    </row>
    <row r="1854" spans="1:1" x14ac:dyDescent="0.2">
      <c r="A1854" t="s">
        <v>102</v>
      </c>
    </row>
    <row r="1855" spans="1:1" x14ac:dyDescent="0.2">
      <c r="A1855" t="s">
        <v>102</v>
      </c>
    </row>
    <row r="1856" spans="1:1" x14ac:dyDescent="0.2">
      <c r="A1856" t="s">
        <v>102</v>
      </c>
    </row>
    <row r="1857" spans="1:1" x14ac:dyDescent="0.2">
      <c r="A1857" t="s">
        <v>102</v>
      </c>
    </row>
    <row r="1858" spans="1:1" x14ac:dyDescent="0.2">
      <c r="A1858" t="s">
        <v>102</v>
      </c>
    </row>
    <row r="1859" spans="1:1" x14ac:dyDescent="0.2">
      <c r="A1859" t="s">
        <v>102</v>
      </c>
    </row>
    <row r="1860" spans="1:1" x14ac:dyDescent="0.2">
      <c r="A1860" t="s">
        <v>102</v>
      </c>
    </row>
    <row r="1861" spans="1:1" x14ac:dyDescent="0.2">
      <c r="A1861" t="s">
        <v>102</v>
      </c>
    </row>
    <row r="1862" spans="1:1" x14ac:dyDescent="0.2">
      <c r="A1862" t="s">
        <v>102</v>
      </c>
    </row>
    <row r="1863" spans="1:1" x14ac:dyDescent="0.2">
      <c r="A1863" t="s">
        <v>102</v>
      </c>
    </row>
    <row r="1864" spans="1:1" x14ac:dyDescent="0.2">
      <c r="A1864" t="s">
        <v>102</v>
      </c>
    </row>
    <row r="1865" spans="1:1" x14ac:dyDescent="0.2">
      <c r="A1865" t="s">
        <v>102</v>
      </c>
    </row>
    <row r="1866" spans="1:1" x14ac:dyDescent="0.2">
      <c r="A1866" t="s">
        <v>102</v>
      </c>
    </row>
    <row r="1867" spans="1:1" x14ac:dyDescent="0.2">
      <c r="A1867" t="s">
        <v>102</v>
      </c>
    </row>
    <row r="1868" spans="1:1" x14ac:dyDescent="0.2">
      <c r="A1868" t="s">
        <v>102</v>
      </c>
    </row>
    <row r="1869" spans="1:1" x14ac:dyDescent="0.2">
      <c r="A1869" t="s">
        <v>102</v>
      </c>
    </row>
    <row r="1870" spans="1:1" x14ac:dyDescent="0.2">
      <c r="A1870" t="s">
        <v>102</v>
      </c>
    </row>
    <row r="1871" spans="1:1" x14ac:dyDescent="0.2">
      <c r="A1871" t="s">
        <v>102</v>
      </c>
    </row>
    <row r="1872" spans="1:1" x14ac:dyDescent="0.2">
      <c r="A1872" t="s">
        <v>102</v>
      </c>
    </row>
    <row r="1873" spans="1:1" x14ac:dyDescent="0.2">
      <c r="A1873" t="s">
        <v>102</v>
      </c>
    </row>
    <row r="1874" spans="1:1" x14ac:dyDescent="0.2">
      <c r="A1874" t="s">
        <v>102</v>
      </c>
    </row>
    <row r="1875" spans="1:1" x14ac:dyDescent="0.2">
      <c r="A1875" t="s">
        <v>102</v>
      </c>
    </row>
    <row r="1876" spans="1:1" x14ac:dyDescent="0.2">
      <c r="A1876" t="s">
        <v>102</v>
      </c>
    </row>
    <row r="1877" spans="1:1" x14ac:dyDescent="0.2">
      <c r="A1877" t="s">
        <v>102</v>
      </c>
    </row>
    <row r="1878" spans="1:1" x14ac:dyDescent="0.2">
      <c r="A1878" t="s">
        <v>102</v>
      </c>
    </row>
    <row r="1879" spans="1:1" x14ac:dyDescent="0.2">
      <c r="A1879" t="s">
        <v>102</v>
      </c>
    </row>
    <row r="1880" spans="1:1" x14ac:dyDescent="0.2">
      <c r="A1880" t="s">
        <v>102</v>
      </c>
    </row>
    <row r="1881" spans="1:1" x14ac:dyDescent="0.2">
      <c r="A1881" t="s">
        <v>102</v>
      </c>
    </row>
    <row r="1882" spans="1:1" x14ac:dyDescent="0.2">
      <c r="A1882" t="s">
        <v>102</v>
      </c>
    </row>
    <row r="1883" spans="1:1" x14ac:dyDescent="0.2">
      <c r="A1883" t="s">
        <v>102</v>
      </c>
    </row>
    <row r="1884" spans="1:1" x14ac:dyDescent="0.2">
      <c r="A1884" t="s">
        <v>102</v>
      </c>
    </row>
    <row r="1885" spans="1:1" x14ac:dyDescent="0.2">
      <c r="A1885" t="s">
        <v>102</v>
      </c>
    </row>
    <row r="1886" spans="1:1" x14ac:dyDescent="0.2">
      <c r="A1886" t="s">
        <v>102</v>
      </c>
    </row>
    <row r="1887" spans="1:1" x14ac:dyDescent="0.2">
      <c r="A1887" t="s">
        <v>102</v>
      </c>
    </row>
    <row r="1888" spans="1:1" x14ac:dyDescent="0.2">
      <c r="A1888" t="s">
        <v>102</v>
      </c>
    </row>
    <row r="1889" spans="1:1" x14ac:dyDescent="0.2">
      <c r="A1889" t="s">
        <v>102</v>
      </c>
    </row>
    <row r="1890" spans="1:1" x14ac:dyDescent="0.2">
      <c r="A1890" t="s">
        <v>102</v>
      </c>
    </row>
    <row r="1891" spans="1:1" x14ac:dyDescent="0.2">
      <c r="A1891" t="s">
        <v>102</v>
      </c>
    </row>
    <row r="1892" spans="1:1" x14ac:dyDescent="0.2">
      <c r="A1892" t="s">
        <v>102</v>
      </c>
    </row>
    <row r="1893" spans="1:1" x14ac:dyDescent="0.2">
      <c r="A1893" t="s">
        <v>102</v>
      </c>
    </row>
    <row r="1894" spans="1:1" x14ac:dyDescent="0.2">
      <c r="A1894" t="s">
        <v>102</v>
      </c>
    </row>
    <row r="1895" spans="1:1" x14ac:dyDescent="0.2">
      <c r="A1895" t="s">
        <v>102</v>
      </c>
    </row>
    <row r="1896" spans="1:1" x14ac:dyDescent="0.2">
      <c r="A1896" t="s">
        <v>102</v>
      </c>
    </row>
    <row r="1897" spans="1:1" x14ac:dyDescent="0.2">
      <c r="A1897" t="s">
        <v>102</v>
      </c>
    </row>
    <row r="1898" spans="1:1" x14ac:dyDescent="0.2">
      <c r="A1898" t="s">
        <v>102</v>
      </c>
    </row>
    <row r="1899" spans="1:1" x14ac:dyDescent="0.2">
      <c r="A1899" t="s">
        <v>102</v>
      </c>
    </row>
    <row r="1900" spans="1:1" x14ac:dyDescent="0.2">
      <c r="A1900" t="s">
        <v>102</v>
      </c>
    </row>
    <row r="1901" spans="1:1" x14ac:dyDescent="0.2">
      <c r="A1901" t="s">
        <v>102</v>
      </c>
    </row>
    <row r="1902" spans="1:1" x14ac:dyDescent="0.2">
      <c r="A1902" t="s">
        <v>102</v>
      </c>
    </row>
    <row r="1903" spans="1:1" x14ac:dyDescent="0.2">
      <c r="A1903" t="s">
        <v>102</v>
      </c>
    </row>
    <row r="1904" spans="1:1" x14ac:dyDescent="0.2">
      <c r="A1904" t="s">
        <v>102</v>
      </c>
    </row>
    <row r="1905" spans="1:1" x14ac:dyDescent="0.2">
      <c r="A1905" t="s">
        <v>102</v>
      </c>
    </row>
    <row r="1906" spans="1:1" x14ac:dyDescent="0.2">
      <c r="A1906" t="s">
        <v>102</v>
      </c>
    </row>
    <row r="1907" spans="1:1" x14ac:dyDescent="0.2">
      <c r="A1907" t="s">
        <v>102</v>
      </c>
    </row>
    <row r="1908" spans="1:1" x14ac:dyDescent="0.2">
      <c r="A1908" t="s">
        <v>102</v>
      </c>
    </row>
    <row r="1909" spans="1:1" x14ac:dyDescent="0.2">
      <c r="A1909" t="s">
        <v>102</v>
      </c>
    </row>
    <row r="1910" spans="1:1" x14ac:dyDescent="0.2">
      <c r="A1910" t="s">
        <v>102</v>
      </c>
    </row>
    <row r="1911" spans="1:1" x14ac:dyDescent="0.2">
      <c r="A1911" t="s">
        <v>102</v>
      </c>
    </row>
    <row r="1912" spans="1:1" x14ac:dyDescent="0.2">
      <c r="A1912" t="s">
        <v>102</v>
      </c>
    </row>
    <row r="1913" spans="1:1" x14ac:dyDescent="0.2">
      <c r="A1913" t="s">
        <v>102</v>
      </c>
    </row>
    <row r="1914" spans="1:1" x14ac:dyDescent="0.2">
      <c r="A1914" t="s">
        <v>102</v>
      </c>
    </row>
    <row r="1915" spans="1:1" x14ac:dyDescent="0.2">
      <c r="A1915" t="s">
        <v>102</v>
      </c>
    </row>
    <row r="1916" spans="1:1" x14ac:dyDescent="0.2">
      <c r="A1916" t="s">
        <v>102</v>
      </c>
    </row>
    <row r="1917" spans="1:1" x14ac:dyDescent="0.2">
      <c r="A1917" t="s">
        <v>102</v>
      </c>
    </row>
    <row r="1918" spans="1:1" x14ac:dyDescent="0.2">
      <c r="A1918" t="s">
        <v>102</v>
      </c>
    </row>
    <row r="1919" spans="1:1" x14ac:dyDescent="0.2">
      <c r="A1919" t="s">
        <v>102</v>
      </c>
    </row>
    <row r="1920" spans="1:1" x14ac:dyDescent="0.2">
      <c r="A1920" t="s">
        <v>102</v>
      </c>
    </row>
    <row r="1921" spans="1:1" x14ac:dyDescent="0.2">
      <c r="A1921" t="s">
        <v>102</v>
      </c>
    </row>
    <row r="1922" spans="1:1" x14ac:dyDescent="0.2">
      <c r="A1922" t="s">
        <v>102</v>
      </c>
    </row>
    <row r="1923" spans="1:1" x14ac:dyDescent="0.2">
      <c r="A1923" t="s">
        <v>102</v>
      </c>
    </row>
    <row r="1924" spans="1:1" x14ac:dyDescent="0.2">
      <c r="A1924" t="s">
        <v>102</v>
      </c>
    </row>
    <row r="1925" spans="1:1" x14ac:dyDescent="0.2">
      <c r="A1925" t="s">
        <v>102</v>
      </c>
    </row>
    <row r="1926" spans="1:1" x14ac:dyDescent="0.2">
      <c r="A1926" t="s">
        <v>102</v>
      </c>
    </row>
    <row r="1927" spans="1:1" x14ac:dyDescent="0.2">
      <c r="A1927" t="s">
        <v>102</v>
      </c>
    </row>
    <row r="1928" spans="1:1" x14ac:dyDescent="0.2">
      <c r="A1928" t="s">
        <v>102</v>
      </c>
    </row>
    <row r="1929" spans="1:1" x14ac:dyDescent="0.2">
      <c r="A1929" t="s">
        <v>102</v>
      </c>
    </row>
    <row r="1930" spans="1:1" x14ac:dyDescent="0.2">
      <c r="A1930" t="s">
        <v>102</v>
      </c>
    </row>
    <row r="1931" spans="1:1" x14ac:dyDescent="0.2">
      <c r="A1931" t="s">
        <v>102</v>
      </c>
    </row>
    <row r="1932" spans="1:1" x14ac:dyDescent="0.2">
      <c r="A1932" t="s">
        <v>102</v>
      </c>
    </row>
    <row r="1933" spans="1:1" x14ac:dyDescent="0.2">
      <c r="A1933" t="s">
        <v>102</v>
      </c>
    </row>
    <row r="1934" spans="1:1" x14ac:dyDescent="0.2">
      <c r="A1934" t="s">
        <v>102</v>
      </c>
    </row>
    <row r="1935" spans="1:1" x14ac:dyDescent="0.2">
      <c r="A1935" t="s">
        <v>102</v>
      </c>
    </row>
    <row r="1936" spans="1:1" x14ac:dyDescent="0.2">
      <c r="A1936" t="s">
        <v>102</v>
      </c>
    </row>
    <row r="1937" spans="1:1" x14ac:dyDescent="0.2">
      <c r="A1937" t="s">
        <v>102</v>
      </c>
    </row>
    <row r="1938" spans="1:1" x14ac:dyDescent="0.2">
      <c r="A1938" t="s">
        <v>102</v>
      </c>
    </row>
    <row r="1939" spans="1:1" x14ac:dyDescent="0.2">
      <c r="A1939" t="s">
        <v>102</v>
      </c>
    </row>
    <row r="1940" spans="1:1" x14ac:dyDescent="0.2">
      <c r="A1940" t="s">
        <v>102</v>
      </c>
    </row>
    <row r="1941" spans="1:1" x14ac:dyDescent="0.2">
      <c r="A1941" t="s">
        <v>102</v>
      </c>
    </row>
    <row r="1942" spans="1:1" x14ac:dyDescent="0.2">
      <c r="A1942" t="s">
        <v>102</v>
      </c>
    </row>
    <row r="1943" spans="1:1" x14ac:dyDescent="0.2">
      <c r="A1943" t="s">
        <v>102</v>
      </c>
    </row>
    <row r="1944" spans="1:1" x14ac:dyDescent="0.2">
      <c r="A1944" t="s">
        <v>102</v>
      </c>
    </row>
    <row r="1945" spans="1:1" x14ac:dyDescent="0.2">
      <c r="A1945" t="s">
        <v>102</v>
      </c>
    </row>
    <row r="1946" spans="1:1" x14ac:dyDescent="0.2">
      <c r="A1946" t="s">
        <v>102</v>
      </c>
    </row>
    <row r="1947" spans="1:1" x14ac:dyDescent="0.2">
      <c r="A1947" t="s">
        <v>102</v>
      </c>
    </row>
    <row r="1948" spans="1:1" x14ac:dyDescent="0.2">
      <c r="A1948" t="s">
        <v>102</v>
      </c>
    </row>
    <row r="1949" spans="1:1" x14ac:dyDescent="0.2">
      <c r="A1949" t="s">
        <v>102</v>
      </c>
    </row>
    <row r="1950" spans="1:1" x14ac:dyDescent="0.2">
      <c r="A1950" t="s">
        <v>102</v>
      </c>
    </row>
    <row r="1951" spans="1:1" x14ac:dyDescent="0.2">
      <c r="A1951" t="s">
        <v>102</v>
      </c>
    </row>
    <row r="1952" spans="1:1" x14ac:dyDescent="0.2">
      <c r="A1952" t="s">
        <v>102</v>
      </c>
    </row>
    <row r="1953" spans="1:1" x14ac:dyDescent="0.2">
      <c r="A1953" t="s">
        <v>102</v>
      </c>
    </row>
    <row r="1954" spans="1:1" x14ac:dyDescent="0.2">
      <c r="A1954" t="s">
        <v>102</v>
      </c>
    </row>
    <row r="1955" spans="1:1" x14ac:dyDescent="0.2">
      <c r="A1955" t="s">
        <v>102</v>
      </c>
    </row>
    <row r="1956" spans="1:1" x14ac:dyDescent="0.2">
      <c r="A1956" t="s">
        <v>102</v>
      </c>
    </row>
    <row r="1957" spans="1:1" x14ac:dyDescent="0.2">
      <c r="A1957" t="s">
        <v>102</v>
      </c>
    </row>
    <row r="1958" spans="1:1" x14ac:dyDescent="0.2">
      <c r="A1958" t="s">
        <v>102</v>
      </c>
    </row>
    <row r="1959" spans="1:1" x14ac:dyDescent="0.2">
      <c r="A1959" t="s">
        <v>102</v>
      </c>
    </row>
    <row r="1960" spans="1:1" x14ac:dyDescent="0.2">
      <c r="A1960" t="s">
        <v>102</v>
      </c>
    </row>
    <row r="1961" spans="1:1" x14ac:dyDescent="0.2">
      <c r="A1961" t="s">
        <v>102</v>
      </c>
    </row>
    <row r="1962" spans="1:1" x14ac:dyDescent="0.2">
      <c r="A1962" t="s">
        <v>102</v>
      </c>
    </row>
    <row r="1963" spans="1:1" x14ac:dyDescent="0.2">
      <c r="A1963" t="s">
        <v>102</v>
      </c>
    </row>
    <row r="1964" spans="1:1" x14ac:dyDescent="0.2">
      <c r="A1964" t="s">
        <v>102</v>
      </c>
    </row>
    <row r="1965" spans="1:1" x14ac:dyDescent="0.2">
      <c r="A1965" t="s">
        <v>102</v>
      </c>
    </row>
    <row r="1966" spans="1:1" x14ac:dyDescent="0.2">
      <c r="A1966" t="s">
        <v>102</v>
      </c>
    </row>
    <row r="1967" spans="1:1" x14ac:dyDescent="0.2">
      <c r="A1967" t="s">
        <v>102</v>
      </c>
    </row>
    <row r="1968" spans="1:1" x14ac:dyDescent="0.2">
      <c r="A1968" t="s">
        <v>102</v>
      </c>
    </row>
    <row r="1969" spans="1:1" x14ac:dyDescent="0.2">
      <c r="A1969" t="s">
        <v>102</v>
      </c>
    </row>
    <row r="1970" spans="1:1" x14ac:dyDescent="0.2">
      <c r="A1970" t="s">
        <v>102</v>
      </c>
    </row>
    <row r="1971" spans="1:1" x14ac:dyDescent="0.2">
      <c r="A1971" t="s">
        <v>102</v>
      </c>
    </row>
    <row r="1972" spans="1:1" x14ac:dyDescent="0.2">
      <c r="A1972" t="s">
        <v>102</v>
      </c>
    </row>
    <row r="1973" spans="1:1" x14ac:dyDescent="0.2">
      <c r="A1973" t="s">
        <v>102</v>
      </c>
    </row>
    <row r="1974" spans="1:1" x14ac:dyDescent="0.2">
      <c r="A1974" t="s">
        <v>102</v>
      </c>
    </row>
    <row r="1975" spans="1:1" x14ac:dyDescent="0.2">
      <c r="A1975" t="s">
        <v>102</v>
      </c>
    </row>
    <row r="1976" spans="1:1" x14ac:dyDescent="0.2">
      <c r="A1976" t="s">
        <v>102</v>
      </c>
    </row>
    <row r="1977" spans="1:1" x14ac:dyDescent="0.2">
      <c r="A1977" t="s">
        <v>102</v>
      </c>
    </row>
    <row r="1978" spans="1:1" x14ac:dyDescent="0.2">
      <c r="A1978" t="s">
        <v>102</v>
      </c>
    </row>
    <row r="1979" spans="1:1" x14ac:dyDescent="0.2">
      <c r="A1979" t="s">
        <v>102</v>
      </c>
    </row>
    <row r="1980" spans="1:1" x14ac:dyDescent="0.2">
      <c r="A1980" t="s">
        <v>102</v>
      </c>
    </row>
    <row r="1981" spans="1:1" x14ac:dyDescent="0.2">
      <c r="A1981" t="s">
        <v>102</v>
      </c>
    </row>
    <row r="1982" spans="1:1" x14ac:dyDescent="0.2">
      <c r="A1982" t="s">
        <v>102</v>
      </c>
    </row>
    <row r="1983" spans="1:1" x14ac:dyDescent="0.2">
      <c r="A1983" t="s">
        <v>102</v>
      </c>
    </row>
    <row r="1984" spans="1:1" x14ac:dyDescent="0.2">
      <c r="A1984" t="s">
        <v>102</v>
      </c>
    </row>
    <row r="1985" spans="1:1" x14ac:dyDescent="0.2">
      <c r="A1985" t="s">
        <v>102</v>
      </c>
    </row>
    <row r="1986" spans="1:1" x14ac:dyDescent="0.2">
      <c r="A1986" t="s">
        <v>102</v>
      </c>
    </row>
    <row r="1987" spans="1:1" x14ac:dyDescent="0.2">
      <c r="A1987" t="s">
        <v>102</v>
      </c>
    </row>
    <row r="1988" spans="1:1" x14ac:dyDescent="0.2">
      <c r="A1988" t="s">
        <v>102</v>
      </c>
    </row>
    <row r="1989" spans="1:1" x14ac:dyDescent="0.2">
      <c r="A1989" t="s">
        <v>102</v>
      </c>
    </row>
    <row r="1990" spans="1:1" x14ac:dyDescent="0.2">
      <c r="A1990" t="s">
        <v>102</v>
      </c>
    </row>
    <row r="1991" spans="1:1" x14ac:dyDescent="0.2">
      <c r="A1991" t="s">
        <v>102</v>
      </c>
    </row>
    <row r="1992" spans="1:1" x14ac:dyDescent="0.2">
      <c r="A1992" t="s">
        <v>102</v>
      </c>
    </row>
    <row r="1993" spans="1:1" x14ac:dyDescent="0.2">
      <c r="A1993" t="s">
        <v>102</v>
      </c>
    </row>
    <row r="1994" spans="1:1" x14ac:dyDescent="0.2">
      <c r="A1994" t="s">
        <v>102</v>
      </c>
    </row>
    <row r="1995" spans="1:1" x14ac:dyDescent="0.2">
      <c r="A1995" t="s">
        <v>102</v>
      </c>
    </row>
    <row r="1996" spans="1:1" x14ac:dyDescent="0.2">
      <c r="A1996" t="s">
        <v>102</v>
      </c>
    </row>
    <row r="1997" spans="1:1" x14ac:dyDescent="0.2">
      <c r="A1997" t="s">
        <v>102</v>
      </c>
    </row>
    <row r="1998" spans="1:1" x14ac:dyDescent="0.2">
      <c r="A1998" t="s">
        <v>102</v>
      </c>
    </row>
    <row r="1999" spans="1:1" x14ac:dyDescent="0.2">
      <c r="A1999" t="s">
        <v>102</v>
      </c>
    </row>
    <row r="2000" spans="1:1" x14ac:dyDescent="0.2">
      <c r="A2000" t="s">
        <v>102</v>
      </c>
    </row>
    <row r="2001" spans="1:1" x14ac:dyDescent="0.2">
      <c r="A2001" t="s">
        <v>102</v>
      </c>
    </row>
    <row r="2002" spans="1:1" x14ac:dyDescent="0.2">
      <c r="A2002" t="s">
        <v>102</v>
      </c>
    </row>
    <row r="2003" spans="1:1" x14ac:dyDescent="0.2">
      <c r="A2003" t="s">
        <v>102</v>
      </c>
    </row>
    <row r="2004" spans="1:1" x14ac:dyDescent="0.2">
      <c r="A2004" t="s">
        <v>102</v>
      </c>
    </row>
    <row r="2005" spans="1:1" x14ac:dyDescent="0.2">
      <c r="A2005" t="s">
        <v>102</v>
      </c>
    </row>
    <row r="2006" spans="1:1" x14ac:dyDescent="0.2">
      <c r="A2006" t="s">
        <v>102</v>
      </c>
    </row>
    <row r="2007" spans="1:1" x14ac:dyDescent="0.2">
      <c r="A2007" t="s">
        <v>102</v>
      </c>
    </row>
    <row r="2008" spans="1:1" x14ac:dyDescent="0.2">
      <c r="A2008" t="s">
        <v>102</v>
      </c>
    </row>
    <row r="2009" spans="1:1" x14ac:dyDescent="0.2">
      <c r="A2009" t="s">
        <v>102</v>
      </c>
    </row>
    <row r="2010" spans="1:1" x14ac:dyDescent="0.2">
      <c r="A2010" t="s">
        <v>102</v>
      </c>
    </row>
    <row r="2011" spans="1:1" x14ac:dyDescent="0.2">
      <c r="A2011" t="s">
        <v>102</v>
      </c>
    </row>
    <row r="2012" spans="1:1" x14ac:dyDescent="0.2">
      <c r="A2012" t="s">
        <v>102</v>
      </c>
    </row>
    <row r="2013" spans="1:1" x14ac:dyDescent="0.2">
      <c r="A2013" t="s">
        <v>102</v>
      </c>
    </row>
    <row r="2014" spans="1:1" x14ac:dyDescent="0.2">
      <c r="A2014" t="s">
        <v>102</v>
      </c>
    </row>
    <row r="2015" spans="1:1" x14ac:dyDescent="0.2">
      <c r="A2015" t="s">
        <v>102</v>
      </c>
    </row>
    <row r="2016" spans="1:1" x14ac:dyDescent="0.2">
      <c r="A2016" t="s">
        <v>102</v>
      </c>
    </row>
    <row r="2017" spans="1:1" x14ac:dyDescent="0.2">
      <c r="A2017" t="s">
        <v>102</v>
      </c>
    </row>
    <row r="2018" spans="1:1" x14ac:dyDescent="0.2">
      <c r="A2018" t="s">
        <v>102</v>
      </c>
    </row>
    <row r="2019" spans="1:1" x14ac:dyDescent="0.2">
      <c r="A2019" t="s">
        <v>102</v>
      </c>
    </row>
    <row r="2020" spans="1:1" x14ac:dyDescent="0.2">
      <c r="A2020" t="s">
        <v>102</v>
      </c>
    </row>
    <row r="2021" spans="1:1" x14ac:dyDescent="0.2">
      <c r="A2021" t="s">
        <v>102</v>
      </c>
    </row>
    <row r="2022" spans="1:1" x14ac:dyDescent="0.2">
      <c r="A2022" t="s">
        <v>102</v>
      </c>
    </row>
    <row r="2023" spans="1:1" x14ac:dyDescent="0.2">
      <c r="A2023" t="s">
        <v>102</v>
      </c>
    </row>
    <row r="2024" spans="1:1" x14ac:dyDescent="0.2">
      <c r="A2024" t="s">
        <v>102</v>
      </c>
    </row>
    <row r="2025" spans="1:1" x14ac:dyDescent="0.2">
      <c r="A2025" t="s">
        <v>102</v>
      </c>
    </row>
    <row r="2026" spans="1:1" x14ac:dyDescent="0.2">
      <c r="A2026" t="s">
        <v>102</v>
      </c>
    </row>
    <row r="2027" spans="1:1" x14ac:dyDescent="0.2">
      <c r="A2027" t="s">
        <v>102</v>
      </c>
    </row>
    <row r="2028" spans="1:1" x14ac:dyDescent="0.2">
      <c r="A2028" t="s">
        <v>102</v>
      </c>
    </row>
    <row r="2029" spans="1:1" x14ac:dyDescent="0.2">
      <c r="A2029" t="s">
        <v>102</v>
      </c>
    </row>
    <row r="2030" spans="1:1" x14ac:dyDescent="0.2">
      <c r="A2030" t="s">
        <v>102</v>
      </c>
    </row>
    <row r="2031" spans="1:1" x14ac:dyDescent="0.2">
      <c r="A2031" t="s">
        <v>102</v>
      </c>
    </row>
    <row r="2032" spans="1:1" x14ac:dyDescent="0.2">
      <c r="A2032" t="s">
        <v>102</v>
      </c>
    </row>
    <row r="2033" spans="1:1" x14ac:dyDescent="0.2">
      <c r="A2033" t="s">
        <v>102</v>
      </c>
    </row>
    <row r="2034" spans="1:1" x14ac:dyDescent="0.2">
      <c r="A2034" t="s">
        <v>102</v>
      </c>
    </row>
    <row r="2035" spans="1:1" x14ac:dyDescent="0.2">
      <c r="A2035" t="s">
        <v>102</v>
      </c>
    </row>
    <row r="2036" spans="1:1" x14ac:dyDescent="0.2">
      <c r="A2036" t="s">
        <v>102</v>
      </c>
    </row>
    <row r="2037" spans="1:1" x14ac:dyDescent="0.2">
      <c r="A2037" t="s">
        <v>102</v>
      </c>
    </row>
    <row r="2038" spans="1:1" x14ac:dyDescent="0.2">
      <c r="A2038" t="s">
        <v>102</v>
      </c>
    </row>
    <row r="2039" spans="1:1" x14ac:dyDescent="0.2">
      <c r="A2039" t="s">
        <v>102</v>
      </c>
    </row>
    <row r="2040" spans="1:1" x14ac:dyDescent="0.2">
      <c r="A2040" t="s">
        <v>102</v>
      </c>
    </row>
    <row r="2041" spans="1:1" x14ac:dyDescent="0.2">
      <c r="A2041" t="s">
        <v>102</v>
      </c>
    </row>
    <row r="2042" spans="1:1" x14ac:dyDescent="0.2">
      <c r="A2042" t="s">
        <v>102</v>
      </c>
    </row>
    <row r="2043" spans="1:1" x14ac:dyDescent="0.2">
      <c r="A2043" t="s">
        <v>102</v>
      </c>
    </row>
    <row r="2044" spans="1:1" x14ac:dyDescent="0.2">
      <c r="A2044" t="s">
        <v>102</v>
      </c>
    </row>
    <row r="2045" spans="1:1" x14ac:dyDescent="0.2">
      <c r="A2045" t="s">
        <v>102</v>
      </c>
    </row>
    <row r="2046" spans="1:1" x14ac:dyDescent="0.2">
      <c r="A2046" t="s">
        <v>102</v>
      </c>
    </row>
    <row r="2047" spans="1:1" x14ac:dyDescent="0.2">
      <c r="A2047" t="s">
        <v>102</v>
      </c>
    </row>
    <row r="2048" spans="1:1" x14ac:dyDescent="0.2">
      <c r="A2048" t="s">
        <v>102</v>
      </c>
    </row>
    <row r="2049" spans="1:1" x14ac:dyDescent="0.2">
      <c r="A2049" t="s">
        <v>102</v>
      </c>
    </row>
    <row r="2050" spans="1:1" x14ac:dyDescent="0.2">
      <c r="A2050" t="s">
        <v>102</v>
      </c>
    </row>
    <row r="2051" spans="1:1" x14ac:dyDescent="0.2">
      <c r="A2051" t="s">
        <v>102</v>
      </c>
    </row>
    <row r="2052" spans="1:1" x14ac:dyDescent="0.2">
      <c r="A2052" t="s">
        <v>102</v>
      </c>
    </row>
    <row r="2053" spans="1:1" x14ac:dyDescent="0.2">
      <c r="A2053" t="s">
        <v>102</v>
      </c>
    </row>
    <row r="2054" spans="1:1" x14ac:dyDescent="0.2">
      <c r="A2054" t="s">
        <v>102</v>
      </c>
    </row>
    <row r="2055" spans="1:1" x14ac:dyDescent="0.2">
      <c r="A2055" t="s">
        <v>102</v>
      </c>
    </row>
    <row r="2056" spans="1:1" x14ac:dyDescent="0.2">
      <c r="A2056" t="s">
        <v>102</v>
      </c>
    </row>
    <row r="2057" spans="1:1" x14ac:dyDescent="0.2">
      <c r="A2057" t="s">
        <v>102</v>
      </c>
    </row>
    <row r="2058" spans="1:1" x14ac:dyDescent="0.2">
      <c r="A2058" t="s">
        <v>102</v>
      </c>
    </row>
    <row r="2059" spans="1:1" x14ac:dyDescent="0.2">
      <c r="A2059" t="s">
        <v>102</v>
      </c>
    </row>
    <row r="2060" spans="1:1" x14ac:dyDescent="0.2">
      <c r="A2060" t="s">
        <v>102</v>
      </c>
    </row>
    <row r="2061" spans="1:1" x14ac:dyDescent="0.2">
      <c r="A2061" t="s">
        <v>102</v>
      </c>
    </row>
    <row r="2062" spans="1:1" x14ac:dyDescent="0.2">
      <c r="A2062" t="s">
        <v>102</v>
      </c>
    </row>
    <row r="2063" spans="1:1" x14ac:dyDescent="0.2">
      <c r="A2063" t="s">
        <v>102</v>
      </c>
    </row>
    <row r="2064" spans="1:1" x14ac:dyDescent="0.2">
      <c r="A2064" t="s">
        <v>102</v>
      </c>
    </row>
    <row r="2065" spans="1:1" x14ac:dyDescent="0.2">
      <c r="A2065" t="s">
        <v>102</v>
      </c>
    </row>
    <row r="2066" spans="1:1" x14ac:dyDescent="0.2">
      <c r="A2066" t="s">
        <v>102</v>
      </c>
    </row>
    <row r="2067" spans="1:1" x14ac:dyDescent="0.2">
      <c r="A2067" t="s">
        <v>102</v>
      </c>
    </row>
    <row r="2068" spans="1:1" x14ac:dyDescent="0.2">
      <c r="A2068" t="s">
        <v>102</v>
      </c>
    </row>
    <row r="2069" spans="1:1" x14ac:dyDescent="0.2">
      <c r="A2069" t="s">
        <v>102</v>
      </c>
    </row>
    <row r="2070" spans="1:1" x14ac:dyDescent="0.2">
      <c r="A2070" t="s">
        <v>102</v>
      </c>
    </row>
    <row r="2071" spans="1:1" x14ac:dyDescent="0.2">
      <c r="A2071" t="s">
        <v>102</v>
      </c>
    </row>
    <row r="2072" spans="1:1" x14ac:dyDescent="0.2">
      <c r="A2072" t="s">
        <v>102</v>
      </c>
    </row>
    <row r="2073" spans="1:1" x14ac:dyDescent="0.2">
      <c r="A2073" t="s">
        <v>102</v>
      </c>
    </row>
    <row r="2074" spans="1:1" x14ac:dyDescent="0.2">
      <c r="A2074" t="s">
        <v>102</v>
      </c>
    </row>
    <row r="2075" spans="1:1" x14ac:dyDescent="0.2">
      <c r="A2075" t="s">
        <v>102</v>
      </c>
    </row>
    <row r="2076" spans="1:1" x14ac:dyDescent="0.2">
      <c r="A2076" t="s">
        <v>102</v>
      </c>
    </row>
    <row r="2077" spans="1:1" x14ac:dyDescent="0.2">
      <c r="A2077" t="s">
        <v>102</v>
      </c>
    </row>
    <row r="2078" spans="1:1" x14ac:dyDescent="0.2">
      <c r="A2078" t="s">
        <v>102</v>
      </c>
    </row>
    <row r="2079" spans="1:1" x14ac:dyDescent="0.2">
      <c r="A2079" t="s">
        <v>102</v>
      </c>
    </row>
    <row r="2080" spans="1:1" x14ac:dyDescent="0.2">
      <c r="A2080" t="s">
        <v>102</v>
      </c>
    </row>
    <row r="2081" spans="1:1" x14ac:dyDescent="0.2">
      <c r="A2081" t="s">
        <v>102</v>
      </c>
    </row>
    <row r="2082" spans="1:1" x14ac:dyDescent="0.2">
      <c r="A2082" t="s">
        <v>102</v>
      </c>
    </row>
    <row r="2083" spans="1:1" x14ac:dyDescent="0.2">
      <c r="A2083" t="s">
        <v>102</v>
      </c>
    </row>
    <row r="2084" spans="1:1" x14ac:dyDescent="0.2">
      <c r="A2084" t="s">
        <v>102</v>
      </c>
    </row>
    <row r="2085" spans="1:1" x14ac:dyDescent="0.2">
      <c r="A2085" t="s">
        <v>102</v>
      </c>
    </row>
    <row r="2086" spans="1:1" x14ac:dyDescent="0.2">
      <c r="A2086" t="s">
        <v>102</v>
      </c>
    </row>
    <row r="2087" spans="1:1" x14ac:dyDescent="0.2">
      <c r="A2087" t="s">
        <v>102</v>
      </c>
    </row>
    <row r="2088" spans="1:1" x14ac:dyDescent="0.2">
      <c r="A2088" t="s">
        <v>102</v>
      </c>
    </row>
    <row r="2089" spans="1:1" x14ac:dyDescent="0.2">
      <c r="A2089" t="s">
        <v>102</v>
      </c>
    </row>
    <row r="2090" spans="1:1" x14ac:dyDescent="0.2">
      <c r="A2090" t="s">
        <v>102</v>
      </c>
    </row>
    <row r="2091" spans="1:1" x14ac:dyDescent="0.2">
      <c r="A2091" t="s">
        <v>102</v>
      </c>
    </row>
    <row r="2092" spans="1:1" x14ac:dyDescent="0.2">
      <c r="A2092" t="s">
        <v>102</v>
      </c>
    </row>
    <row r="2093" spans="1:1" x14ac:dyDescent="0.2">
      <c r="A2093" t="s">
        <v>102</v>
      </c>
    </row>
    <row r="2094" spans="1:1" x14ac:dyDescent="0.2">
      <c r="A2094" t="s">
        <v>102</v>
      </c>
    </row>
    <row r="2095" spans="1:1" x14ac:dyDescent="0.2">
      <c r="A2095" t="s">
        <v>102</v>
      </c>
    </row>
    <row r="2096" spans="1:1" x14ac:dyDescent="0.2">
      <c r="A2096" t="s">
        <v>102</v>
      </c>
    </row>
    <row r="2097" spans="1:1" x14ac:dyDescent="0.2">
      <c r="A2097" t="s">
        <v>102</v>
      </c>
    </row>
    <row r="2098" spans="1:1" x14ac:dyDescent="0.2">
      <c r="A2098" t="s">
        <v>102</v>
      </c>
    </row>
    <row r="2099" spans="1:1" x14ac:dyDescent="0.2">
      <c r="A2099" t="s">
        <v>102</v>
      </c>
    </row>
    <row r="2100" spans="1:1" x14ac:dyDescent="0.2">
      <c r="A2100" t="s">
        <v>102</v>
      </c>
    </row>
    <row r="2101" spans="1:1" x14ac:dyDescent="0.2">
      <c r="A2101" t="s">
        <v>102</v>
      </c>
    </row>
    <row r="2102" spans="1:1" x14ac:dyDescent="0.2">
      <c r="A2102" t="s">
        <v>102</v>
      </c>
    </row>
    <row r="2103" spans="1:1" x14ac:dyDescent="0.2">
      <c r="A2103" t="s">
        <v>102</v>
      </c>
    </row>
    <row r="2104" spans="1:1" x14ac:dyDescent="0.2">
      <c r="A2104" t="s">
        <v>102</v>
      </c>
    </row>
    <row r="2105" spans="1:1" x14ac:dyDescent="0.2">
      <c r="A2105" t="s">
        <v>102</v>
      </c>
    </row>
    <row r="2106" spans="1:1" x14ac:dyDescent="0.2">
      <c r="A2106" t="s">
        <v>102</v>
      </c>
    </row>
    <row r="2107" spans="1:1" x14ac:dyDescent="0.2">
      <c r="A2107" t="s">
        <v>102</v>
      </c>
    </row>
    <row r="2108" spans="1:1" x14ac:dyDescent="0.2">
      <c r="A2108" t="s">
        <v>102</v>
      </c>
    </row>
    <row r="2109" spans="1:1" x14ac:dyDescent="0.2">
      <c r="A2109" t="s">
        <v>102</v>
      </c>
    </row>
    <row r="2110" spans="1:1" x14ac:dyDescent="0.2">
      <c r="A2110" t="s">
        <v>102</v>
      </c>
    </row>
    <row r="2111" spans="1:1" x14ac:dyDescent="0.2">
      <c r="A2111" t="s">
        <v>102</v>
      </c>
    </row>
    <row r="2112" spans="1:1" x14ac:dyDescent="0.2">
      <c r="A2112" t="s">
        <v>102</v>
      </c>
    </row>
    <row r="2113" spans="1:1" x14ac:dyDescent="0.2">
      <c r="A2113" t="s">
        <v>102</v>
      </c>
    </row>
    <row r="2114" spans="1:1" x14ac:dyDescent="0.2">
      <c r="A2114" t="s">
        <v>102</v>
      </c>
    </row>
    <row r="2115" spans="1:1" x14ac:dyDescent="0.2">
      <c r="A2115" t="s">
        <v>102</v>
      </c>
    </row>
    <row r="2116" spans="1:1" x14ac:dyDescent="0.2">
      <c r="A2116" t="s">
        <v>102</v>
      </c>
    </row>
    <row r="2117" spans="1:1" x14ac:dyDescent="0.2">
      <c r="A2117" t="s">
        <v>102</v>
      </c>
    </row>
    <row r="2118" spans="1:1" x14ac:dyDescent="0.2">
      <c r="A2118" t="s">
        <v>102</v>
      </c>
    </row>
    <row r="2119" spans="1:1" x14ac:dyDescent="0.2">
      <c r="A2119" t="s">
        <v>102</v>
      </c>
    </row>
    <row r="2120" spans="1:1" x14ac:dyDescent="0.2">
      <c r="A2120" t="s">
        <v>102</v>
      </c>
    </row>
    <row r="2121" spans="1:1" x14ac:dyDescent="0.2">
      <c r="A2121" t="s">
        <v>102</v>
      </c>
    </row>
    <row r="2122" spans="1:1" x14ac:dyDescent="0.2">
      <c r="A2122" t="s">
        <v>102</v>
      </c>
    </row>
    <row r="2123" spans="1:1" x14ac:dyDescent="0.2">
      <c r="A2123" t="s">
        <v>102</v>
      </c>
    </row>
    <row r="2124" spans="1:1" x14ac:dyDescent="0.2">
      <c r="A2124" t="s">
        <v>102</v>
      </c>
    </row>
    <row r="2125" spans="1:1" x14ac:dyDescent="0.2">
      <c r="A2125" t="s">
        <v>102</v>
      </c>
    </row>
    <row r="2126" spans="1:1" x14ac:dyDescent="0.2">
      <c r="A2126" t="s">
        <v>102</v>
      </c>
    </row>
    <row r="2127" spans="1:1" x14ac:dyDescent="0.2">
      <c r="A2127" t="s">
        <v>102</v>
      </c>
    </row>
    <row r="2128" spans="1:1" x14ac:dyDescent="0.2">
      <c r="A2128" t="s">
        <v>102</v>
      </c>
    </row>
    <row r="2129" spans="1:1" x14ac:dyDescent="0.2">
      <c r="A2129" t="s">
        <v>102</v>
      </c>
    </row>
    <row r="2130" spans="1:1" x14ac:dyDescent="0.2">
      <c r="A2130" t="s">
        <v>102</v>
      </c>
    </row>
    <row r="2131" spans="1:1" x14ac:dyDescent="0.2">
      <c r="A2131" t="s">
        <v>102</v>
      </c>
    </row>
    <row r="2132" spans="1:1" x14ac:dyDescent="0.2">
      <c r="A2132" t="s">
        <v>102</v>
      </c>
    </row>
    <row r="2133" spans="1:1" x14ac:dyDescent="0.2">
      <c r="A2133" t="s">
        <v>102</v>
      </c>
    </row>
    <row r="2134" spans="1:1" x14ac:dyDescent="0.2">
      <c r="A2134" t="s">
        <v>102</v>
      </c>
    </row>
    <row r="2135" spans="1:1" x14ac:dyDescent="0.2">
      <c r="A2135" t="s">
        <v>102</v>
      </c>
    </row>
    <row r="2136" spans="1:1" x14ac:dyDescent="0.2">
      <c r="A2136" t="s">
        <v>102</v>
      </c>
    </row>
    <row r="2137" spans="1:1" x14ac:dyDescent="0.2">
      <c r="A2137" t="s">
        <v>102</v>
      </c>
    </row>
    <row r="2138" spans="1:1" x14ac:dyDescent="0.2">
      <c r="A2138" t="s">
        <v>102</v>
      </c>
    </row>
    <row r="2139" spans="1:1" x14ac:dyDescent="0.2">
      <c r="A2139" t="s">
        <v>102</v>
      </c>
    </row>
    <row r="2140" spans="1:1" x14ac:dyDescent="0.2">
      <c r="A2140" t="s">
        <v>102</v>
      </c>
    </row>
    <row r="2141" spans="1:1" x14ac:dyDescent="0.2">
      <c r="A2141" t="s">
        <v>102</v>
      </c>
    </row>
    <row r="2142" spans="1:1" x14ac:dyDescent="0.2">
      <c r="A2142" t="s">
        <v>102</v>
      </c>
    </row>
    <row r="2143" spans="1:1" x14ac:dyDescent="0.2">
      <c r="A2143" t="s">
        <v>102</v>
      </c>
    </row>
    <row r="2144" spans="1:1" x14ac:dyDescent="0.2">
      <c r="A2144" t="s">
        <v>102</v>
      </c>
    </row>
    <row r="2145" spans="1:1" x14ac:dyDescent="0.2">
      <c r="A2145" t="s">
        <v>102</v>
      </c>
    </row>
    <row r="2146" spans="1:1" x14ac:dyDescent="0.2">
      <c r="A2146" t="s">
        <v>102</v>
      </c>
    </row>
    <row r="2147" spans="1:1" x14ac:dyDescent="0.2">
      <c r="A2147" t="s">
        <v>102</v>
      </c>
    </row>
    <row r="2148" spans="1:1" x14ac:dyDescent="0.2">
      <c r="A2148" t="s">
        <v>102</v>
      </c>
    </row>
    <row r="2149" spans="1:1" x14ac:dyDescent="0.2">
      <c r="A2149" t="s">
        <v>102</v>
      </c>
    </row>
    <row r="2150" spans="1:1" x14ac:dyDescent="0.2">
      <c r="A2150" t="s">
        <v>102</v>
      </c>
    </row>
    <row r="2151" spans="1:1" x14ac:dyDescent="0.2">
      <c r="A2151" t="s">
        <v>102</v>
      </c>
    </row>
    <row r="2152" spans="1:1" x14ac:dyDescent="0.2">
      <c r="A2152" t="s">
        <v>102</v>
      </c>
    </row>
    <row r="2153" spans="1:1" x14ac:dyDescent="0.2">
      <c r="A2153" t="s">
        <v>102</v>
      </c>
    </row>
    <row r="2154" spans="1:1" x14ac:dyDescent="0.2">
      <c r="A2154" t="s">
        <v>102</v>
      </c>
    </row>
    <row r="2155" spans="1:1" x14ac:dyDescent="0.2">
      <c r="A2155" t="s">
        <v>102</v>
      </c>
    </row>
    <row r="2156" spans="1:1" x14ac:dyDescent="0.2">
      <c r="A2156" t="s">
        <v>102</v>
      </c>
    </row>
    <row r="2157" spans="1:1" x14ac:dyDescent="0.2">
      <c r="A2157" t="s">
        <v>102</v>
      </c>
    </row>
    <row r="2158" spans="1:1" x14ac:dyDescent="0.2">
      <c r="A2158" t="s">
        <v>102</v>
      </c>
    </row>
    <row r="2159" spans="1:1" x14ac:dyDescent="0.2">
      <c r="A2159" t="s">
        <v>102</v>
      </c>
    </row>
    <row r="2160" spans="1:1" x14ac:dyDescent="0.2">
      <c r="A2160" t="s">
        <v>102</v>
      </c>
    </row>
    <row r="2161" spans="1:1" x14ac:dyDescent="0.2">
      <c r="A2161" t="s">
        <v>102</v>
      </c>
    </row>
    <row r="2162" spans="1:1" x14ac:dyDescent="0.2">
      <c r="A2162" t="s">
        <v>102</v>
      </c>
    </row>
    <row r="2163" spans="1:1" x14ac:dyDescent="0.2">
      <c r="A2163" t="s">
        <v>102</v>
      </c>
    </row>
    <row r="2164" spans="1:1" x14ac:dyDescent="0.2">
      <c r="A2164" t="s">
        <v>102</v>
      </c>
    </row>
    <row r="2165" spans="1:1" x14ac:dyDescent="0.2">
      <c r="A2165" t="s">
        <v>102</v>
      </c>
    </row>
    <row r="2166" spans="1:1" x14ac:dyDescent="0.2">
      <c r="A2166" t="s">
        <v>102</v>
      </c>
    </row>
    <row r="2167" spans="1:1" x14ac:dyDescent="0.2">
      <c r="A2167" t="s">
        <v>102</v>
      </c>
    </row>
    <row r="2168" spans="1:1" x14ac:dyDescent="0.2">
      <c r="A2168" t="s">
        <v>102</v>
      </c>
    </row>
    <row r="2169" spans="1:1" x14ac:dyDescent="0.2">
      <c r="A2169" t="s">
        <v>102</v>
      </c>
    </row>
    <row r="2170" spans="1:1" x14ac:dyDescent="0.2">
      <c r="A2170" t="s">
        <v>102</v>
      </c>
    </row>
    <row r="2171" spans="1:1" x14ac:dyDescent="0.2">
      <c r="A2171" t="s">
        <v>102</v>
      </c>
    </row>
    <row r="2172" spans="1:1" x14ac:dyDescent="0.2">
      <c r="A2172" t="s">
        <v>102</v>
      </c>
    </row>
    <row r="2173" spans="1:1" x14ac:dyDescent="0.2">
      <c r="A2173" t="s">
        <v>102</v>
      </c>
    </row>
    <row r="2174" spans="1:1" x14ac:dyDescent="0.2">
      <c r="A2174" t="s">
        <v>102</v>
      </c>
    </row>
    <row r="2175" spans="1:1" x14ac:dyDescent="0.2">
      <c r="A2175" t="s">
        <v>102</v>
      </c>
    </row>
    <row r="2176" spans="1:1" x14ac:dyDescent="0.2">
      <c r="A2176" t="s">
        <v>102</v>
      </c>
    </row>
    <row r="2177" spans="1:1" x14ac:dyDescent="0.2">
      <c r="A2177" t="s">
        <v>102</v>
      </c>
    </row>
    <row r="2178" spans="1:1" x14ac:dyDescent="0.2">
      <c r="A2178" t="s">
        <v>102</v>
      </c>
    </row>
    <row r="2179" spans="1:1" x14ac:dyDescent="0.2">
      <c r="A2179" t="s">
        <v>102</v>
      </c>
    </row>
    <row r="2180" spans="1:1" x14ac:dyDescent="0.2">
      <c r="A2180" t="s">
        <v>102</v>
      </c>
    </row>
    <row r="2181" spans="1:1" x14ac:dyDescent="0.2">
      <c r="A2181" t="s">
        <v>102</v>
      </c>
    </row>
    <row r="2182" spans="1:1" x14ac:dyDescent="0.2">
      <c r="A2182" t="s">
        <v>102</v>
      </c>
    </row>
    <row r="2183" spans="1:1" x14ac:dyDescent="0.2">
      <c r="A2183" t="s">
        <v>102</v>
      </c>
    </row>
    <row r="2184" spans="1:1" x14ac:dyDescent="0.2">
      <c r="A2184" t="s">
        <v>102</v>
      </c>
    </row>
    <row r="2185" spans="1:1" x14ac:dyDescent="0.2">
      <c r="A2185" t="s">
        <v>102</v>
      </c>
    </row>
    <row r="2186" spans="1:1" x14ac:dyDescent="0.2">
      <c r="A2186" t="s">
        <v>102</v>
      </c>
    </row>
    <row r="2187" spans="1:1" x14ac:dyDescent="0.2">
      <c r="A2187" t="s">
        <v>102</v>
      </c>
    </row>
    <row r="2188" spans="1:1" x14ac:dyDescent="0.2">
      <c r="A2188" t="s">
        <v>102</v>
      </c>
    </row>
    <row r="2189" spans="1:1" x14ac:dyDescent="0.2">
      <c r="A2189" t="s">
        <v>102</v>
      </c>
    </row>
    <row r="2190" spans="1:1" x14ac:dyDescent="0.2">
      <c r="A2190" t="s">
        <v>102</v>
      </c>
    </row>
    <row r="2191" spans="1:1" x14ac:dyDescent="0.2">
      <c r="A2191" t="s">
        <v>102</v>
      </c>
    </row>
    <row r="2192" spans="1:1" x14ac:dyDescent="0.2">
      <c r="A2192" t="s">
        <v>102</v>
      </c>
    </row>
    <row r="2193" spans="1:1" x14ac:dyDescent="0.2">
      <c r="A2193" t="s">
        <v>102</v>
      </c>
    </row>
    <row r="2194" spans="1:1" x14ac:dyDescent="0.2">
      <c r="A2194" t="s">
        <v>102</v>
      </c>
    </row>
    <row r="2195" spans="1:1" x14ac:dyDescent="0.2">
      <c r="A2195" t="s">
        <v>102</v>
      </c>
    </row>
    <row r="2196" spans="1:1" x14ac:dyDescent="0.2">
      <c r="A2196" t="s">
        <v>102</v>
      </c>
    </row>
    <row r="2197" spans="1:1" x14ac:dyDescent="0.2">
      <c r="A2197" t="s">
        <v>102</v>
      </c>
    </row>
    <row r="2198" spans="1:1" x14ac:dyDescent="0.2">
      <c r="A2198" t="s">
        <v>102</v>
      </c>
    </row>
    <row r="2199" spans="1:1" x14ac:dyDescent="0.2">
      <c r="A2199" t="s">
        <v>102</v>
      </c>
    </row>
    <row r="2200" spans="1:1" x14ac:dyDescent="0.2">
      <c r="A2200" t="s">
        <v>102</v>
      </c>
    </row>
    <row r="2201" spans="1:1" x14ac:dyDescent="0.2">
      <c r="A2201" t="s">
        <v>102</v>
      </c>
    </row>
    <row r="2202" spans="1:1" x14ac:dyDescent="0.2">
      <c r="A2202" t="s">
        <v>102</v>
      </c>
    </row>
    <row r="2203" spans="1:1" x14ac:dyDescent="0.2">
      <c r="A2203" t="s">
        <v>102</v>
      </c>
    </row>
    <row r="2204" spans="1:1" x14ac:dyDescent="0.2">
      <c r="A2204" t="s">
        <v>102</v>
      </c>
    </row>
    <row r="2205" spans="1:1" x14ac:dyDescent="0.2">
      <c r="A2205" t="s">
        <v>102</v>
      </c>
    </row>
    <row r="2206" spans="1:1" x14ac:dyDescent="0.2">
      <c r="A2206" t="s">
        <v>102</v>
      </c>
    </row>
    <row r="2207" spans="1:1" x14ac:dyDescent="0.2">
      <c r="A2207" t="s">
        <v>102</v>
      </c>
    </row>
    <row r="2208" spans="1:1" x14ac:dyDescent="0.2">
      <c r="A2208" t="s">
        <v>102</v>
      </c>
    </row>
    <row r="2209" spans="1:1" x14ac:dyDescent="0.2">
      <c r="A2209" t="s">
        <v>102</v>
      </c>
    </row>
    <row r="2210" spans="1:1" x14ac:dyDescent="0.2">
      <c r="A2210" t="s">
        <v>102</v>
      </c>
    </row>
    <row r="2211" spans="1:1" x14ac:dyDescent="0.2">
      <c r="A2211" t="s">
        <v>102</v>
      </c>
    </row>
    <row r="2212" spans="1:1" x14ac:dyDescent="0.2">
      <c r="A2212" t="s">
        <v>102</v>
      </c>
    </row>
    <row r="2213" spans="1:1" x14ac:dyDescent="0.2">
      <c r="A2213" t="s">
        <v>102</v>
      </c>
    </row>
    <row r="2214" spans="1:1" x14ac:dyDescent="0.2">
      <c r="A2214" t="s">
        <v>102</v>
      </c>
    </row>
    <row r="2215" spans="1:1" x14ac:dyDescent="0.2">
      <c r="A2215" t="s">
        <v>102</v>
      </c>
    </row>
    <row r="2216" spans="1:1" x14ac:dyDescent="0.2">
      <c r="A2216" t="s">
        <v>102</v>
      </c>
    </row>
    <row r="2217" spans="1:1" x14ac:dyDescent="0.2">
      <c r="A2217" t="s">
        <v>102</v>
      </c>
    </row>
    <row r="2218" spans="1:1" x14ac:dyDescent="0.2">
      <c r="A2218" t="s">
        <v>102</v>
      </c>
    </row>
    <row r="2219" spans="1:1" x14ac:dyDescent="0.2">
      <c r="A2219" t="s">
        <v>102</v>
      </c>
    </row>
    <row r="2220" spans="1:1" x14ac:dyDescent="0.2">
      <c r="A2220" t="s">
        <v>102</v>
      </c>
    </row>
    <row r="2221" spans="1:1" x14ac:dyDescent="0.2">
      <c r="A2221" t="s">
        <v>102</v>
      </c>
    </row>
    <row r="2222" spans="1:1" x14ac:dyDescent="0.2">
      <c r="A2222" t="s">
        <v>102</v>
      </c>
    </row>
    <row r="2223" spans="1:1" x14ac:dyDescent="0.2">
      <c r="A2223" t="s">
        <v>102</v>
      </c>
    </row>
    <row r="2224" spans="1:1" x14ac:dyDescent="0.2">
      <c r="A2224" t="s">
        <v>102</v>
      </c>
    </row>
    <row r="2225" spans="1:1" x14ac:dyDescent="0.2">
      <c r="A2225" t="s">
        <v>102</v>
      </c>
    </row>
    <row r="2226" spans="1:1" x14ac:dyDescent="0.2">
      <c r="A2226" t="s">
        <v>102</v>
      </c>
    </row>
    <row r="2227" spans="1:1" x14ac:dyDescent="0.2">
      <c r="A2227" t="s">
        <v>102</v>
      </c>
    </row>
    <row r="2228" spans="1:1" x14ac:dyDescent="0.2">
      <c r="A2228" t="s">
        <v>102</v>
      </c>
    </row>
    <row r="2229" spans="1:1" x14ac:dyDescent="0.2">
      <c r="A2229" t="s">
        <v>102</v>
      </c>
    </row>
    <row r="2230" spans="1:1" x14ac:dyDescent="0.2">
      <c r="A2230" t="s">
        <v>102</v>
      </c>
    </row>
    <row r="2231" spans="1:1" x14ac:dyDescent="0.2">
      <c r="A2231" t="s">
        <v>102</v>
      </c>
    </row>
    <row r="2232" spans="1:1" x14ac:dyDescent="0.2">
      <c r="A2232" t="s">
        <v>102</v>
      </c>
    </row>
    <row r="2233" spans="1:1" x14ac:dyDescent="0.2">
      <c r="A2233" t="s">
        <v>102</v>
      </c>
    </row>
    <row r="2234" spans="1:1" x14ac:dyDescent="0.2">
      <c r="A2234" t="s">
        <v>102</v>
      </c>
    </row>
    <row r="2235" spans="1:1" x14ac:dyDescent="0.2">
      <c r="A2235" t="s">
        <v>102</v>
      </c>
    </row>
    <row r="2236" spans="1:1" x14ac:dyDescent="0.2">
      <c r="A2236" t="s">
        <v>102</v>
      </c>
    </row>
    <row r="2237" spans="1:1" x14ac:dyDescent="0.2">
      <c r="A2237" t="s">
        <v>102</v>
      </c>
    </row>
    <row r="2238" spans="1:1" x14ac:dyDescent="0.2">
      <c r="A2238" t="s">
        <v>102</v>
      </c>
    </row>
    <row r="2239" spans="1:1" x14ac:dyDescent="0.2">
      <c r="A2239" t="s">
        <v>102</v>
      </c>
    </row>
    <row r="2240" spans="1:1" x14ac:dyDescent="0.2">
      <c r="A2240" t="s">
        <v>102</v>
      </c>
    </row>
    <row r="2241" spans="1:1" x14ac:dyDescent="0.2">
      <c r="A2241" t="s">
        <v>102</v>
      </c>
    </row>
    <row r="2242" spans="1:1" x14ac:dyDescent="0.2">
      <c r="A2242" t="s">
        <v>102</v>
      </c>
    </row>
    <row r="2243" spans="1:1" x14ac:dyDescent="0.2">
      <c r="A2243" t="s">
        <v>102</v>
      </c>
    </row>
    <row r="2244" spans="1:1" x14ac:dyDescent="0.2">
      <c r="A2244" t="s">
        <v>102</v>
      </c>
    </row>
    <row r="2245" spans="1:1" x14ac:dyDescent="0.2">
      <c r="A2245" t="s">
        <v>102</v>
      </c>
    </row>
    <row r="2246" spans="1:1" x14ac:dyDescent="0.2">
      <c r="A2246" t="s">
        <v>102</v>
      </c>
    </row>
    <row r="2247" spans="1:1" x14ac:dyDescent="0.2">
      <c r="A2247" t="s">
        <v>102</v>
      </c>
    </row>
    <row r="2248" spans="1:1" x14ac:dyDescent="0.2">
      <c r="A2248" t="s">
        <v>102</v>
      </c>
    </row>
    <row r="2249" spans="1:1" x14ac:dyDescent="0.2">
      <c r="A2249" t="s">
        <v>102</v>
      </c>
    </row>
    <row r="2250" spans="1:1" x14ac:dyDescent="0.2">
      <c r="A2250" t="s">
        <v>102</v>
      </c>
    </row>
    <row r="2251" spans="1:1" x14ac:dyDescent="0.2">
      <c r="A2251" t="s">
        <v>102</v>
      </c>
    </row>
    <row r="2252" spans="1:1" x14ac:dyDescent="0.2">
      <c r="A2252" t="s">
        <v>102</v>
      </c>
    </row>
    <row r="2253" spans="1:1" x14ac:dyDescent="0.2">
      <c r="A2253" t="s">
        <v>102</v>
      </c>
    </row>
    <row r="2254" spans="1:1" x14ac:dyDescent="0.2">
      <c r="A2254" t="s">
        <v>102</v>
      </c>
    </row>
    <row r="2255" spans="1:1" x14ac:dyDescent="0.2">
      <c r="A2255" t="s">
        <v>102</v>
      </c>
    </row>
    <row r="2256" spans="1:1" x14ac:dyDescent="0.2">
      <c r="A2256" t="s">
        <v>102</v>
      </c>
    </row>
    <row r="2257" spans="1:1" x14ac:dyDescent="0.2">
      <c r="A2257" t="s">
        <v>102</v>
      </c>
    </row>
    <row r="2258" spans="1:1" x14ac:dyDescent="0.2">
      <c r="A2258" t="s">
        <v>102</v>
      </c>
    </row>
    <row r="2259" spans="1:1" x14ac:dyDescent="0.2">
      <c r="A2259" t="s">
        <v>102</v>
      </c>
    </row>
    <row r="2260" spans="1:1" x14ac:dyDescent="0.2">
      <c r="A2260" t="s">
        <v>102</v>
      </c>
    </row>
    <row r="2261" spans="1:1" x14ac:dyDescent="0.2">
      <c r="A2261" t="s">
        <v>102</v>
      </c>
    </row>
    <row r="2262" spans="1:1" x14ac:dyDescent="0.2">
      <c r="A2262" t="s">
        <v>102</v>
      </c>
    </row>
    <row r="2263" spans="1:1" x14ac:dyDescent="0.2">
      <c r="A2263" t="s">
        <v>102</v>
      </c>
    </row>
    <row r="2264" spans="1:1" x14ac:dyDescent="0.2">
      <c r="A2264" t="s">
        <v>102</v>
      </c>
    </row>
    <row r="2265" spans="1:1" x14ac:dyDescent="0.2">
      <c r="A2265" t="s">
        <v>102</v>
      </c>
    </row>
    <row r="2266" spans="1:1" x14ac:dyDescent="0.2">
      <c r="A2266" t="s">
        <v>102</v>
      </c>
    </row>
    <row r="2267" spans="1:1" x14ac:dyDescent="0.2">
      <c r="A2267" t="s">
        <v>102</v>
      </c>
    </row>
    <row r="2268" spans="1:1" x14ac:dyDescent="0.2">
      <c r="A2268" t="s">
        <v>102</v>
      </c>
    </row>
    <row r="2269" spans="1:1" x14ac:dyDescent="0.2">
      <c r="A2269" t="s">
        <v>102</v>
      </c>
    </row>
    <row r="2270" spans="1:1" x14ac:dyDescent="0.2">
      <c r="A2270" t="s">
        <v>102</v>
      </c>
    </row>
    <row r="2271" spans="1:1" x14ac:dyDescent="0.2">
      <c r="A2271" t="s">
        <v>102</v>
      </c>
    </row>
    <row r="2272" spans="1:1" x14ac:dyDescent="0.2">
      <c r="A2272" t="s">
        <v>102</v>
      </c>
    </row>
    <row r="2273" spans="1:1" x14ac:dyDescent="0.2">
      <c r="A2273" t="s">
        <v>102</v>
      </c>
    </row>
    <row r="2274" spans="1:1" x14ac:dyDescent="0.2">
      <c r="A2274" t="s">
        <v>102</v>
      </c>
    </row>
    <row r="2275" spans="1:1" x14ac:dyDescent="0.2">
      <c r="A2275" t="s">
        <v>102</v>
      </c>
    </row>
    <row r="2276" spans="1:1" x14ac:dyDescent="0.2">
      <c r="A2276" t="s">
        <v>102</v>
      </c>
    </row>
    <row r="2277" spans="1:1" x14ac:dyDescent="0.2">
      <c r="A2277" t="s">
        <v>102</v>
      </c>
    </row>
    <row r="2278" spans="1:1" x14ac:dyDescent="0.2">
      <c r="A2278" t="s">
        <v>102</v>
      </c>
    </row>
    <row r="2279" spans="1:1" x14ac:dyDescent="0.2">
      <c r="A2279" t="s">
        <v>102</v>
      </c>
    </row>
    <row r="2280" spans="1:1" x14ac:dyDescent="0.2">
      <c r="A2280" t="s">
        <v>102</v>
      </c>
    </row>
    <row r="2281" spans="1:1" x14ac:dyDescent="0.2">
      <c r="A2281" t="s">
        <v>102</v>
      </c>
    </row>
    <row r="2282" spans="1:1" x14ac:dyDescent="0.2">
      <c r="A2282" t="s">
        <v>102</v>
      </c>
    </row>
    <row r="2283" spans="1:1" x14ac:dyDescent="0.2">
      <c r="A2283" t="s">
        <v>102</v>
      </c>
    </row>
    <row r="2284" spans="1:1" x14ac:dyDescent="0.2">
      <c r="A2284" t="s">
        <v>102</v>
      </c>
    </row>
    <row r="2285" spans="1:1" x14ac:dyDescent="0.2">
      <c r="A2285" t="s">
        <v>102</v>
      </c>
    </row>
    <row r="2286" spans="1:1" x14ac:dyDescent="0.2">
      <c r="A2286" t="s">
        <v>102</v>
      </c>
    </row>
    <row r="2287" spans="1:1" x14ac:dyDescent="0.2">
      <c r="A2287" t="s">
        <v>102</v>
      </c>
    </row>
    <row r="2288" spans="1:1" x14ac:dyDescent="0.2">
      <c r="A2288" t="s">
        <v>102</v>
      </c>
    </row>
    <row r="2289" spans="1:1" x14ac:dyDescent="0.2">
      <c r="A2289" t="s">
        <v>102</v>
      </c>
    </row>
    <row r="2290" spans="1:1" x14ac:dyDescent="0.2">
      <c r="A2290" t="s">
        <v>102</v>
      </c>
    </row>
    <row r="2291" spans="1:1" x14ac:dyDescent="0.2">
      <c r="A2291" t="s">
        <v>102</v>
      </c>
    </row>
    <row r="2292" spans="1:1" x14ac:dyDescent="0.2">
      <c r="A2292" t="s">
        <v>102</v>
      </c>
    </row>
    <row r="2293" spans="1:1" x14ac:dyDescent="0.2">
      <c r="A2293" t="s">
        <v>102</v>
      </c>
    </row>
    <row r="2294" spans="1:1" x14ac:dyDescent="0.2">
      <c r="A2294" t="s">
        <v>102</v>
      </c>
    </row>
    <row r="2295" spans="1:1" x14ac:dyDescent="0.2">
      <c r="A2295" t="s">
        <v>102</v>
      </c>
    </row>
    <row r="2296" spans="1:1" x14ac:dyDescent="0.2">
      <c r="A2296" t="s">
        <v>102</v>
      </c>
    </row>
    <row r="2297" spans="1:1" x14ac:dyDescent="0.2">
      <c r="A2297" t="s">
        <v>102</v>
      </c>
    </row>
    <row r="2298" spans="1:1" x14ac:dyDescent="0.2">
      <c r="A2298" t="s">
        <v>102</v>
      </c>
    </row>
    <row r="2299" spans="1:1" x14ac:dyDescent="0.2">
      <c r="A2299" t="s">
        <v>102</v>
      </c>
    </row>
    <row r="2300" spans="1:1" x14ac:dyDescent="0.2">
      <c r="A2300" t="s">
        <v>102</v>
      </c>
    </row>
    <row r="2301" spans="1:1" x14ac:dyDescent="0.2">
      <c r="A2301" t="s">
        <v>102</v>
      </c>
    </row>
    <row r="2302" spans="1:1" x14ac:dyDescent="0.2">
      <c r="A2302" t="s">
        <v>102</v>
      </c>
    </row>
    <row r="2303" spans="1:1" x14ac:dyDescent="0.2">
      <c r="A2303" t="s">
        <v>102</v>
      </c>
    </row>
    <row r="2304" spans="1:1" x14ac:dyDescent="0.2">
      <c r="A2304" t="s">
        <v>102</v>
      </c>
    </row>
    <row r="2305" spans="1:1" x14ac:dyDescent="0.2">
      <c r="A2305" t="s">
        <v>102</v>
      </c>
    </row>
    <row r="2306" spans="1:1" x14ac:dyDescent="0.2">
      <c r="A2306" t="s">
        <v>102</v>
      </c>
    </row>
    <row r="2307" spans="1:1" x14ac:dyDescent="0.2">
      <c r="A2307" t="s">
        <v>102</v>
      </c>
    </row>
    <row r="2308" spans="1:1" x14ac:dyDescent="0.2">
      <c r="A2308" t="s">
        <v>102</v>
      </c>
    </row>
    <row r="2309" spans="1:1" x14ac:dyDescent="0.2">
      <c r="A2309" t="s">
        <v>102</v>
      </c>
    </row>
    <row r="2310" spans="1:1" x14ac:dyDescent="0.2">
      <c r="A2310" t="s">
        <v>102</v>
      </c>
    </row>
    <row r="2311" spans="1:1" x14ac:dyDescent="0.2">
      <c r="A2311" t="s">
        <v>102</v>
      </c>
    </row>
    <row r="2312" spans="1:1" x14ac:dyDescent="0.2">
      <c r="A2312" t="s">
        <v>102</v>
      </c>
    </row>
    <row r="2313" spans="1:1" x14ac:dyDescent="0.2">
      <c r="A2313" t="s">
        <v>102</v>
      </c>
    </row>
    <row r="2314" spans="1:1" x14ac:dyDescent="0.2">
      <c r="A2314" t="s">
        <v>102</v>
      </c>
    </row>
    <row r="2315" spans="1:1" x14ac:dyDescent="0.2">
      <c r="A2315" t="s">
        <v>102</v>
      </c>
    </row>
    <row r="2316" spans="1:1" x14ac:dyDescent="0.2">
      <c r="A2316" t="s">
        <v>102</v>
      </c>
    </row>
    <row r="2317" spans="1:1" x14ac:dyDescent="0.2">
      <c r="A2317" t="s">
        <v>102</v>
      </c>
    </row>
    <row r="2318" spans="1:1" x14ac:dyDescent="0.2">
      <c r="A2318" t="s">
        <v>102</v>
      </c>
    </row>
    <row r="2319" spans="1:1" x14ac:dyDescent="0.2">
      <c r="A2319" t="s">
        <v>102</v>
      </c>
    </row>
    <row r="2320" spans="1:1" x14ac:dyDescent="0.2">
      <c r="A2320" t="s">
        <v>102</v>
      </c>
    </row>
    <row r="2321" spans="1:1" x14ac:dyDescent="0.2">
      <c r="A2321" t="s">
        <v>102</v>
      </c>
    </row>
    <row r="2322" spans="1:1" x14ac:dyDescent="0.2">
      <c r="A2322" t="s">
        <v>102</v>
      </c>
    </row>
    <row r="2323" spans="1:1" x14ac:dyDescent="0.2">
      <c r="A2323" t="s">
        <v>102</v>
      </c>
    </row>
    <row r="2324" spans="1:1" x14ac:dyDescent="0.2">
      <c r="A2324" t="s">
        <v>102</v>
      </c>
    </row>
    <row r="2325" spans="1:1" x14ac:dyDescent="0.2">
      <c r="A2325" t="s">
        <v>102</v>
      </c>
    </row>
    <row r="2326" spans="1:1" x14ac:dyDescent="0.2">
      <c r="A2326" t="s">
        <v>102</v>
      </c>
    </row>
    <row r="2327" spans="1:1" x14ac:dyDescent="0.2">
      <c r="A2327" t="s">
        <v>102</v>
      </c>
    </row>
    <row r="2328" spans="1:1" x14ac:dyDescent="0.2">
      <c r="A2328" t="s">
        <v>102</v>
      </c>
    </row>
    <row r="2329" spans="1:1" x14ac:dyDescent="0.2">
      <c r="A2329" t="s">
        <v>102</v>
      </c>
    </row>
    <row r="2330" spans="1:1" x14ac:dyDescent="0.2">
      <c r="A2330" t="s">
        <v>102</v>
      </c>
    </row>
    <row r="2331" spans="1:1" x14ac:dyDescent="0.2">
      <c r="A2331" t="s">
        <v>102</v>
      </c>
    </row>
    <row r="2332" spans="1:1" x14ac:dyDescent="0.2">
      <c r="A2332" t="s">
        <v>102</v>
      </c>
    </row>
    <row r="2333" spans="1:1" x14ac:dyDescent="0.2">
      <c r="A2333" t="s">
        <v>102</v>
      </c>
    </row>
    <row r="2334" spans="1:1" x14ac:dyDescent="0.2">
      <c r="A2334" t="s">
        <v>102</v>
      </c>
    </row>
    <row r="2335" spans="1:1" x14ac:dyDescent="0.2">
      <c r="A2335" t="s">
        <v>102</v>
      </c>
    </row>
    <row r="2336" spans="1:1" x14ac:dyDescent="0.2">
      <c r="A2336" t="s">
        <v>102</v>
      </c>
    </row>
    <row r="2337" spans="1:1" x14ac:dyDescent="0.2">
      <c r="A2337" t="s">
        <v>102</v>
      </c>
    </row>
    <row r="2338" spans="1:1" x14ac:dyDescent="0.2">
      <c r="A2338" t="s">
        <v>102</v>
      </c>
    </row>
    <row r="2339" spans="1:1" x14ac:dyDescent="0.2">
      <c r="A2339" t="s">
        <v>102</v>
      </c>
    </row>
    <row r="2340" spans="1:1" x14ac:dyDescent="0.2">
      <c r="A2340" t="s">
        <v>102</v>
      </c>
    </row>
    <row r="2341" spans="1:1" x14ac:dyDescent="0.2">
      <c r="A2341" t="s">
        <v>102</v>
      </c>
    </row>
    <row r="2342" spans="1:1" x14ac:dyDescent="0.2">
      <c r="A2342" t="s">
        <v>102</v>
      </c>
    </row>
    <row r="2343" spans="1:1" x14ac:dyDescent="0.2">
      <c r="A2343" t="s">
        <v>102</v>
      </c>
    </row>
    <row r="2344" spans="1:1" x14ac:dyDescent="0.2">
      <c r="A2344" t="s">
        <v>102</v>
      </c>
    </row>
    <row r="2345" spans="1:1" x14ac:dyDescent="0.2">
      <c r="A2345" t="s">
        <v>102</v>
      </c>
    </row>
    <row r="2346" spans="1:1" x14ac:dyDescent="0.2">
      <c r="A2346" t="s">
        <v>102</v>
      </c>
    </row>
    <row r="2347" spans="1:1" x14ac:dyDescent="0.2">
      <c r="A2347" t="s">
        <v>102</v>
      </c>
    </row>
    <row r="2348" spans="1:1" x14ac:dyDescent="0.2">
      <c r="A2348" t="s">
        <v>102</v>
      </c>
    </row>
    <row r="2349" spans="1:1" x14ac:dyDescent="0.2">
      <c r="A2349" t="s">
        <v>102</v>
      </c>
    </row>
    <row r="2350" spans="1:1" x14ac:dyDescent="0.2">
      <c r="A2350" t="s">
        <v>102</v>
      </c>
    </row>
    <row r="2351" spans="1:1" x14ac:dyDescent="0.2">
      <c r="A2351" t="s">
        <v>102</v>
      </c>
    </row>
    <row r="2352" spans="1:1" x14ac:dyDescent="0.2">
      <c r="A2352" t="s">
        <v>102</v>
      </c>
    </row>
    <row r="2353" spans="1:1" x14ac:dyDescent="0.2">
      <c r="A2353" t="s">
        <v>102</v>
      </c>
    </row>
    <row r="2354" spans="1:1" x14ac:dyDescent="0.2">
      <c r="A2354" t="s">
        <v>102</v>
      </c>
    </row>
    <row r="2355" spans="1:1" x14ac:dyDescent="0.2">
      <c r="A2355" t="s">
        <v>102</v>
      </c>
    </row>
    <row r="2356" spans="1:1" x14ac:dyDescent="0.2">
      <c r="A2356" t="s">
        <v>102</v>
      </c>
    </row>
    <row r="2357" spans="1:1" x14ac:dyDescent="0.2">
      <c r="A2357" t="s">
        <v>102</v>
      </c>
    </row>
    <row r="2358" spans="1:1" x14ac:dyDescent="0.2">
      <c r="A2358" t="s">
        <v>102</v>
      </c>
    </row>
    <row r="2359" spans="1:1" x14ac:dyDescent="0.2">
      <c r="A2359" t="s">
        <v>102</v>
      </c>
    </row>
    <row r="2360" spans="1:1" x14ac:dyDescent="0.2">
      <c r="A2360" t="s">
        <v>102</v>
      </c>
    </row>
    <row r="2361" spans="1:1" x14ac:dyDescent="0.2">
      <c r="A2361" t="s">
        <v>102</v>
      </c>
    </row>
    <row r="2362" spans="1:1" x14ac:dyDescent="0.2">
      <c r="A2362" t="s">
        <v>102</v>
      </c>
    </row>
    <row r="2363" spans="1:1" x14ac:dyDescent="0.2">
      <c r="A2363" t="s">
        <v>102</v>
      </c>
    </row>
    <row r="2364" spans="1:1" x14ac:dyDescent="0.2">
      <c r="A2364" t="s">
        <v>102</v>
      </c>
    </row>
    <row r="2365" spans="1:1" x14ac:dyDescent="0.2">
      <c r="A2365" t="s">
        <v>102</v>
      </c>
    </row>
    <row r="2366" spans="1:1" x14ac:dyDescent="0.2">
      <c r="A2366" t="s">
        <v>102</v>
      </c>
    </row>
    <row r="2367" spans="1:1" x14ac:dyDescent="0.2">
      <c r="A2367" t="s">
        <v>102</v>
      </c>
    </row>
    <row r="2368" spans="1:1" x14ac:dyDescent="0.2">
      <c r="A2368" t="s">
        <v>102</v>
      </c>
    </row>
    <row r="2369" spans="1:1" x14ac:dyDescent="0.2">
      <c r="A2369" t="s">
        <v>102</v>
      </c>
    </row>
    <row r="2370" spans="1:1" x14ac:dyDescent="0.2">
      <c r="A2370" t="s">
        <v>102</v>
      </c>
    </row>
    <row r="2371" spans="1:1" x14ac:dyDescent="0.2">
      <c r="A2371" t="s">
        <v>102</v>
      </c>
    </row>
    <row r="2372" spans="1:1" x14ac:dyDescent="0.2">
      <c r="A2372" t="s">
        <v>102</v>
      </c>
    </row>
    <row r="2373" spans="1:1" x14ac:dyDescent="0.2">
      <c r="A2373" t="s">
        <v>102</v>
      </c>
    </row>
    <row r="2374" spans="1:1" x14ac:dyDescent="0.2">
      <c r="A2374" t="s">
        <v>102</v>
      </c>
    </row>
    <row r="2375" spans="1:1" x14ac:dyDescent="0.2">
      <c r="A2375" t="s">
        <v>102</v>
      </c>
    </row>
    <row r="2376" spans="1:1" x14ac:dyDescent="0.2">
      <c r="A2376" t="s">
        <v>102</v>
      </c>
    </row>
    <row r="2377" spans="1:1" x14ac:dyDescent="0.2">
      <c r="A2377" t="s">
        <v>102</v>
      </c>
    </row>
    <row r="2378" spans="1:1" x14ac:dyDescent="0.2">
      <c r="A2378" t="s">
        <v>102</v>
      </c>
    </row>
    <row r="2379" spans="1:1" x14ac:dyDescent="0.2">
      <c r="A2379" t="s">
        <v>102</v>
      </c>
    </row>
    <row r="2380" spans="1:1" x14ac:dyDescent="0.2">
      <c r="A2380" t="s">
        <v>102</v>
      </c>
    </row>
    <row r="2381" spans="1:1" x14ac:dyDescent="0.2">
      <c r="A2381" t="s">
        <v>102</v>
      </c>
    </row>
    <row r="2382" spans="1:1" x14ac:dyDescent="0.2">
      <c r="A2382" t="s">
        <v>102</v>
      </c>
    </row>
    <row r="2383" spans="1:1" x14ac:dyDescent="0.2">
      <c r="A2383" t="s">
        <v>102</v>
      </c>
    </row>
    <row r="2384" spans="1:1" x14ac:dyDescent="0.2">
      <c r="A2384" t="s">
        <v>102</v>
      </c>
    </row>
    <row r="2385" spans="1:1" x14ac:dyDescent="0.2">
      <c r="A2385" t="s">
        <v>102</v>
      </c>
    </row>
    <row r="2386" spans="1:1" x14ac:dyDescent="0.2">
      <c r="A2386" t="s">
        <v>102</v>
      </c>
    </row>
    <row r="2387" spans="1:1" x14ac:dyDescent="0.2">
      <c r="A2387" t="s">
        <v>102</v>
      </c>
    </row>
    <row r="2388" spans="1:1" x14ac:dyDescent="0.2">
      <c r="A2388" t="s">
        <v>102</v>
      </c>
    </row>
    <row r="2389" spans="1:1" x14ac:dyDescent="0.2">
      <c r="A2389" t="s">
        <v>102</v>
      </c>
    </row>
    <row r="2390" spans="1:1" x14ac:dyDescent="0.2">
      <c r="A2390" t="s">
        <v>102</v>
      </c>
    </row>
    <row r="2391" spans="1:1" x14ac:dyDescent="0.2">
      <c r="A2391" t="s">
        <v>102</v>
      </c>
    </row>
    <row r="2392" spans="1:1" x14ac:dyDescent="0.2">
      <c r="A2392" t="s">
        <v>102</v>
      </c>
    </row>
    <row r="2393" spans="1:1" x14ac:dyDescent="0.2">
      <c r="A2393" t="s">
        <v>102</v>
      </c>
    </row>
    <row r="2394" spans="1:1" x14ac:dyDescent="0.2">
      <c r="A2394" t="s">
        <v>102</v>
      </c>
    </row>
    <row r="2395" spans="1:1" x14ac:dyDescent="0.2">
      <c r="A2395" t="s">
        <v>102</v>
      </c>
    </row>
    <row r="2396" spans="1:1" x14ac:dyDescent="0.2">
      <c r="A2396" t="s">
        <v>102</v>
      </c>
    </row>
    <row r="2397" spans="1:1" x14ac:dyDescent="0.2">
      <c r="A2397" t="s">
        <v>102</v>
      </c>
    </row>
    <row r="2398" spans="1:1" x14ac:dyDescent="0.2">
      <c r="A2398" t="s">
        <v>102</v>
      </c>
    </row>
    <row r="2399" spans="1:1" x14ac:dyDescent="0.2">
      <c r="A2399" t="s">
        <v>102</v>
      </c>
    </row>
    <row r="2400" spans="1:1" x14ac:dyDescent="0.2">
      <c r="A2400" t="s">
        <v>102</v>
      </c>
    </row>
    <row r="2401" spans="1:1" x14ac:dyDescent="0.2">
      <c r="A2401" t="s">
        <v>102</v>
      </c>
    </row>
    <row r="2402" spans="1:1" x14ac:dyDescent="0.2">
      <c r="A2402" t="s">
        <v>102</v>
      </c>
    </row>
    <row r="2403" spans="1:1" x14ac:dyDescent="0.2">
      <c r="A2403" t="s">
        <v>102</v>
      </c>
    </row>
    <row r="2404" spans="1:1" x14ac:dyDescent="0.2">
      <c r="A2404" t="s">
        <v>102</v>
      </c>
    </row>
    <row r="2405" spans="1:1" x14ac:dyDescent="0.2">
      <c r="A2405" t="s">
        <v>102</v>
      </c>
    </row>
    <row r="2406" spans="1:1" x14ac:dyDescent="0.2">
      <c r="A2406" t="s">
        <v>102</v>
      </c>
    </row>
    <row r="2407" spans="1:1" x14ac:dyDescent="0.2">
      <c r="A2407" t="s">
        <v>102</v>
      </c>
    </row>
    <row r="2408" spans="1:1" x14ac:dyDescent="0.2">
      <c r="A2408" t="s">
        <v>102</v>
      </c>
    </row>
    <row r="2409" spans="1:1" x14ac:dyDescent="0.2">
      <c r="A2409" t="s">
        <v>102</v>
      </c>
    </row>
    <row r="2410" spans="1:1" x14ac:dyDescent="0.2">
      <c r="A2410" t="s">
        <v>102</v>
      </c>
    </row>
    <row r="2411" spans="1:1" x14ac:dyDescent="0.2">
      <c r="A2411" t="s">
        <v>102</v>
      </c>
    </row>
    <row r="2412" spans="1:1" x14ac:dyDescent="0.2">
      <c r="A2412" t="s">
        <v>102</v>
      </c>
    </row>
    <row r="2413" spans="1:1" x14ac:dyDescent="0.2">
      <c r="A2413" t="s">
        <v>102</v>
      </c>
    </row>
    <row r="2414" spans="1:1" x14ac:dyDescent="0.2">
      <c r="A2414" t="s">
        <v>102</v>
      </c>
    </row>
    <row r="2415" spans="1:1" x14ac:dyDescent="0.2">
      <c r="A2415" t="s">
        <v>102</v>
      </c>
    </row>
    <row r="2416" spans="1:1" x14ac:dyDescent="0.2">
      <c r="A2416" t="s">
        <v>102</v>
      </c>
    </row>
    <row r="2417" spans="1:1" x14ac:dyDescent="0.2">
      <c r="A2417" t="s">
        <v>102</v>
      </c>
    </row>
    <row r="2418" spans="1:1" x14ac:dyDescent="0.2">
      <c r="A2418" t="s">
        <v>102</v>
      </c>
    </row>
    <row r="2419" spans="1:1" x14ac:dyDescent="0.2">
      <c r="A2419" t="s">
        <v>102</v>
      </c>
    </row>
    <row r="2420" spans="1:1" x14ac:dyDescent="0.2">
      <c r="A2420" t="s">
        <v>102</v>
      </c>
    </row>
    <row r="2421" spans="1:1" x14ac:dyDescent="0.2">
      <c r="A2421" t="s">
        <v>102</v>
      </c>
    </row>
    <row r="2422" spans="1:1" x14ac:dyDescent="0.2">
      <c r="A2422" t="s">
        <v>102</v>
      </c>
    </row>
    <row r="2423" spans="1:1" x14ac:dyDescent="0.2">
      <c r="A2423" t="s">
        <v>102</v>
      </c>
    </row>
    <row r="2424" spans="1:1" x14ac:dyDescent="0.2">
      <c r="A2424" t="s">
        <v>102</v>
      </c>
    </row>
    <row r="2425" spans="1:1" x14ac:dyDescent="0.2">
      <c r="A2425" t="s">
        <v>102</v>
      </c>
    </row>
    <row r="2426" spans="1:1" x14ac:dyDescent="0.2">
      <c r="A2426" t="s">
        <v>102</v>
      </c>
    </row>
    <row r="2427" spans="1:1" x14ac:dyDescent="0.2">
      <c r="A2427" t="s">
        <v>102</v>
      </c>
    </row>
    <row r="2428" spans="1:1" x14ac:dyDescent="0.2">
      <c r="A2428" t="s">
        <v>102</v>
      </c>
    </row>
    <row r="2429" spans="1:1" x14ac:dyDescent="0.2">
      <c r="A2429" t="s">
        <v>102</v>
      </c>
    </row>
    <row r="2430" spans="1:1" x14ac:dyDescent="0.2">
      <c r="A2430" t="s">
        <v>102</v>
      </c>
    </row>
    <row r="2431" spans="1:1" x14ac:dyDescent="0.2">
      <c r="A2431" t="s">
        <v>102</v>
      </c>
    </row>
    <row r="2432" spans="1:1" x14ac:dyDescent="0.2">
      <c r="A2432" t="s">
        <v>102</v>
      </c>
    </row>
    <row r="2433" spans="1:1" x14ac:dyDescent="0.2">
      <c r="A2433" t="s">
        <v>102</v>
      </c>
    </row>
    <row r="2434" spans="1:1" x14ac:dyDescent="0.2">
      <c r="A2434" t="s">
        <v>102</v>
      </c>
    </row>
    <row r="2435" spans="1:1" x14ac:dyDescent="0.2">
      <c r="A2435" t="s">
        <v>102</v>
      </c>
    </row>
    <row r="2436" spans="1:1" x14ac:dyDescent="0.2">
      <c r="A2436" t="s">
        <v>102</v>
      </c>
    </row>
    <row r="2437" spans="1:1" x14ac:dyDescent="0.2">
      <c r="A2437" t="s">
        <v>102</v>
      </c>
    </row>
    <row r="2438" spans="1:1" x14ac:dyDescent="0.2">
      <c r="A2438" t="s">
        <v>102</v>
      </c>
    </row>
    <row r="2439" spans="1:1" x14ac:dyDescent="0.2">
      <c r="A2439" t="s">
        <v>102</v>
      </c>
    </row>
    <row r="2440" spans="1:1" x14ac:dyDescent="0.2">
      <c r="A2440" t="s">
        <v>102</v>
      </c>
    </row>
    <row r="2441" spans="1:1" x14ac:dyDescent="0.2">
      <c r="A2441" t="s">
        <v>102</v>
      </c>
    </row>
    <row r="2442" spans="1:1" x14ac:dyDescent="0.2">
      <c r="A2442" t="s">
        <v>102</v>
      </c>
    </row>
    <row r="2443" spans="1:1" x14ac:dyDescent="0.2">
      <c r="A2443" t="s">
        <v>102</v>
      </c>
    </row>
    <row r="2444" spans="1:1" x14ac:dyDescent="0.2">
      <c r="A2444" t="s">
        <v>102</v>
      </c>
    </row>
    <row r="2445" spans="1:1" x14ac:dyDescent="0.2">
      <c r="A2445" t="s">
        <v>102</v>
      </c>
    </row>
    <row r="2446" spans="1:1" x14ac:dyDescent="0.2">
      <c r="A2446" t="s">
        <v>102</v>
      </c>
    </row>
    <row r="2447" spans="1:1" x14ac:dyDescent="0.2">
      <c r="A2447" t="s">
        <v>102</v>
      </c>
    </row>
    <row r="2448" spans="1:1" x14ac:dyDescent="0.2">
      <c r="A2448" t="s">
        <v>102</v>
      </c>
    </row>
    <row r="2449" spans="1:1" x14ac:dyDescent="0.2">
      <c r="A2449" t="s">
        <v>102</v>
      </c>
    </row>
    <row r="2450" spans="1:1" x14ac:dyDescent="0.2">
      <c r="A2450" t="s">
        <v>102</v>
      </c>
    </row>
    <row r="2451" spans="1:1" x14ac:dyDescent="0.2">
      <c r="A2451" t="s">
        <v>102</v>
      </c>
    </row>
    <row r="2452" spans="1:1" x14ac:dyDescent="0.2">
      <c r="A2452" t="s">
        <v>102</v>
      </c>
    </row>
    <row r="2453" spans="1:1" x14ac:dyDescent="0.2">
      <c r="A2453" t="s">
        <v>102</v>
      </c>
    </row>
    <row r="2454" spans="1:1" x14ac:dyDescent="0.2">
      <c r="A2454" t="s">
        <v>102</v>
      </c>
    </row>
    <row r="2455" spans="1:1" x14ac:dyDescent="0.2">
      <c r="A2455" t="s">
        <v>102</v>
      </c>
    </row>
    <row r="2456" spans="1:1" x14ac:dyDescent="0.2">
      <c r="A2456" t="s">
        <v>102</v>
      </c>
    </row>
    <row r="2457" spans="1:1" x14ac:dyDescent="0.2">
      <c r="A2457" t="s">
        <v>102</v>
      </c>
    </row>
    <row r="2458" spans="1:1" x14ac:dyDescent="0.2">
      <c r="A2458" t="s">
        <v>102</v>
      </c>
    </row>
    <row r="2459" spans="1:1" x14ac:dyDescent="0.2">
      <c r="A2459" t="s">
        <v>102</v>
      </c>
    </row>
    <row r="2460" spans="1:1" x14ac:dyDescent="0.2">
      <c r="A2460" t="s">
        <v>102</v>
      </c>
    </row>
    <row r="2461" spans="1:1" x14ac:dyDescent="0.2">
      <c r="A2461" t="s">
        <v>102</v>
      </c>
    </row>
    <row r="2462" spans="1:1" x14ac:dyDescent="0.2">
      <c r="A2462" t="s">
        <v>102</v>
      </c>
    </row>
    <row r="2463" spans="1:1" x14ac:dyDescent="0.2">
      <c r="A2463" t="s">
        <v>102</v>
      </c>
    </row>
    <row r="2464" spans="1:1" x14ac:dyDescent="0.2">
      <c r="A2464" t="s">
        <v>102</v>
      </c>
    </row>
    <row r="2465" spans="1:1" x14ac:dyDescent="0.2">
      <c r="A2465" t="s">
        <v>102</v>
      </c>
    </row>
    <row r="2466" spans="1:1" x14ac:dyDescent="0.2">
      <c r="A2466" t="s">
        <v>102</v>
      </c>
    </row>
    <row r="2467" spans="1:1" x14ac:dyDescent="0.2">
      <c r="A2467" t="s">
        <v>102</v>
      </c>
    </row>
    <row r="2468" spans="1:1" x14ac:dyDescent="0.2">
      <c r="A2468" t="s">
        <v>102</v>
      </c>
    </row>
    <row r="2469" spans="1:1" x14ac:dyDescent="0.2">
      <c r="A2469" t="s">
        <v>102</v>
      </c>
    </row>
    <row r="2470" spans="1:1" x14ac:dyDescent="0.2">
      <c r="A2470" t="s">
        <v>102</v>
      </c>
    </row>
    <row r="2471" spans="1:1" x14ac:dyDescent="0.2">
      <c r="A2471" t="s">
        <v>102</v>
      </c>
    </row>
    <row r="2472" spans="1:1" x14ac:dyDescent="0.2">
      <c r="A2472" t="s">
        <v>102</v>
      </c>
    </row>
    <row r="2473" spans="1:1" x14ac:dyDescent="0.2">
      <c r="A2473" t="s">
        <v>102</v>
      </c>
    </row>
    <row r="2474" spans="1:1" x14ac:dyDescent="0.2">
      <c r="A2474" t="s">
        <v>102</v>
      </c>
    </row>
    <row r="2475" spans="1:1" x14ac:dyDescent="0.2">
      <c r="A2475" t="s">
        <v>102</v>
      </c>
    </row>
    <row r="2476" spans="1:1" x14ac:dyDescent="0.2">
      <c r="A2476" t="s">
        <v>102</v>
      </c>
    </row>
    <row r="2477" spans="1:1" x14ac:dyDescent="0.2">
      <c r="A2477" t="s">
        <v>102</v>
      </c>
    </row>
    <row r="2478" spans="1:1" x14ac:dyDescent="0.2">
      <c r="A2478" t="s">
        <v>102</v>
      </c>
    </row>
    <row r="2479" spans="1:1" x14ac:dyDescent="0.2">
      <c r="A2479" t="s">
        <v>102</v>
      </c>
    </row>
    <row r="2480" spans="1:1" x14ac:dyDescent="0.2">
      <c r="A2480" t="s">
        <v>102</v>
      </c>
    </row>
    <row r="2481" spans="1:1" x14ac:dyDescent="0.2">
      <c r="A2481" t="s">
        <v>102</v>
      </c>
    </row>
    <row r="2482" spans="1:1" x14ac:dyDescent="0.2">
      <c r="A2482" t="s">
        <v>102</v>
      </c>
    </row>
    <row r="2483" spans="1:1" x14ac:dyDescent="0.2">
      <c r="A2483" t="s">
        <v>102</v>
      </c>
    </row>
    <row r="2484" spans="1:1" x14ac:dyDescent="0.2">
      <c r="A2484" t="s">
        <v>102</v>
      </c>
    </row>
    <row r="2485" spans="1:1" x14ac:dyDescent="0.2">
      <c r="A2485" t="s">
        <v>102</v>
      </c>
    </row>
    <row r="2486" spans="1:1" x14ac:dyDescent="0.2">
      <c r="A2486" t="s">
        <v>102</v>
      </c>
    </row>
    <row r="2487" spans="1:1" x14ac:dyDescent="0.2">
      <c r="A2487" t="s">
        <v>102</v>
      </c>
    </row>
    <row r="2488" spans="1:1" x14ac:dyDescent="0.2">
      <c r="A2488" t="s">
        <v>102</v>
      </c>
    </row>
    <row r="2489" spans="1:1" x14ac:dyDescent="0.2">
      <c r="A2489" t="s">
        <v>102</v>
      </c>
    </row>
    <row r="2490" spans="1:1" x14ac:dyDescent="0.2">
      <c r="A2490" t="s">
        <v>102</v>
      </c>
    </row>
    <row r="2491" spans="1:1" x14ac:dyDescent="0.2">
      <c r="A2491" t="s">
        <v>102</v>
      </c>
    </row>
    <row r="2492" spans="1:1" x14ac:dyDescent="0.2">
      <c r="A2492" t="s">
        <v>102</v>
      </c>
    </row>
    <row r="2493" spans="1:1" x14ac:dyDescent="0.2">
      <c r="A2493" t="s">
        <v>102</v>
      </c>
    </row>
    <row r="2494" spans="1:1" x14ac:dyDescent="0.2">
      <c r="A2494" t="s">
        <v>102</v>
      </c>
    </row>
    <row r="2495" spans="1:1" x14ac:dyDescent="0.2">
      <c r="A2495" t="s">
        <v>102</v>
      </c>
    </row>
    <row r="2496" spans="1:1" x14ac:dyDescent="0.2">
      <c r="A2496" t="s">
        <v>102</v>
      </c>
    </row>
    <row r="2497" spans="1:1" x14ac:dyDescent="0.2">
      <c r="A2497" t="s">
        <v>102</v>
      </c>
    </row>
    <row r="2498" spans="1:1" x14ac:dyDescent="0.2">
      <c r="A2498" t="s">
        <v>102</v>
      </c>
    </row>
    <row r="2499" spans="1:1" x14ac:dyDescent="0.2">
      <c r="A2499" t="s">
        <v>102</v>
      </c>
    </row>
    <row r="2500" spans="1:1" x14ac:dyDescent="0.2">
      <c r="A2500" t="s">
        <v>102</v>
      </c>
    </row>
    <row r="2501" spans="1:1" x14ac:dyDescent="0.2">
      <c r="A2501" t="s">
        <v>102</v>
      </c>
    </row>
    <row r="2502" spans="1:1" x14ac:dyDescent="0.2">
      <c r="A2502" t="s">
        <v>102</v>
      </c>
    </row>
    <row r="2503" spans="1:1" x14ac:dyDescent="0.2">
      <c r="A2503" t="s">
        <v>102</v>
      </c>
    </row>
    <row r="2504" spans="1:1" x14ac:dyDescent="0.2">
      <c r="A2504" t="s">
        <v>102</v>
      </c>
    </row>
    <row r="2505" spans="1:1" x14ac:dyDescent="0.2">
      <c r="A2505" t="s">
        <v>102</v>
      </c>
    </row>
    <row r="2506" spans="1:1" x14ac:dyDescent="0.2">
      <c r="A2506" t="s">
        <v>102</v>
      </c>
    </row>
    <row r="2507" spans="1:1" x14ac:dyDescent="0.2">
      <c r="A2507" t="s">
        <v>102</v>
      </c>
    </row>
    <row r="2508" spans="1:1" x14ac:dyDescent="0.2">
      <c r="A2508" t="s">
        <v>102</v>
      </c>
    </row>
    <row r="2509" spans="1:1" x14ac:dyDescent="0.2">
      <c r="A2509" t="s">
        <v>102</v>
      </c>
    </row>
    <row r="2510" spans="1:1" x14ac:dyDescent="0.2">
      <c r="A2510" t="s">
        <v>102</v>
      </c>
    </row>
    <row r="2511" spans="1:1" x14ac:dyDescent="0.2">
      <c r="A2511" t="s">
        <v>102</v>
      </c>
    </row>
    <row r="2512" spans="1:1" x14ac:dyDescent="0.2">
      <c r="A2512" t="s">
        <v>102</v>
      </c>
    </row>
    <row r="2513" spans="1:1" x14ac:dyDescent="0.2">
      <c r="A2513" t="s">
        <v>102</v>
      </c>
    </row>
    <row r="2514" spans="1:1" x14ac:dyDescent="0.2">
      <c r="A2514" t="s">
        <v>102</v>
      </c>
    </row>
    <row r="2515" spans="1:1" x14ac:dyDescent="0.2">
      <c r="A2515" t="s">
        <v>102</v>
      </c>
    </row>
    <row r="2516" spans="1:1" x14ac:dyDescent="0.2">
      <c r="A2516" t="s">
        <v>102</v>
      </c>
    </row>
    <row r="2517" spans="1:1" x14ac:dyDescent="0.2">
      <c r="A2517" t="s">
        <v>102</v>
      </c>
    </row>
    <row r="2518" spans="1:1" x14ac:dyDescent="0.2">
      <c r="A2518" t="s">
        <v>102</v>
      </c>
    </row>
    <row r="2519" spans="1:1" x14ac:dyDescent="0.2">
      <c r="A2519" t="s">
        <v>102</v>
      </c>
    </row>
    <row r="2520" spans="1:1" x14ac:dyDescent="0.2">
      <c r="A2520" t="s">
        <v>102</v>
      </c>
    </row>
    <row r="2521" spans="1:1" x14ac:dyDescent="0.2">
      <c r="A2521" t="s">
        <v>102</v>
      </c>
    </row>
    <row r="2522" spans="1:1" x14ac:dyDescent="0.2">
      <c r="A2522" t="s">
        <v>102</v>
      </c>
    </row>
    <row r="2523" spans="1:1" x14ac:dyDescent="0.2">
      <c r="A2523" t="s">
        <v>102</v>
      </c>
    </row>
    <row r="2524" spans="1:1" x14ac:dyDescent="0.2">
      <c r="A2524" t="s">
        <v>102</v>
      </c>
    </row>
    <row r="2525" spans="1:1" x14ac:dyDescent="0.2">
      <c r="A2525" t="s">
        <v>102</v>
      </c>
    </row>
    <row r="2526" spans="1:1" x14ac:dyDescent="0.2">
      <c r="A2526" t="s">
        <v>102</v>
      </c>
    </row>
    <row r="2527" spans="1:1" x14ac:dyDescent="0.2">
      <c r="A2527" t="s">
        <v>102</v>
      </c>
    </row>
    <row r="2528" spans="1:1" x14ac:dyDescent="0.2">
      <c r="A2528" t="s">
        <v>102</v>
      </c>
    </row>
    <row r="2529" spans="1:1" x14ac:dyDescent="0.2">
      <c r="A2529" t="s">
        <v>102</v>
      </c>
    </row>
    <row r="2530" spans="1:1" x14ac:dyDescent="0.2">
      <c r="A2530" t="s">
        <v>102</v>
      </c>
    </row>
    <row r="2531" spans="1:1" x14ac:dyDescent="0.2">
      <c r="A2531" t="s">
        <v>102</v>
      </c>
    </row>
    <row r="2532" spans="1:1" x14ac:dyDescent="0.2">
      <c r="A2532" t="s">
        <v>102</v>
      </c>
    </row>
    <row r="2533" spans="1:1" x14ac:dyDescent="0.2">
      <c r="A2533" t="s">
        <v>102</v>
      </c>
    </row>
    <row r="2534" spans="1:1" x14ac:dyDescent="0.2">
      <c r="A2534" t="s">
        <v>102</v>
      </c>
    </row>
    <row r="2535" spans="1:1" x14ac:dyDescent="0.2">
      <c r="A2535" t="s">
        <v>102</v>
      </c>
    </row>
    <row r="2536" spans="1:1" x14ac:dyDescent="0.2">
      <c r="A2536" t="s">
        <v>102</v>
      </c>
    </row>
    <row r="2537" spans="1:1" x14ac:dyDescent="0.2">
      <c r="A2537" t="s">
        <v>102</v>
      </c>
    </row>
    <row r="2538" spans="1:1" x14ac:dyDescent="0.2">
      <c r="A2538" t="s">
        <v>102</v>
      </c>
    </row>
    <row r="2539" spans="1:1" x14ac:dyDescent="0.2">
      <c r="A2539" t="s">
        <v>102</v>
      </c>
    </row>
    <row r="2540" spans="1:1" x14ac:dyDescent="0.2">
      <c r="A2540" t="s">
        <v>102</v>
      </c>
    </row>
    <row r="2541" spans="1:1" x14ac:dyDescent="0.2">
      <c r="A2541" t="s">
        <v>102</v>
      </c>
    </row>
    <row r="2542" spans="1:1" x14ac:dyDescent="0.2">
      <c r="A2542" t="s">
        <v>102</v>
      </c>
    </row>
    <row r="2543" spans="1:1" x14ac:dyDescent="0.2">
      <c r="A2543" t="s">
        <v>102</v>
      </c>
    </row>
    <row r="2544" spans="1:1" x14ac:dyDescent="0.2">
      <c r="A2544" t="s">
        <v>102</v>
      </c>
    </row>
    <row r="2545" spans="1:1" x14ac:dyDescent="0.2">
      <c r="A2545" t="s">
        <v>102</v>
      </c>
    </row>
    <row r="2546" spans="1:1" x14ac:dyDescent="0.2">
      <c r="A2546" t="s">
        <v>102</v>
      </c>
    </row>
    <row r="2547" spans="1:1" x14ac:dyDescent="0.2">
      <c r="A2547" t="s">
        <v>102</v>
      </c>
    </row>
    <row r="2548" spans="1:1" x14ac:dyDescent="0.2">
      <c r="A2548" t="s">
        <v>102</v>
      </c>
    </row>
    <row r="2549" spans="1:1" x14ac:dyDescent="0.2">
      <c r="A2549" t="s">
        <v>102</v>
      </c>
    </row>
    <row r="2550" spans="1:1" x14ac:dyDescent="0.2">
      <c r="A2550" t="s">
        <v>102</v>
      </c>
    </row>
    <row r="2551" spans="1:1" x14ac:dyDescent="0.2">
      <c r="A2551" t="s">
        <v>102</v>
      </c>
    </row>
    <row r="2552" spans="1:1" x14ac:dyDescent="0.2">
      <c r="A2552" t="s">
        <v>102</v>
      </c>
    </row>
    <row r="2553" spans="1:1" x14ac:dyDescent="0.2">
      <c r="A2553" t="s">
        <v>102</v>
      </c>
    </row>
    <row r="2554" spans="1:1" x14ac:dyDescent="0.2">
      <c r="A2554" t="s">
        <v>102</v>
      </c>
    </row>
    <row r="2555" spans="1:1" x14ac:dyDescent="0.2">
      <c r="A2555" t="s">
        <v>102</v>
      </c>
    </row>
    <row r="2556" spans="1:1" x14ac:dyDescent="0.2">
      <c r="A2556" t="s">
        <v>102</v>
      </c>
    </row>
    <row r="2557" spans="1:1" x14ac:dyDescent="0.2">
      <c r="A2557" t="s">
        <v>102</v>
      </c>
    </row>
    <row r="2558" spans="1:1" x14ac:dyDescent="0.2">
      <c r="A2558" t="s">
        <v>102</v>
      </c>
    </row>
    <row r="2559" spans="1:1" x14ac:dyDescent="0.2">
      <c r="A2559" t="s">
        <v>102</v>
      </c>
    </row>
    <row r="2560" spans="1:1" x14ac:dyDescent="0.2">
      <c r="A2560" t="s">
        <v>102</v>
      </c>
    </row>
    <row r="2561" spans="1:1" x14ac:dyDescent="0.2">
      <c r="A2561" t="s">
        <v>102</v>
      </c>
    </row>
    <row r="2562" spans="1:1" x14ac:dyDescent="0.2">
      <c r="A2562" t="s">
        <v>102</v>
      </c>
    </row>
    <row r="2563" spans="1:1" x14ac:dyDescent="0.2">
      <c r="A2563" t="s">
        <v>102</v>
      </c>
    </row>
    <row r="2564" spans="1:1" x14ac:dyDescent="0.2">
      <c r="A2564" t="s">
        <v>102</v>
      </c>
    </row>
    <row r="2565" spans="1:1" x14ac:dyDescent="0.2">
      <c r="A2565" t="s">
        <v>102</v>
      </c>
    </row>
    <row r="2566" spans="1:1" x14ac:dyDescent="0.2">
      <c r="A2566" t="s">
        <v>102</v>
      </c>
    </row>
    <row r="2567" spans="1:1" x14ac:dyDescent="0.2">
      <c r="A2567" t="s">
        <v>102</v>
      </c>
    </row>
    <row r="2568" spans="1:1" x14ac:dyDescent="0.2">
      <c r="A2568" t="s">
        <v>102</v>
      </c>
    </row>
    <row r="2569" spans="1:1" x14ac:dyDescent="0.2">
      <c r="A2569" t="s">
        <v>102</v>
      </c>
    </row>
    <row r="2570" spans="1:1" x14ac:dyDescent="0.2">
      <c r="A2570" t="s">
        <v>102</v>
      </c>
    </row>
    <row r="2571" spans="1:1" x14ac:dyDescent="0.2">
      <c r="A2571" t="s">
        <v>102</v>
      </c>
    </row>
    <row r="2572" spans="1:1" x14ac:dyDescent="0.2">
      <c r="A2572" t="s">
        <v>102</v>
      </c>
    </row>
    <row r="2573" spans="1:1" x14ac:dyDescent="0.2">
      <c r="A2573" t="s">
        <v>102</v>
      </c>
    </row>
    <row r="2574" spans="1:1" x14ac:dyDescent="0.2">
      <c r="A2574" t="s">
        <v>102</v>
      </c>
    </row>
    <row r="2575" spans="1:1" x14ac:dyDescent="0.2">
      <c r="A2575" t="s">
        <v>102</v>
      </c>
    </row>
    <row r="2576" spans="1:1" x14ac:dyDescent="0.2">
      <c r="A2576" t="s">
        <v>102</v>
      </c>
    </row>
    <row r="2577" spans="1:1" x14ac:dyDescent="0.2">
      <c r="A2577" t="s">
        <v>102</v>
      </c>
    </row>
    <row r="2578" spans="1:1" x14ac:dyDescent="0.2">
      <c r="A2578" t="s">
        <v>102</v>
      </c>
    </row>
    <row r="2579" spans="1:1" x14ac:dyDescent="0.2">
      <c r="A2579" t="s">
        <v>102</v>
      </c>
    </row>
    <row r="2580" spans="1:1" x14ac:dyDescent="0.2">
      <c r="A2580" t="s">
        <v>102</v>
      </c>
    </row>
    <row r="2581" spans="1:1" x14ac:dyDescent="0.2">
      <c r="A2581" t="s">
        <v>102</v>
      </c>
    </row>
    <row r="2582" spans="1:1" x14ac:dyDescent="0.2">
      <c r="A2582" t="s">
        <v>102</v>
      </c>
    </row>
    <row r="2583" spans="1:1" x14ac:dyDescent="0.2">
      <c r="A2583" t="s">
        <v>102</v>
      </c>
    </row>
    <row r="2584" spans="1:1" x14ac:dyDescent="0.2">
      <c r="A2584" t="s">
        <v>102</v>
      </c>
    </row>
    <row r="2585" spans="1:1" x14ac:dyDescent="0.2">
      <c r="A2585" t="s">
        <v>102</v>
      </c>
    </row>
    <row r="2586" spans="1:1" x14ac:dyDescent="0.2">
      <c r="A2586" t="s">
        <v>102</v>
      </c>
    </row>
    <row r="2587" spans="1:1" x14ac:dyDescent="0.2">
      <c r="A2587" t="s">
        <v>102</v>
      </c>
    </row>
    <row r="2588" spans="1:1" x14ac:dyDescent="0.2">
      <c r="A2588" t="s">
        <v>102</v>
      </c>
    </row>
    <row r="2589" spans="1:1" x14ac:dyDescent="0.2">
      <c r="A2589" t="s">
        <v>102</v>
      </c>
    </row>
    <row r="2590" spans="1:1" x14ac:dyDescent="0.2">
      <c r="A2590" t="s">
        <v>102</v>
      </c>
    </row>
    <row r="2591" spans="1:1" x14ac:dyDescent="0.2">
      <c r="A2591" t="s">
        <v>102</v>
      </c>
    </row>
    <row r="2592" spans="1:1" x14ac:dyDescent="0.2">
      <c r="A2592" t="s">
        <v>102</v>
      </c>
    </row>
    <row r="2593" spans="1:1" x14ac:dyDescent="0.2">
      <c r="A2593" t="s">
        <v>102</v>
      </c>
    </row>
    <row r="2594" spans="1:1" x14ac:dyDescent="0.2">
      <c r="A2594" t="s">
        <v>102</v>
      </c>
    </row>
    <row r="2595" spans="1:1" x14ac:dyDescent="0.2">
      <c r="A2595" t="s">
        <v>102</v>
      </c>
    </row>
    <row r="2596" spans="1:1" x14ac:dyDescent="0.2">
      <c r="A2596" t="s">
        <v>102</v>
      </c>
    </row>
    <row r="2597" spans="1:1" x14ac:dyDescent="0.2">
      <c r="A2597" t="s">
        <v>102</v>
      </c>
    </row>
    <row r="2598" spans="1:1" x14ac:dyDescent="0.2">
      <c r="A2598" t="s">
        <v>102</v>
      </c>
    </row>
    <row r="2599" spans="1:1" x14ac:dyDescent="0.2">
      <c r="A2599" t="s">
        <v>102</v>
      </c>
    </row>
    <row r="2600" spans="1:1" x14ac:dyDescent="0.2">
      <c r="A2600" t="s">
        <v>102</v>
      </c>
    </row>
    <row r="2601" spans="1:1" x14ac:dyDescent="0.2">
      <c r="A2601" t="s">
        <v>102</v>
      </c>
    </row>
    <row r="2602" spans="1:1" x14ac:dyDescent="0.2">
      <c r="A2602" t="s">
        <v>102</v>
      </c>
    </row>
    <row r="2603" spans="1:1" x14ac:dyDescent="0.2">
      <c r="A2603" t="s">
        <v>102</v>
      </c>
    </row>
    <row r="2604" spans="1:1" x14ac:dyDescent="0.2">
      <c r="A2604" t="s">
        <v>102</v>
      </c>
    </row>
    <row r="2605" spans="1:1" x14ac:dyDescent="0.2">
      <c r="A2605" t="s">
        <v>102</v>
      </c>
    </row>
    <row r="2606" spans="1:1" x14ac:dyDescent="0.2">
      <c r="A2606" t="s">
        <v>102</v>
      </c>
    </row>
    <row r="2607" spans="1:1" x14ac:dyDescent="0.2">
      <c r="A2607" t="s">
        <v>102</v>
      </c>
    </row>
    <row r="2608" spans="1:1" x14ac:dyDescent="0.2">
      <c r="A2608" t="s">
        <v>102</v>
      </c>
    </row>
    <row r="2609" spans="1:1" x14ac:dyDescent="0.2">
      <c r="A2609" t="s">
        <v>102</v>
      </c>
    </row>
    <row r="2610" spans="1:1" x14ac:dyDescent="0.2">
      <c r="A2610" t="s">
        <v>102</v>
      </c>
    </row>
    <row r="2611" spans="1:1" x14ac:dyDescent="0.2">
      <c r="A2611" t="s">
        <v>102</v>
      </c>
    </row>
    <row r="2612" spans="1:1" x14ac:dyDescent="0.2">
      <c r="A2612" t="s">
        <v>102</v>
      </c>
    </row>
    <row r="2613" spans="1:1" x14ac:dyDescent="0.2">
      <c r="A2613" t="s">
        <v>102</v>
      </c>
    </row>
    <row r="2614" spans="1:1" x14ac:dyDescent="0.2">
      <c r="A2614" t="s">
        <v>102</v>
      </c>
    </row>
    <row r="2615" spans="1:1" x14ac:dyDescent="0.2">
      <c r="A2615" t="s">
        <v>102</v>
      </c>
    </row>
    <row r="2616" spans="1:1" x14ac:dyDescent="0.2">
      <c r="A2616" t="s">
        <v>102</v>
      </c>
    </row>
    <row r="2617" spans="1:1" x14ac:dyDescent="0.2">
      <c r="A2617" t="s">
        <v>102</v>
      </c>
    </row>
    <row r="2618" spans="1:1" x14ac:dyDescent="0.2">
      <c r="A2618" t="s">
        <v>102</v>
      </c>
    </row>
    <row r="2619" spans="1:1" x14ac:dyDescent="0.2">
      <c r="A2619" t="s">
        <v>102</v>
      </c>
    </row>
    <row r="2620" spans="1:1" x14ac:dyDescent="0.2">
      <c r="A2620" t="s">
        <v>102</v>
      </c>
    </row>
    <row r="2621" spans="1:1" x14ac:dyDescent="0.2">
      <c r="A2621" t="s">
        <v>102</v>
      </c>
    </row>
    <row r="2622" spans="1:1" x14ac:dyDescent="0.2">
      <c r="A2622" t="s">
        <v>102</v>
      </c>
    </row>
    <row r="2623" spans="1:1" x14ac:dyDescent="0.2">
      <c r="A2623" t="s">
        <v>102</v>
      </c>
    </row>
    <row r="2624" spans="1:1" x14ac:dyDescent="0.2">
      <c r="A2624" t="s">
        <v>102</v>
      </c>
    </row>
    <row r="2625" spans="1:1" x14ac:dyDescent="0.2">
      <c r="A2625" t="s">
        <v>102</v>
      </c>
    </row>
    <row r="2626" spans="1:1" x14ac:dyDescent="0.2">
      <c r="A2626" t="s">
        <v>102</v>
      </c>
    </row>
    <row r="2627" spans="1:1" x14ac:dyDescent="0.2">
      <c r="A2627" t="s">
        <v>102</v>
      </c>
    </row>
    <row r="2628" spans="1:1" x14ac:dyDescent="0.2">
      <c r="A2628" t="s">
        <v>102</v>
      </c>
    </row>
    <row r="2629" spans="1:1" x14ac:dyDescent="0.2">
      <c r="A2629" t="s">
        <v>102</v>
      </c>
    </row>
    <row r="2630" spans="1:1" x14ac:dyDescent="0.2">
      <c r="A2630" t="s">
        <v>102</v>
      </c>
    </row>
    <row r="2631" spans="1:1" x14ac:dyDescent="0.2">
      <c r="A2631" t="s">
        <v>102</v>
      </c>
    </row>
    <row r="2632" spans="1:1" x14ac:dyDescent="0.2">
      <c r="A2632" t="s">
        <v>102</v>
      </c>
    </row>
    <row r="2633" spans="1:1" x14ac:dyDescent="0.2">
      <c r="A2633" t="s">
        <v>102</v>
      </c>
    </row>
    <row r="2634" spans="1:1" x14ac:dyDescent="0.2">
      <c r="A2634" t="s">
        <v>102</v>
      </c>
    </row>
    <row r="2635" spans="1:1" x14ac:dyDescent="0.2">
      <c r="A2635" t="s">
        <v>102</v>
      </c>
    </row>
    <row r="2636" spans="1:1" x14ac:dyDescent="0.2">
      <c r="A2636" t="s">
        <v>102</v>
      </c>
    </row>
    <row r="2637" spans="1:1" x14ac:dyDescent="0.2">
      <c r="A2637" t="s">
        <v>102</v>
      </c>
    </row>
    <row r="2638" spans="1:1" x14ac:dyDescent="0.2">
      <c r="A2638" t="s">
        <v>102</v>
      </c>
    </row>
    <row r="2639" spans="1:1" x14ac:dyDescent="0.2">
      <c r="A2639" t="s">
        <v>102</v>
      </c>
    </row>
    <row r="2640" spans="1:1" x14ac:dyDescent="0.2">
      <c r="A2640" t="s">
        <v>102</v>
      </c>
    </row>
    <row r="2641" spans="1:1" x14ac:dyDescent="0.2">
      <c r="A2641" t="s">
        <v>102</v>
      </c>
    </row>
    <row r="2642" spans="1:1" x14ac:dyDescent="0.2">
      <c r="A2642" t="s">
        <v>102</v>
      </c>
    </row>
    <row r="2643" spans="1:1" x14ac:dyDescent="0.2">
      <c r="A2643" t="s">
        <v>102</v>
      </c>
    </row>
    <row r="2644" spans="1:1" x14ac:dyDescent="0.2">
      <c r="A2644" t="s">
        <v>102</v>
      </c>
    </row>
    <row r="2645" spans="1:1" x14ac:dyDescent="0.2">
      <c r="A2645" t="s">
        <v>102</v>
      </c>
    </row>
    <row r="2646" spans="1:1" x14ac:dyDescent="0.2">
      <c r="A2646" t="s">
        <v>102</v>
      </c>
    </row>
    <row r="2647" spans="1:1" x14ac:dyDescent="0.2">
      <c r="A2647" t="s">
        <v>102</v>
      </c>
    </row>
    <row r="2648" spans="1:1" x14ac:dyDescent="0.2">
      <c r="A2648" t="s">
        <v>102</v>
      </c>
    </row>
    <row r="2649" spans="1:1" x14ac:dyDescent="0.2">
      <c r="A2649" t="s">
        <v>102</v>
      </c>
    </row>
    <row r="2650" spans="1:1" x14ac:dyDescent="0.2">
      <c r="A2650" t="s">
        <v>102</v>
      </c>
    </row>
    <row r="2651" spans="1:1" x14ac:dyDescent="0.2">
      <c r="A2651" t="s">
        <v>102</v>
      </c>
    </row>
    <row r="2652" spans="1:1" x14ac:dyDescent="0.2">
      <c r="A2652" t="s">
        <v>102</v>
      </c>
    </row>
    <row r="2653" spans="1:1" x14ac:dyDescent="0.2">
      <c r="A2653" t="s">
        <v>102</v>
      </c>
    </row>
    <row r="2654" spans="1:1" x14ac:dyDescent="0.2">
      <c r="A2654" t="s">
        <v>102</v>
      </c>
    </row>
    <row r="2655" spans="1:1" x14ac:dyDescent="0.2">
      <c r="A2655" t="s">
        <v>102</v>
      </c>
    </row>
    <row r="2656" spans="1:1" x14ac:dyDescent="0.2">
      <c r="A2656" t="s">
        <v>102</v>
      </c>
    </row>
    <row r="2657" spans="1:1" x14ac:dyDescent="0.2">
      <c r="A2657" t="s">
        <v>102</v>
      </c>
    </row>
    <row r="2658" spans="1:1" x14ac:dyDescent="0.2">
      <c r="A2658" t="s">
        <v>102</v>
      </c>
    </row>
    <row r="2659" spans="1:1" x14ac:dyDescent="0.2">
      <c r="A2659" t="s">
        <v>102</v>
      </c>
    </row>
    <row r="2660" spans="1:1" x14ac:dyDescent="0.2">
      <c r="A2660" t="s">
        <v>102</v>
      </c>
    </row>
    <row r="2661" spans="1:1" x14ac:dyDescent="0.2">
      <c r="A2661" t="s">
        <v>102</v>
      </c>
    </row>
    <row r="2662" spans="1:1" x14ac:dyDescent="0.2">
      <c r="A2662" t="s">
        <v>102</v>
      </c>
    </row>
    <row r="2663" spans="1:1" x14ac:dyDescent="0.2">
      <c r="A2663" t="s">
        <v>102</v>
      </c>
    </row>
    <row r="2664" spans="1:1" x14ac:dyDescent="0.2">
      <c r="A2664" t="s">
        <v>102</v>
      </c>
    </row>
    <row r="2665" spans="1:1" x14ac:dyDescent="0.2">
      <c r="A2665" t="s">
        <v>102</v>
      </c>
    </row>
    <row r="2666" spans="1:1" x14ac:dyDescent="0.2">
      <c r="A2666" t="s">
        <v>102</v>
      </c>
    </row>
    <row r="2667" spans="1:1" x14ac:dyDescent="0.2">
      <c r="A2667" t="s">
        <v>102</v>
      </c>
    </row>
    <row r="2668" spans="1:1" x14ac:dyDescent="0.2">
      <c r="A2668" t="s">
        <v>102</v>
      </c>
    </row>
    <row r="2669" spans="1:1" x14ac:dyDescent="0.2">
      <c r="A2669" t="s">
        <v>102</v>
      </c>
    </row>
    <row r="2670" spans="1:1" x14ac:dyDescent="0.2">
      <c r="A2670" t="s">
        <v>102</v>
      </c>
    </row>
    <row r="2671" spans="1:1" x14ac:dyDescent="0.2">
      <c r="A2671" t="s">
        <v>102</v>
      </c>
    </row>
    <row r="2672" spans="1:1" x14ac:dyDescent="0.2">
      <c r="A2672" t="s">
        <v>102</v>
      </c>
    </row>
    <row r="2673" spans="1:1" x14ac:dyDescent="0.2">
      <c r="A2673" t="s">
        <v>102</v>
      </c>
    </row>
    <row r="2674" spans="1:1" x14ac:dyDescent="0.2">
      <c r="A2674" t="s">
        <v>102</v>
      </c>
    </row>
    <row r="2675" spans="1:1" x14ac:dyDescent="0.2">
      <c r="A2675" t="s">
        <v>102</v>
      </c>
    </row>
    <row r="2676" spans="1:1" x14ac:dyDescent="0.2">
      <c r="A2676" t="s">
        <v>102</v>
      </c>
    </row>
    <row r="2677" spans="1:1" x14ac:dyDescent="0.2">
      <c r="A2677" t="s">
        <v>102</v>
      </c>
    </row>
    <row r="2678" spans="1:1" x14ac:dyDescent="0.2">
      <c r="A2678" t="s">
        <v>102</v>
      </c>
    </row>
    <row r="2679" spans="1:1" x14ac:dyDescent="0.2">
      <c r="A2679" t="s">
        <v>102</v>
      </c>
    </row>
    <row r="2680" spans="1:1" x14ac:dyDescent="0.2">
      <c r="A2680" t="s">
        <v>102</v>
      </c>
    </row>
    <row r="2681" spans="1:1" x14ac:dyDescent="0.2">
      <c r="A2681" t="s">
        <v>102</v>
      </c>
    </row>
    <row r="2682" spans="1:1" x14ac:dyDescent="0.2">
      <c r="A2682" t="s">
        <v>102</v>
      </c>
    </row>
    <row r="2683" spans="1:1" x14ac:dyDescent="0.2">
      <c r="A2683" t="s">
        <v>102</v>
      </c>
    </row>
    <row r="2684" spans="1:1" x14ac:dyDescent="0.2">
      <c r="A2684" t="s">
        <v>102</v>
      </c>
    </row>
    <row r="2685" spans="1:1" x14ac:dyDescent="0.2">
      <c r="A2685" t="s">
        <v>102</v>
      </c>
    </row>
    <row r="2686" spans="1:1" x14ac:dyDescent="0.2">
      <c r="A2686" t="s">
        <v>102</v>
      </c>
    </row>
    <row r="2687" spans="1:1" x14ac:dyDescent="0.2">
      <c r="A2687" t="s">
        <v>102</v>
      </c>
    </row>
    <row r="2688" spans="1:1" x14ac:dyDescent="0.2">
      <c r="A2688" t="s">
        <v>102</v>
      </c>
    </row>
    <row r="2689" spans="1:1" x14ac:dyDescent="0.2">
      <c r="A2689" t="s">
        <v>102</v>
      </c>
    </row>
    <row r="2690" spans="1:1" x14ac:dyDescent="0.2">
      <c r="A2690" t="s">
        <v>102</v>
      </c>
    </row>
    <row r="2691" spans="1:1" x14ac:dyDescent="0.2">
      <c r="A2691" t="s">
        <v>102</v>
      </c>
    </row>
    <row r="2692" spans="1:1" x14ac:dyDescent="0.2">
      <c r="A2692" t="s">
        <v>102</v>
      </c>
    </row>
    <row r="2693" spans="1:1" x14ac:dyDescent="0.2">
      <c r="A2693" t="s">
        <v>102</v>
      </c>
    </row>
    <row r="2694" spans="1:1" x14ac:dyDescent="0.2">
      <c r="A2694" t="s">
        <v>102</v>
      </c>
    </row>
    <row r="2695" spans="1:1" x14ac:dyDescent="0.2">
      <c r="A2695" t="s">
        <v>102</v>
      </c>
    </row>
    <row r="2696" spans="1:1" x14ac:dyDescent="0.2">
      <c r="A2696" t="s">
        <v>102</v>
      </c>
    </row>
    <row r="2697" spans="1:1" x14ac:dyDescent="0.2">
      <c r="A2697" t="s">
        <v>102</v>
      </c>
    </row>
    <row r="2698" spans="1:1" x14ac:dyDescent="0.2">
      <c r="A2698" t="s">
        <v>102</v>
      </c>
    </row>
    <row r="2699" spans="1:1" x14ac:dyDescent="0.2">
      <c r="A2699" t="s">
        <v>102</v>
      </c>
    </row>
    <row r="2700" spans="1:1" x14ac:dyDescent="0.2">
      <c r="A2700" t="s">
        <v>102</v>
      </c>
    </row>
    <row r="2701" spans="1:1" x14ac:dyDescent="0.2">
      <c r="A2701" t="s">
        <v>102</v>
      </c>
    </row>
    <row r="2702" spans="1:1" x14ac:dyDescent="0.2">
      <c r="A2702" t="s">
        <v>102</v>
      </c>
    </row>
    <row r="2703" spans="1:1" x14ac:dyDescent="0.2">
      <c r="A2703" t="s">
        <v>102</v>
      </c>
    </row>
    <row r="2704" spans="1:1" x14ac:dyDescent="0.2">
      <c r="A2704" t="s">
        <v>102</v>
      </c>
    </row>
    <row r="2705" spans="1:1" x14ac:dyDescent="0.2">
      <c r="A2705" t="s">
        <v>102</v>
      </c>
    </row>
    <row r="2706" spans="1:1" x14ac:dyDescent="0.2">
      <c r="A2706" t="s">
        <v>102</v>
      </c>
    </row>
    <row r="2707" spans="1:1" x14ac:dyDescent="0.2">
      <c r="A2707" t="s">
        <v>102</v>
      </c>
    </row>
    <row r="2708" spans="1:1" x14ac:dyDescent="0.2">
      <c r="A2708" t="s">
        <v>102</v>
      </c>
    </row>
    <row r="2709" spans="1:1" x14ac:dyDescent="0.2">
      <c r="A2709" t="s">
        <v>102</v>
      </c>
    </row>
    <row r="2710" spans="1:1" x14ac:dyDescent="0.2">
      <c r="A2710" t="s">
        <v>102</v>
      </c>
    </row>
    <row r="2711" spans="1:1" x14ac:dyDescent="0.2">
      <c r="A2711" t="s">
        <v>102</v>
      </c>
    </row>
    <row r="2712" spans="1:1" x14ac:dyDescent="0.2">
      <c r="A2712" t="s">
        <v>102</v>
      </c>
    </row>
    <row r="2713" spans="1:1" x14ac:dyDescent="0.2">
      <c r="A2713" t="s">
        <v>102</v>
      </c>
    </row>
    <row r="2714" spans="1:1" x14ac:dyDescent="0.2">
      <c r="A2714" t="s">
        <v>102</v>
      </c>
    </row>
    <row r="2715" spans="1:1" x14ac:dyDescent="0.2">
      <c r="A2715" t="s">
        <v>102</v>
      </c>
    </row>
    <row r="2716" spans="1:1" x14ac:dyDescent="0.2">
      <c r="A2716" t="s">
        <v>102</v>
      </c>
    </row>
    <row r="2717" spans="1:1" x14ac:dyDescent="0.2">
      <c r="A2717" t="s">
        <v>102</v>
      </c>
    </row>
    <row r="2718" spans="1:1" x14ac:dyDescent="0.2">
      <c r="A2718" t="s">
        <v>102</v>
      </c>
    </row>
    <row r="2719" spans="1:1" x14ac:dyDescent="0.2">
      <c r="A2719" t="s">
        <v>102</v>
      </c>
    </row>
    <row r="2720" spans="1:1" x14ac:dyDescent="0.2">
      <c r="A2720" t="s">
        <v>102</v>
      </c>
    </row>
    <row r="2721" spans="1:1" x14ac:dyDescent="0.2">
      <c r="A2721" t="s">
        <v>102</v>
      </c>
    </row>
    <row r="2722" spans="1:1" x14ac:dyDescent="0.2">
      <c r="A2722" t="s">
        <v>102</v>
      </c>
    </row>
    <row r="2723" spans="1:1" x14ac:dyDescent="0.2">
      <c r="A2723" t="s">
        <v>102</v>
      </c>
    </row>
    <row r="2724" spans="1:1" x14ac:dyDescent="0.2">
      <c r="A2724" t="s">
        <v>102</v>
      </c>
    </row>
    <row r="2725" spans="1:1" x14ac:dyDescent="0.2">
      <c r="A2725" t="s">
        <v>102</v>
      </c>
    </row>
    <row r="2726" spans="1:1" x14ac:dyDescent="0.2">
      <c r="A2726" t="s">
        <v>102</v>
      </c>
    </row>
    <row r="2727" spans="1:1" x14ac:dyDescent="0.2">
      <c r="A2727" t="s">
        <v>102</v>
      </c>
    </row>
    <row r="2728" spans="1:1" x14ac:dyDescent="0.2">
      <c r="A2728" t="s">
        <v>102</v>
      </c>
    </row>
    <row r="2729" spans="1:1" x14ac:dyDescent="0.2">
      <c r="A2729" t="s">
        <v>102</v>
      </c>
    </row>
    <row r="2730" spans="1:1" x14ac:dyDescent="0.2">
      <c r="A2730" t="s">
        <v>102</v>
      </c>
    </row>
    <row r="2731" spans="1:1" x14ac:dyDescent="0.2">
      <c r="A2731" t="s">
        <v>102</v>
      </c>
    </row>
    <row r="2732" spans="1:1" x14ac:dyDescent="0.2">
      <c r="A2732" t="s">
        <v>102</v>
      </c>
    </row>
    <row r="2733" spans="1:1" x14ac:dyDescent="0.2">
      <c r="A2733" t="s">
        <v>102</v>
      </c>
    </row>
    <row r="2734" spans="1:1" x14ac:dyDescent="0.2">
      <c r="A2734" t="s">
        <v>102</v>
      </c>
    </row>
    <row r="2735" spans="1:1" x14ac:dyDescent="0.2">
      <c r="A2735" t="s">
        <v>102</v>
      </c>
    </row>
    <row r="2736" spans="1:1" x14ac:dyDescent="0.2">
      <c r="A2736" t="s">
        <v>102</v>
      </c>
    </row>
    <row r="2737" spans="1:1" x14ac:dyDescent="0.2">
      <c r="A2737" t="s">
        <v>102</v>
      </c>
    </row>
    <row r="2738" spans="1:1" x14ac:dyDescent="0.2">
      <c r="A2738" t="s">
        <v>102</v>
      </c>
    </row>
    <row r="2739" spans="1:1" x14ac:dyDescent="0.2">
      <c r="A2739" t="s">
        <v>102</v>
      </c>
    </row>
    <row r="2740" spans="1:1" x14ac:dyDescent="0.2">
      <c r="A2740" t="s">
        <v>102</v>
      </c>
    </row>
    <row r="2741" spans="1:1" x14ac:dyDescent="0.2">
      <c r="A2741" t="s">
        <v>102</v>
      </c>
    </row>
    <row r="2742" spans="1:1" x14ac:dyDescent="0.2">
      <c r="A2742" t="s">
        <v>102</v>
      </c>
    </row>
    <row r="2743" spans="1:1" x14ac:dyDescent="0.2">
      <c r="A2743" t="s">
        <v>102</v>
      </c>
    </row>
    <row r="2744" spans="1:1" x14ac:dyDescent="0.2">
      <c r="A2744" t="s">
        <v>102</v>
      </c>
    </row>
    <row r="2745" spans="1:1" x14ac:dyDescent="0.2">
      <c r="A2745" t="s">
        <v>102</v>
      </c>
    </row>
    <row r="2746" spans="1:1" x14ac:dyDescent="0.2">
      <c r="A2746" t="s">
        <v>102</v>
      </c>
    </row>
    <row r="2747" spans="1:1" x14ac:dyDescent="0.2">
      <c r="A2747" t="s">
        <v>102</v>
      </c>
    </row>
    <row r="2748" spans="1:1" x14ac:dyDescent="0.2">
      <c r="A2748" t="s">
        <v>102</v>
      </c>
    </row>
    <row r="2749" spans="1:1" x14ac:dyDescent="0.2">
      <c r="A2749" t="s">
        <v>102</v>
      </c>
    </row>
    <row r="2750" spans="1:1" x14ac:dyDescent="0.2">
      <c r="A2750" t="s">
        <v>102</v>
      </c>
    </row>
    <row r="2751" spans="1:1" x14ac:dyDescent="0.2">
      <c r="A2751" t="s">
        <v>102</v>
      </c>
    </row>
    <row r="2752" spans="1:1" x14ac:dyDescent="0.2">
      <c r="A2752" t="s">
        <v>102</v>
      </c>
    </row>
    <row r="2753" spans="1:1" x14ac:dyDescent="0.2">
      <c r="A2753" t="s">
        <v>102</v>
      </c>
    </row>
    <row r="2754" spans="1:1" x14ac:dyDescent="0.2">
      <c r="A2754" t="s">
        <v>102</v>
      </c>
    </row>
    <row r="2755" spans="1:1" x14ac:dyDescent="0.2">
      <c r="A2755" t="s">
        <v>102</v>
      </c>
    </row>
    <row r="2756" spans="1:1" x14ac:dyDescent="0.2">
      <c r="A2756" t="s">
        <v>102</v>
      </c>
    </row>
    <row r="2757" spans="1:1" x14ac:dyDescent="0.2">
      <c r="A2757" t="s">
        <v>102</v>
      </c>
    </row>
    <row r="2758" spans="1:1" x14ac:dyDescent="0.2">
      <c r="A2758" t="s">
        <v>102</v>
      </c>
    </row>
    <row r="2759" spans="1:1" x14ac:dyDescent="0.2">
      <c r="A2759" t="s">
        <v>102</v>
      </c>
    </row>
    <row r="2760" spans="1:1" x14ac:dyDescent="0.2">
      <c r="A2760" t="s">
        <v>102</v>
      </c>
    </row>
    <row r="2761" spans="1:1" x14ac:dyDescent="0.2">
      <c r="A2761" t="s">
        <v>102</v>
      </c>
    </row>
    <row r="2762" spans="1:1" x14ac:dyDescent="0.2">
      <c r="A2762" t="s">
        <v>102</v>
      </c>
    </row>
    <row r="2763" spans="1:1" x14ac:dyDescent="0.2">
      <c r="A2763" t="s">
        <v>102</v>
      </c>
    </row>
    <row r="2764" spans="1:1" x14ac:dyDescent="0.2">
      <c r="A2764" t="s">
        <v>102</v>
      </c>
    </row>
    <row r="2765" spans="1:1" x14ac:dyDescent="0.2">
      <c r="A2765" t="s">
        <v>102</v>
      </c>
    </row>
    <row r="2766" spans="1:1" x14ac:dyDescent="0.2">
      <c r="A2766" t="s">
        <v>102</v>
      </c>
    </row>
    <row r="2767" spans="1:1" x14ac:dyDescent="0.2">
      <c r="A2767" t="s">
        <v>102</v>
      </c>
    </row>
    <row r="2768" spans="1:1" x14ac:dyDescent="0.2">
      <c r="A2768" t="s">
        <v>102</v>
      </c>
    </row>
    <row r="2769" spans="1:1" x14ac:dyDescent="0.2">
      <c r="A2769" t="s">
        <v>102</v>
      </c>
    </row>
    <row r="2770" spans="1:1" x14ac:dyDescent="0.2">
      <c r="A2770" t="s">
        <v>102</v>
      </c>
    </row>
    <row r="2771" spans="1:1" x14ac:dyDescent="0.2">
      <c r="A2771" t="s">
        <v>102</v>
      </c>
    </row>
    <row r="2772" spans="1:1" x14ac:dyDescent="0.2">
      <c r="A2772" t="s">
        <v>102</v>
      </c>
    </row>
    <row r="2773" spans="1:1" x14ac:dyDescent="0.2">
      <c r="A2773" t="s">
        <v>102</v>
      </c>
    </row>
    <row r="2774" spans="1:1" x14ac:dyDescent="0.2">
      <c r="A2774" t="s">
        <v>102</v>
      </c>
    </row>
    <row r="2775" spans="1:1" x14ac:dyDescent="0.2">
      <c r="A2775" t="s">
        <v>102</v>
      </c>
    </row>
    <row r="2776" spans="1:1" x14ac:dyDescent="0.2">
      <c r="A2776" t="s">
        <v>102</v>
      </c>
    </row>
    <row r="2777" spans="1:1" x14ac:dyDescent="0.2">
      <c r="A2777" t="s">
        <v>102</v>
      </c>
    </row>
    <row r="2778" spans="1:1" x14ac:dyDescent="0.2">
      <c r="A2778" t="s">
        <v>102</v>
      </c>
    </row>
    <row r="2779" spans="1:1" x14ac:dyDescent="0.2">
      <c r="A2779" t="s">
        <v>102</v>
      </c>
    </row>
    <row r="2780" spans="1:1" x14ac:dyDescent="0.2">
      <c r="A2780" t="s">
        <v>102</v>
      </c>
    </row>
    <row r="2781" spans="1:1" x14ac:dyDescent="0.2">
      <c r="A2781" t="s">
        <v>102</v>
      </c>
    </row>
    <row r="2782" spans="1:1" x14ac:dyDescent="0.2">
      <c r="A2782" t="s">
        <v>102</v>
      </c>
    </row>
    <row r="2783" spans="1:1" x14ac:dyDescent="0.2">
      <c r="A2783" t="s">
        <v>102</v>
      </c>
    </row>
    <row r="2784" spans="1:1" x14ac:dyDescent="0.2">
      <c r="A2784" t="s">
        <v>102</v>
      </c>
    </row>
    <row r="2785" spans="1:1" x14ac:dyDescent="0.2">
      <c r="A2785" t="s">
        <v>102</v>
      </c>
    </row>
    <row r="2786" spans="1:1" x14ac:dyDescent="0.2">
      <c r="A2786" t="s">
        <v>102</v>
      </c>
    </row>
    <row r="2787" spans="1:1" x14ac:dyDescent="0.2">
      <c r="A2787" t="s">
        <v>102</v>
      </c>
    </row>
    <row r="2788" spans="1:1" x14ac:dyDescent="0.2">
      <c r="A2788" t="s">
        <v>102</v>
      </c>
    </row>
    <row r="2789" spans="1:1" x14ac:dyDescent="0.2">
      <c r="A2789" t="s">
        <v>102</v>
      </c>
    </row>
    <row r="2790" spans="1:1" x14ac:dyDescent="0.2">
      <c r="A2790" t="s">
        <v>102</v>
      </c>
    </row>
    <row r="2791" spans="1:1" x14ac:dyDescent="0.2">
      <c r="A2791" t="s">
        <v>102</v>
      </c>
    </row>
    <row r="2792" spans="1:1" x14ac:dyDescent="0.2">
      <c r="A2792" t="s">
        <v>102</v>
      </c>
    </row>
    <row r="2793" spans="1:1" x14ac:dyDescent="0.2">
      <c r="A2793" t="s">
        <v>102</v>
      </c>
    </row>
    <row r="2794" spans="1:1" x14ac:dyDescent="0.2">
      <c r="A2794" t="s">
        <v>102</v>
      </c>
    </row>
    <row r="2795" spans="1:1" x14ac:dyDescent="0.2">
      <c r="A2795" t="s">
        <v>102</v>
      </c>
    </row>
    <row r="2796" spans="1:1" x14ac:dyDescent="0.2">
      <c r="A2796" t="s">
        <v>102</v>
      </c>
    </row>
    <row r="2797" spans="1:1" x14ac:dyDescent="0.2">
      <c r="A2797" t="s">
        <v>102</v>
      </c>
    </row>
    <row r="2798" spans="1:1" x14ac:dyDescent="0.2">
      <c r="A2798" t="s">
        <v>102</v>
      </c>
    </row>
    <row r="2799" spans="1:1" x14ac:dyDescent="0.2">
      <c r="A2799" t="s">
        <v>102</v>
      </c>
    </row>
    <row r="2800" spans="1:1" x14ac:dyDescent="0.2">
      <c r="A2800" t="s">
        <v>102</v>
      </c>
    </row>
    <row r="2801" spans="1:1" x14ac:dyDescent="0.2">
      <c r="A2801" t="s">
        <v>102</v>
      </c>
    </row>
    <row r="2802" spans="1:1" x14ac:dyDescent="0.2">
      <c r="A2802" t="s">
        <v>102</v>
      </c>
    </row>
    <row r="2803" spans="1:1" x14ac:dyDescent="0.2">
      <c r="A2803" t="s">
        <v>102</v>
      </c>
    </row>
    <row r="2804" spans="1:1" x14ac:dyDescent="0.2">
      <c r="A2804" t="s">
        <v>102</v>
      </c>
    </row>
    <row r="2805" spans="1:1" x14ac:dyDescent="0.2">
      <c r="A2805" t="s">
        <v>102</v>
      </c>
    </row>
    <row r="2806" spans="1:1" x14ac:dyDescent="0.2">
      <c r="A2806" t="s">
        <v>102</v>
      </c>
    </row>
    <row r="2807" spans="1:1" x14ac:dyDescent="0.2">
      <c r="A2807" t="s">
        <v>102</v>
      </c>
    </row>
    <row r="2808" spans="1:1" x14ac:dyDescent="0.2">
      <c r="A2808" t="s">
        <v>102</v>
      </c>
    </row>
    <row r="2809" spans="1:1" x14ac:dyDescent="0.2">
      <c r="A2809" t="s">
        <v>102</v>
      </c>
    </row>
    <row r="2810" spans="1:1" x14ac:dyDescent="0.2">
      <c r="A2810" t="s">
        <v>102</v>
      </c>
    </row>
    <row r="2811" spans="1:1" x14ac:dyDescent="0.2">
      <c r="A2811" t="s">
        <v>102</v>
      </c>
    </row>
    <row r="2812" spans="1:1" x14ac:dyDescent="0.2">
      <c r="A2812" t="s">
        <v>102</v>
      </c>
    </row>
    <row r="2813" spans="1:1" x14ac:dyDescent="0.2">
      <c r="A2813" t="s">
        <v>102</v>
      </c>
    </row>
    <row r="2814" spans="1:1" x14ac:dyDescent="0.2">
      <c r="A2814" t="s">
        <v>102</v>
      </c>
    </row>
    <row r="2815" spans="1:1" x14ac:dyDescent="0.2">
      <c r="A2815" t="s">
        <v>102</v>
      </c>
    </row>
    <row r="2816" spans="1:1" x14ac:dyDescent="0.2">
      <c r="A2816" t="s">
        <v>102</v>
      </c>
    </row>
    <row r="2817" spans="1:1" x14ac:dyDescent="0.2">
      <c r="A2817" t="s">
        <v>102</v>
      </c>
    </row>
    <row r="2818" spans="1:1" x14ac:dyDescent="0.2">
      <c r="A2818" t="s">
        <v>102</v>
      </c>
    </row>
    <row r="2819" spans="1:1" x14ac:dyDescent="0.2">
      <c r="A2819" t="s">
        <v>102</v>
      </c>
    </row>
    <row r="2820" spans="1:1" x14ac:dyDescent="0.2">
      <c r="A2820" t="s">
        <v>102</v>
      </c>
    </row>
    <row r="2821" spans="1:1" x14ac:dyDescent="0.2">
      <c r="A2821" t="s">
        <v>102</v>
      </c>
    </row>
    <row r="2822" spans="1:1" x14ac:dyDescent="0.2">
      <c r="A2822" t="s">
        <v>102</v>
      </c>
    </row>
    <row r="2823" spans="1:1" x14ac:dyDescent="0.2">
      <c r="A2823" t="s">
        <v>102</v>
      </c>
    </row>
    <row r="2824" spans="1:1" x14ac:dyDescent="0.2">
      <c r="A2824" t="s">
        <v>102</v>
      </c>
    </row>
    <row r="2825" spans="1:1" x14ac:dyDescent="0.2">
      <c r="A2825" t="s">
        <v>102</v>
      </c>
    </row>
    <row r="2826" spans="1:1" x14ac:dyDescent="0.2">
      <c r="A2826" t="s">
        <v>102</v>
      </c>
    </row>
    <row r="2827" spans="1:1" x14ac:dyDescent="0.2">
      <c r="A2827" t="s">
        <v>102</v>
      </c>
    </row>
    <row r="2828" spans="1:1" x14ac:dyDescent="0.2">
      <c r="A2828" t="s">
        <v>102</v>
      </c>
    </row>
    <row r="2829" spans="1:1" x14ac:dyDescent="0.2">
      <c r="A2829" t="s">
        <v>102</v>
      </c>
    </row>
    <row r="2830" spans="1:1" x14ac:dyDescent="0.2">
      <c r="A2830" t="s">
        <v>102</v>
      </c>
    </row>
    <row r="2831" spans="1:1" x14ac:dyDescent="0.2">
      <c r="A2831" t="s">
        <v>102</v>
      </c>
    </row>
    <row r="2832" spans="1:1" x14ac:dyDescent="0.2">
      <c r="A2832" t="s">
        <v>102</v>
      </c>
    </row>
    <row r="2833" spans="1:1" x14ac:dyDescent="0.2">
      <c r="A2833" t="s">
        <v>102</v>
      </c>
    </row>
    <row r="2834" spans="1:1" x14ac:dyDescent="0.2">
      <c r="A2834" t="s">
        <v>102</v>
      </c>
    </row>
    <row r="2835" spans="1:1" x14ac:dyDescent="0.2">
      <c r="A2835" t="s">
        <v>102</v>
      </c>
    </row>
    <row r="2836" spans="1:1" x14ac:dyDescent="0.2">
      <c r="A2836" t="s">
        <v>102</v>
      </c>
    </row>
    <row r="2837" spans="1:1" x14ac:dyDescent="0.2">
      <c r="A2837" t="s">
        <v>102</v>
      </c>
    </row>
    <row r="2838" spans="1:1" x14ac:dyDescent="0.2">
      <c r="A2838" t="s">
        <v>102</v>
      </c>
    </row>
    <row r="2839" spans="1:1" x14ac:dyDescent="0.2">
      <c r="A2839" t="s">
        <v>102</v>
      </c>
    </row>
    <row r="2840" spans="1:1" x14ac:dyDescent="0.2">
      <c r="A2840" t="s">
        <v>102</v>
      </c>
    </row>
    <row r="2841" spans="1:1" x14ac:dyDescent="0.2">
      <c r="A2841" t="s">
        <v>102</v>
      </c>
    </row>
    <row r="2842" spans="1:1" x14ac:dyDescent="0.2">
      <c r="A2842" t="s">
        <v>102</v>
      </c>
    </row>
    <row r="2843" spans="1:1" x14ac:dyDescent="0.2">
      <c r="A2843" t="s">
        <v>102</v>
      </c>
    </row>
    <row r="2844" spans="1:1" x14ac:dyDescent="0.2">
      <c r="A2844" t="s">
        <v>102</v>
      </c>
    </row>
    <row r="2845" spans="1:1" x14ac:dyDescent="0.2">
      <c r="A2845" t="s">
        <v>102</v>
      </c>
    </row>
    <row r="2846" spans="1:1" x14ac:dyDescent="0.2">
      <c r="A2846" t="s">
        <v>102</v>
      </c>
    </row>
    <row r="2847" spans="1:1" x14ac:dyDescent="0.2">
      <c r="A2847" t="s">
        <v>102</v>
      </c>
    </row>
    <row r="2848" spans="1:1" x14ac:dyDescent="0.2">
      <c r="A2848" t="s">
        <v>102</v>
      </c>
    </row>
    <row r="2849" spans="1:1" x14ac:dyDescent="0.2">
      <c r="A2849" t="s">
        <v>102</v>
      </c>
    </row>
    <row r="2850" spans="1:1" x14ac:dyDescent="0.2">
      <c r="A2850" t="s">
        <v>102</v>
      </c>
    </row>
    <row r="2851" spans="1:1" x14ac:dyDescent="0.2">
      <c r="A2851" t="s">
        <v>102</v>
      </c>
    </row>
    <row r="2852" spans="1:1" x14ac:dyDescent="0.2">
      <c r="A2852" t="s">
        <v>102</v>
      </c>
    </row>
    <row r="2853" spans="1:1" x14ac:dyDescent="0.2">
      <c r="A2853" t="s">
        <v>102</v>
      </c>
    </row>
    <row r="2854" spans="1:1" x14ac:dyDescent="0.2">
      <c r="A2854" t="s">
        <v>102</v>
      </c>
    </row>
    <row r="2855" spans="1:1" x14ac:dyDescent="0.2">
      <c r="A2855" t="s">
        <v>102</v>
      </c>
    </row>
    <row r="2856" spans="1:1" x14ac:dyDescent="0.2">
      <c r="A2856" t="s">
        <v>102</v>
      </c>
    </row>
    <row r="2857" spans="1:1" x14ac:dyDescent="0.2">
      <c r="A2857" t="s">
        <v>102</v>
      </c>
    </row>
    <row r="2858" spans="1:1" x14ac:dyDescent="0.2">
      <c r="A2858" t="s">
        <v>102</v>
      </c>
    </row>
    <row r="2859" spans="1:1" x14ac:dyDescent="0.2">
      <c r="A2859" t="s">
        <v>102</v>
      </c>
    </row>
    <row r="2860" spans="1:1" x14ac:dyDescent="0.2">
      <c r="A2860" t="s">
        <v>102</v>
      </c>
    </row>
    <row r="2861" spans="1:1" x14ac:dyDescent="0.2">
      <c r="A2861" t="s">
        <v>102</v>
      </c>
    </row>
    <row r="2862" spans="1:1" x14ac:dyDescent="0.2">
      <c r="A2862" t="s">
        <v>102</v>
      </c>
    </row>
    <row r="2863" spans="1:1" x14ac:dyDescent="0.2">
      <c r="A2863" t="s">
        <v>102</v>
      </c>
    </row>
    <row r="2864" spans="1:1" x14ac:dyDescent="0.2">
      <c r="A2864" t="s">
        <v>102</v>
      </c>
    </row>
    <row r="2865" spans="1:1" x14ac:dyDescent="0.2">
      <c r="A2865" t="s">
        <v>102</v>
      </c>
    </row>
    <row r="2866" spans="1:1" x14ac:dyDescent="0.2">
      <c r="A2866" t="s">
        <v>102</v>
      </c>
    </row>
    <row r="2867" spans="1:1" x14ac:dyDescent="0.2">
      <c r="A2867" t="s">
        <v>102</v>
      </c>
    </row>
    <row r="2868" spans="1:1" x14ac:dyDescent="0.2">
      <c r="A2868" t="s">
        <v>102</v>
      </c>
    </row>
    <row r="2869" spans="1:1" x14ac:dyDescent="0.2">
      <c r="A2869" t="s">
        <v>102</v>
      </c>
    </row>
    <row r="2870" spans="1:1" x14ac:dyDescent="0.2">
      <c r="A2870" t="s">
        <v>102</v>
      </c>
    </row>
    <row r="2871" spans="1:1" x14ac:dyDescent="0.2">
      <c r="A2871" t="s">
        <v>102</v>
      </c>
    </row>
    <row r="2872" spans="1:1" x14ac:dyDescent="0.2">
      <c r="A2872" t="s">
        <v>102</v>
      </c>
    </row>
    <row r="2873" spans="1:1" x14ac:dyDescent="0.2">
      <c r="A2873" t="s">
        <v>102</v>
      </c>
    </row>
    <row r="2874" spans="1:1" x14ac:dyDescent="0.2">
      <c r="A2874" t="s">
        <v>102</v>
      </c>
    </row>
    <row r="2875" spans="1:1" x14ac:dyDescent="0.2">
      <c r="A2875" t="s">
        <v>102</v>
      </c>
    </row>
    <row r="2876" spans="1:1" x14ac:dyDescent="0.2">
      <c r="A2876" t="s">
        <v>102</v>
      </c>
    </row>
    <row r="2877" spans="1:1" x14ac:dyDescent="0.2">
      <c r="A2877" t="s">
        <v>102</v>
      </c>
    </row>
    <row r="2878" spans="1:1" x14ac:dyDescent="0.2">
      <c r="A2878" t="s">
        <v>102</v>
      </c>
    </row>
    <row r="2879" spans="1:1" x14ac:dyDescent="0.2">
      <c r="A2879" t="s">
        <v>102</v>
      </c>
    </row>
    <row r="2880" spans="1:1" x14ac:dyDescent="0.2">
      <c r="A2880" t="s">
        <v>102</v>
      </c>
    </row>
    <row r="2881" spans="1:1" x14ac:dyDescent="0.2">
      <c r="A2881" t="s">
        <v>102</v>
      </c>
    </row>
    <row r="2882" spans="1:1" x14ac:dyDescent="0.2">
      <c r="A2882" t="s">
        <v>102</v>
      </c>
    </row>
    <row r="2883" spans="1:1" x14ac:dyDescent="0.2">
      <c r="A2883" t="s">
        <v>102</v>
      </c>
    </row>
    <row r="2884" spans="1:1" x14ac:dyDescent="0.2">
      <c r="A2884" t="s">
        <v>102</v>
      </c>
    </row>
    <row r="2885" spans="1:1" x14ac:dyDescent="0.2">
      <c r="A2885" t="s">
        <v>102</v>
      </c>
    </row>
    <row r="2886" spans="1:1" x14ac:dyDescent="0.2">
      <c r="A2886" t="s">
        <v>102</v>
      </c>
    </row>
    <row r="2887" spans="1:1" x14ac:dyDescent="0.2">
      <c r="A2887" t="s">
        <v>102</v>
      </c>
    </row>
    <row r="2888" spans="1:1" x14ac:dyDescent="0.2">
      <c r="A2888" t="s">
        <v>102</v>
      </c>
    </row>
    <row r="2889" spans="1:1" x14ac:dyDescent="0.2">
      <c r="A2889" t="s">
        <v>102</v>
      </c>
    </row>
    <row r="2890" spans="1:1" x14ac:dyDescent="0.2">
      <c r="A2890" t="s">
        <v>102</v>
      </c>
    </row>
    <row r="2891" spans="1:1" x14ac:dyDescent="0.2">
      <c r="A2891" t="s">
        <v>102</v>
      </c>
    </row>
    <row r="2892" spans="1:1" x14ac:dyDescent="0.2">
      <c r="A2892" t="s">
        <v>102</v>
      </c>
    </row>
    <row r="2893" spans="1:1" x14ac:dyDescent="0.2">
      <c r="A2893" t="s">
        <v>102</v>
      </c>
    </row>
    <row r="2894" spans="1:1" x14ac:dyDescent="0.2">
      <c r="A2894" t="s">
        <v>102</v>
      </c>
    </row>
    <row r="2895" spans="1:1" x14ac:dyDescent="0.2">
      <c r="A2895" t="s">
        <v>102</v>
      </c>
    </row>
    <row r="2896" spans="1:1" x14ac:dyDescent="0.2">
      <c r="A2896" t="s">
        <v>102</v>
      </c>
    </row>
    <row r="2897" spans="1:1" x14ac:dyDescent="0.2">
      <c r="A2897" t="s">
        <v>102</v>
      </c>
    </row>
    <row r="2898" spans="1:1" x14ac:dyDescent="0.2">
      <c r="A2898" t="s">
        <v>102</v>
      </c>
    </row>
    <row r="2899" spans="1:1" x14ac:dyDescent="0.2">
      <c r="A2899" t="s">
        <v>102</v>
      </c>
    </row>
    <row r="2900" spans="1:1" x14ac:dyDescent="0.2">
      <c r="A2900" t="s">
        <v>102</v>
      </c>
    </row>
    <row r="2901" spans="1:1" x14ac:dyDescent="0.2">
      <c r="A2901" t="s">
        <v>102</v>
      </c>
    </row>
    <row r="2902" spans="1:1" x14ac:dyDescent="0.2">
      <c r="A2902" t="s">
        <v>102</v>
      </c>
    </row>
    <row r="2903" spans="1:1" x14ac:dyDescent="0.2">
      <c r="A2903" t="s">
        <v>102</v>
      </c>
    </row>
    <row r="2904" spans="1:1" x14ac:dyDescent="0.2">
      <c r="A2904" t="s">
        <v>102</v>
      </c>
    </row>
    <row r="2905" spans="1:1" x14ac:dyDescent="0.2">
      <c r="A2905" t="s">
        <v>102</v>
      </c>
    </row>
    <row r="2906" spans="1:1" x14ac:dyDescent="0.2">
      <c r="A2906" t="s">
        <v>102</v>
      </c>
    </row>
    <row r="2907" spans="1:1" x14ac:dyDescent="0.2">
      <c r="A2907" t="s">
        <v>102</v>
      </c>
    </row>
    <row r="2908" spans="1:1" x14ac:dyDescent="0.2">
      <c r="A2908" t="s">
        <v>102</v>
      </c>
    </row>
    <row r="2909" spans="1:1" x14ac:dyDescent="0.2">
      <c r="A2909" t="s">
        <v>102</v>
      </c>
    </row>
    <row r="2910" spans="1:1" x14ac:dyDescent="0.2">
      <c r="A2910" t="s">
        <v>102</v>
      </c>
    </row>
    <row r="2911" spans="1:1" x14ac:dyDescent="0.2">
      <c r="A2911" t="s">
        <v>102</v>
      </c>
    </row>
    <row r="2912" spans="1:1" x14ac:dyDescent="0.2">
      <c r="A2912" t="s">
        <v>102</v>
      </c>
    </row>
    <row r="2913" spans="1:1" x14ac:dyDescent="0.2">
      <c r="A2913" t="s">
        <v>102</v>
      </c>
    </row>
    <row r="2914" spans="1:1" x14ac:dyDescent="0.2">
      <c r="A2914" t="s">
        <v>102</v>
      </c>
    </row>
    <row r="2915" spans="1:1" x14ac:dyDescent="0.2">
      <c r="A2915" t="s">
        <v>102</v>
      </c>
    </row>
    <row r="2916" spans="1:1" x14ac:dyDescent="0.2">
      <c r="A2916" t="s">
        <v>102</v>
      </c>
    </row>
    <row r="2917" spans="1:1" x14ac:dyDescent="0.2">
      <c r="A2917" t="s">
        <v>102</v>
      </c>
    </row>
    <row r="2918" spans="1:1" x14ac:dyDescent="0.2">
      <c r="A2918" t="s">
        <v>102</v>
      </c>
    </row>
    <row r="2919" spans="1:1" x14ac:dyDescent="0.2">
      <c r="A2919" t="s">
        <v>102</v>
      </c>
    </row>
    <row r="2920" spans="1:1" x14ac:dyDescent="0.2">
      <c r="A2920" t="s">
        <v>102</v>
      </c>
    </row>
    <row r="2921" spans="1:1" x14ac:dyDescent="0.2">
      <c r="A2921" t="s">
        <v>102</v>
      </c>
    </row>
    <row r="2922" spans="1:1" x14ac:dyDescent="0.2">
      <c r="A2922" t="s">
        <v>102</v>
      </c>
    </row>
    <row r="2923" spans="1:1" x14ac:dyDescent="0.2">
      <c r="A2923" t="s">
        <v>102</v>
      </c>
    </row>
    <row r="2924" spans="1:1" x14ac:dyDescent="0.2">
      <c r="A2924" t="s">
        <v>102</v>
      </c>
    </row>
    <row r="2925" spans="1:1" x14ac:dyDescent="0.2">
      <c r="A2925" t="s">
        <v>102</v>
      </c>
    </row>
    <row r="2926" spans="1:1" x14ac:dyDescent="0.2">
      <c r="A2926" t="s">
        <v>102</v>
      </c>
    </row>
    <row r="2927" spans="1:1" x14ac:dyDescent="0.2">
      <c r="A2927" t="s">
        <v>102</v>
      </c>
    </row>
    <row r="2928" spans="1:1" x14ac:dyDescent="0.2">
      <c r="A2928" t="s">
        <v>102</v>
      </c>
    </row>
    <row r="2929" spans="1:1" x14ac:dyDescent="0.2">
      <c r="A2929" t="s">
        <v>102</v>
      </c>
    </row>
    <row r="2930" spans="1:1" x14ac:dyDescent="0.2">
      <c r="A2930" t="s">
        <v>102</v>
      </c>
    </row>
    <row r="2931" spans="1:1" x14ac:dyDescent="0.2">
      <c r="A2931" t="s">
        <v>102</v>
      </c>
    </row>
    <row r="2932" spans="1:1" x14ac:dyDescent="0.2">
      <c r="A2932" t="s">
        <v>102</v>
      </c>
    </row>
    <row r="2933" spans="1:1" x14ac:dyDescent="0.2">
      <c r="A2933" t="s">
        <v>102</v>
      </c>
    </row>
    <row r="2934" spans="1:1" x14ac:dyDescent="0.2">
      <c r="A2934" t="s">
        <v>102</v>
      </c>
    </row>
    <row r="2935" spans="1:1" x14ac:dyDescent="0.2">
      <c r="A2935" t="s">
        <v>102</v>
      </c>
    </row>
    <row r="2936" spans="1:1" x14ac:dyDescent="0.2">
      <c r="A2936" t="s">
        <v>102</v>
      </c>
    </row>
    <row r="2937" spans="1:1" x14ac:dyDescent="0.2">
      <c r="A2937" t="s">
        <v>102</v>
      </c>
    </row>
    <row r="2938" spans="1:1" x14ac:dyDescent="0.2">
      <c r="A2938" t="s">
        <v>102</v>
      </c>
    </row>
    <row r="2939" spans="1:1" x14ac:dyDescent="0.2">
      <c r="A2939" t="s">
        <v>102</v>
      </c>
    </row>
    <row r="2940" spans="1:1" x14ac:dyDescent="0.2">
      <c r="A2940" t="s">
        <v>102</v>
      </c>
    </row>
    <row r="2941" spans="1:1" x14ac:dyDescent="0.2">
      <c r="A2941" t="s">
        <v>102</v>
      </c>
    </row>
    <row r="2942" spans="1:1" x14ac:dyDescent="0.2">
      <c r="A2942" t="s">
        <v>102</v>
      </c>
    </row>
    <row r="2943" spans="1:1" x14ac:dyDescent="0.2">
      <c r="A2943" t="s">
        <v>102</v>
      </c>
    </row>
    <row r="2944" spans="1:1" x14ac:dyDescent="0.2">
      <c r="A2944" t="s">
        <v>102</v>
      </c>
    </row>
    <row r="2945" spans="1:1" x14ac:dyDescent="0.2">
      <c r="A2945" t="s">
        <v>102</v>
      </c>
    </row>
    <row r="2946" spans="1:1" x14ac:dyDescent="0.2">
      <c r="A2946" t="s">
        <v>102</v>
      </c>
    </row>
    <row r="2947" spans="1:1" x14ac:dyDescent="0.2">
      <c r="A2947" t="s">
        <v>102</v>
      </c>
    </row>
    <row r="2948" spans="1:1" x14ac:dyDescent="0.2">
      <c r="A2948" t="s">
        <v>102</v>
      </c>
    </row>
    <row r="2949" spans="1:1" x14ac:dyDescent="0.2">
      <c r="A2949" t="s">
        <v>102</v>
      </c>
    </row>
    <row r="2950" spans="1:1" x14ac:dyDescent="0.2">
      <c r="A2950" t="s">
        <v>102</v>
      </c>
    </row>
    <row r="2951" spans="1:1" x14ac:dyDescent="0.2">
      <c r="A2951" t="s">
        <v>102</v>
      </c>
    </row>
    <row r="2952" spans="1:1" x14ac:dyDescent="0.2">
      <c r="A2952" t="s">
        <v>102</v>
      </c>
    </row>
    <row r="2953" spans="1:1" x14ac:dyDescent="0.2">
      <c r="A2953" t="s">
        <v>102</v>
      </c>
    </row>
    <row r="2954" spans="1:1" x14ac:dyDescent="0.2">
      <c r="A2954" t="s">
        <v>102</v>
      </c>
    </row>
    <row r="2955" spans="1:1" x14ac:dyDescent="0.2">
      <c r="A2955" t="s">
        <v>102</v>
      </c>
    </row>
    <row r="2956" spans="1:1" x14ac:dyDescent="0.2">
      <c r="A2956" t="s">
        <v>102</v>
      </c>
    </row>
    <row r="2957" spans="1:1" x14ac:dyDescent="0.2">
      <c r="A2957" t="s">
        <v>102</v>
      </c>
    </row>
    <row r="2958" spans="1:1" x14ac:dyDescent="0.2">
      <c r="A2958" t="s">
        <v>102</v>
      </c>
    </row>
    <row r="2959" spans="1:1" x14ac:dyDescent="0.2">
      <c r="A2959" t="s">
        <v>102</v>
      </c>
    </row>
    <row r="2960" spans="1:1" x14ac:dyDescent="0.2">
      <c r="A2960" t="s">
        <v>102</v>
      </c>
    </row>
    <row r="2961" spans="1:1" x14ac:dyDescent="0.2">
      <c r="A2961" t="s">
        <v>102</v>
      </c>
    </row>
    <row r="2962" spans="1:1" x14ac:dyDescent="0.2">
      <c r="A2962" t="s">
        <v>102</v>
      </c>
    </row>
    <row r="2963" spans="1:1" x14ac:dyDescent="0.2">
      <c r="A2963" t="s">
        <v>102</v>
      </c>
    </row>
    <row r="2964" spans="1:1" x14ac:dyDescent="0.2">
      <c r="A2964" t="s">
        <v>102</v>
      </c>
    </row>
    <row r="2965" spans="1:1" x14ac:dyDescent="0.2">
      <c r="A2965" t="s">
        <v>102</v>
      </c>
    </row>
    <row r="2966" spans="1:1" x14ac:dyDescent="0.2">
      <c r="A2966" t="s">
        <v>102</v>
      </c>
    </row>
    <row r="2967" spans="1:1" x14ac:dyDescent="0.2">
      <c r="A2967" t="s">
        <v>102</v>
      </c>
    </row>
    <row r="2968" spans="1:1" x14ac:dyDescent="0.2">
      <c r="A2968" t="s">
        <v>102</v>
      </c>
    </row>
    <row r="2969" spans="1:1" x14ac:dyDescent="0.2">
      <c r="A2969" t="s">
        <v>102</v>
      </c>
    </row>
    <row r="2970" spans="1:1" x14ac:dyDescent="0.2">
      <c r="A2970" t="s">
        <v>102</v>
      </c>
    </row>
    <row r="2971" spans="1:1" x14ac:dyDescent="0.2">
      <c r="A2971" t="s">
        <v>102</v>
      </c>
    </row>
    <row r="2972" spans="1:1" x14ac:dyDescent="0.2">
      <c r="A2972" t="s">
        <v>102</v>
      </c>
    </row>
    <row r="2973" spans="1:1" x14ac:dyDescent="0.2">
      <c r="A2973" t="s">
        <v>102</v>
      </c>
    </row>
    <row r="2974" spans="1:1" x14ac:dyDescent="0.2">
      <c r="A2974" t="s">
        <v>102</v>
      </c>
    </row>
    <row r="2975" spans="1:1" x14ac:dyDescent="0.2">
      <c r="A2975" t="s">
        <v>102</v>
      </c>
    </row>
    <row r="2976" spans="1:1" x14ac:dyDescent="0.2">
      <c r="A2976" t="s">
        <v>102</v>
      </c>
    </row>
    <row r="2977" spans="1:1" x14ac:dyDescent="0.2">
      <c r="A2977" t="s">
        <v>102</v>
      </c>
    </row>
    <row r="2978" spans="1:1" x14ac:dyDescent="0.2">
      <c r="A2978" t="s">
        <v>102</v>
      </c>
    </row>
    <row r="2979" spans="1:1" x14ac:dyDescent="0.2">
      <c r="A2979" t="s">
        <v>102</v>
      </c>
    </row>
    <row r="2980" spans="1:1" x14ac:dyDescent="0.2">
      <c r="A2980" t="s">
        <v>102</v>
      </c>
    </row>
    <row r="2981" spans="1:1" x14ac:dyDescent="0.2">
      <c r="A2981" t="s">
        <v>102</v>
      </c>
    </row>
    <row r="2982" spans="1:1" x14ac:dyDescent="0.2">
      <c r="A2982" t="s">
        <v>102</v>
      </c>
    </row>
    <row r="2983" spans="1:1" x14ac:dyDescent="0.2">
      <c r="A2983" t="s">
        <v>102</v>
      </c>
    </row>
    <row r="2984" spans="1:1" x14ac:dyDescent="0.2">
      <c r="A2984" t="s">
        <v>102</v>
      </c>
    </row>
    <row r="2985" spans="1:1" x14ac:dyDescent="0.2">
      <c r="A2985" t="s">
        <v>102</v>
      </c>
    </row>
    <row r="2986" spans="1:1" x14ac:dyDescent="0.2">
      <c r="A2986" t="s">
        <v>102</v>
      </c>
    </row>
    <row r="2987" spans="1:1" x14ac:dyDescent="0.2">
      <c r="A2987" t="s">
        <v>102</v>
      </c>
    </row>
    <row r="2988" spans="1:1" x14ac:dyDescent="0.2">
      <c r="A2988" t="s">
        <v>102</v>
      </c>
    </row>
    <row r="2989" spans="1:1" x14ac:dyDescent="0.2">
      <c r="A2989" t="s">
        <v>102</v>
      </c>
    </row>
    <row r="2990" spans="1:1" x14ac:dyDescent="0.2">
      <c r="A2990" t="s">
        <v>102</v>
      </c>
    </row>
    <row r="2991" spans="1:1" x14ac:dyDescent="0.2">
      <c r="A2991" t="s">
        <v>102</v>
      </c>
    </row>
    <row r="2992" spans="1:1" x14ac:dyDescent="0.2">
      <c r="A2992" t="s">
        <v>102</v>
      </c>
    </row>
    <row r="2993" spans="1:1" x14ac:dyDescent="0.2">
      <c r="A2993" t="s">
        <v>102</v>
      </c>
    </row>
    <row r="2994" spans="1:1" x14ac:dyDescent="0.2">
      <c r="A2994" t="s">
        <v>102</v>
      </c>
    </row>
    <row r="2995" spans="1:1" x14ac:dyDescent="0.2">
      <c r="A2995" t="s">
        <v>102</v>
      </c>
    </row>
    <row r="2996" spans="1:1" x14ac:dyDescent="0.2">
      <c r="A2996" t="s">
        <v>102</v>
      </c>
    </row>
    <row r="2997" spans="1:1" x14ac:dyDescent="0.2">
      <c r="A2997" t="s">
        <v>102</v>
      </c>
    </row>
    <row r="2998" spans="1:1" x14ac:dyDescent="0.2">
      <c r="A2998" t="s">
        <v>102</v>
      </c>
    </row>
    <row r="2999" spans="1:1" x14ac:dyDescent="0.2">
      <c r="A2999" t="s">
        <v>102</v>
      </c>
    </row>
    <row r="3000" spans="1:1" x14ac:dyDescent="0.2">
      <c r="A3000" t="s">
        <v>102</v>
      </c>
    </row>
    <row r="3001" spans="1:1" x14ac:dyDescent="0.2">
      <c r="A3001" t="s">
        <v>102</v>
      </c>
    </row>
    <row r="3002" spans="1:1" x14ac:dyDescent="0.2">
      <c r="A3002" t="s">
        <v>102</v>
      </c>
    </row>
    <row r="3003" spans="1:1" x14ac:dyDescent="0.2">
      <c r="A3003" t="s">
        <v>102</v>
      </c>
    </row>
    <row r="3004" spans="1:1" x14ac:dyDescent="0.2">
      <c r="A3004" t="s">
        <v>102</v>
      </c>
    </row>
    <row r="3005" spans="1:1" x14ac:dyDescent="0.2">
      <c r="A3005" t="s">
        <v>102</v>
      </c>
    </row>
    <row r="3006" spans="1:1" x14ac:dyDescent="0.2">
      <c r="A3006" t="s">
        <v>102</v>
      </c>
    </row>
    <row r="3007" spans="1:1" x14ac:dyDescent="0.2">
      <c r="A3007" t="s">
        <v>102</v>
      </c>
    </row>
    <row r="3008" spans="1:1" x14ac:dyDescent="0.2">
      <c r="A3008" t="s">
        <v>102</v>
      </c>
    </row>
    <row r="3009" spans="1:1" x14ac:dyDescent="0.2">
      <c r="A3009" t="s">
        <v>102</v>
      </c>
    </row>
    <row r="3010" spans="1:1" x14ac:dyDescent="0.2">
      <c r="A3010" t="s">
        <v>102</v>
      </c>
    </row>
    <row r="3011" spans="1:1" x14ac:dyDescent="0.2">
      <c r="A3011" t="s">
        <v>102</v>
      </c>
    </row>
    <row r="3012" spans="1:1" x14ac:dyDescent="0.2">
      <c r="A3012" t="s">
        <v>102</v>
      </c>
    </row>
    <row r="3013" spans="1:1" x14ac:dyDescent="0.2">
      <c r="A3013" t="s">
        <v>102</v>
      </c>
    </row>
    <row r="3014" spans="1:1" x14ac:dyDescent="0.2">
      <c r="A3014" t="s">
        <v>102</v>
      </c>
    </row>
    <row r="3015" spans="1:1" x14ac:dyDescent="0.2">
      <c r="A3015" t="s">
        <v>102</v>
      </c>
    </row>
    <row r="3016" spans="1:1" x14ac:dyDescent="0.2">
      <c r="A3016" t="s">
        <v>102</v>
      </c>
    </row>
    <row r="3017" spans="1:1" x14ac:dyDescent="0.2">
      <c r="A3017" t="s">
        <v>102</v>
      </c>
    </row>
    <row r="3018" spans="1:1" x14ac:dyDescent="0.2">
      <c r="A3018" t="s">
        <v>102</v>
      </c>
    </row>
    <row r="3019" spans="1:1" x14ac:dyDescent="0.2">
      <c r="A3019" t="s">
        <v>102</v>
      </c>
    </row>
    <row r="3020" spans="1:1" x14ac:dyDescent="0.2">
      <c r="A3020" t="s">
        <v>102</v>
      </c>
    </row>
    <row r="3021" spans="1:1" x14ac:dyDescent="0.2">
      <c r="A3021" t="s">
        <v>102</v>
      </c>
    </row>
    <row r="3022" spans="1:1" x14ac:dyDescent="0.2">
      <c r="A3022" t="s">
        <v>102</v>
      </c>
    </row>
    <row r="3023" spans="1:1" x14ac:dyDescent="0.2">
      <c r="A3023" t="s">
        <v>102</v>
      </c>
    </row>
    <row r="3024" spans="1:1" x14ac:dyDescent="0.2">
      <c r="A3024" t="s">
        <v>102</v>
      </c>
    </row>
    <row r="3025" spans="1:1" x14ac:dyDescent="0.2">
      <c r="A3025" t="s">
        <v>102</v>
      </c>
    </row>
    <row r="3026" spans="1:1" x14ac:dyDescent="0.2">
      <c r="A3026" t="s">
        <v>102</v>
      </c>
    </row>
    <row r="3027" spans="1:1" x14ac:dyDescent="0.2">
      <c r="A3027" t="s">
        <v>102</v>
      </c>
    </row>
    <row r="3028" spans="1:1" x14ac:dyDescent="0.2">
      <c r="A3028" t="s">
        <v>102</v>
      </c>
    </row>
    <row r="3029" spans="1:1" x14ac:dyDescent="0.2">
      <c r="A3029" t="s">
        <v>102</v>
      </c>
    </row>
    <row r="3030" spans="1:1" x14ac:dyDescent="0.2">
      <c r="A3030" t="s">
        <v>102</v>
      </c>
    </row>
    <row r="3031" spans="1:1" x14ac:dyDescent="0.2">
      <c r="A3031" t="s">
        <v>102</v>
      </c>
    </row>
    <row r="3032" spans="1:1" x14ac:dyDescent="0.2">
      <c r="A3032" t="s">
        <v>102</v>
      </c>
    </row>
    <row r="3033" spans="1:1" x14ac:dyDescent="0.2">
      <c r="A3033" t="s">
        <v>102</v>
      </c>
    </row>
    <row r="3034" spans="1:1" x14ac:dyDescent="0.2">
      <c r="A3034" t="s">
        <v>102</v>
      </c>
    </row>
    <row r="3035" spans="1:1" x14ac:dyDescent="0.2">
      <c r="A3035" t="s">
        <v>102</v>
      </c>
    </row>
    <row r="3036" spans="1:1" x14ac:dyDescent="0.2">
      <c r="A3036" t="s">
        <v>102</v>
      </c>
    </row>
    <row r="3037" spans="1:1" x14ac:dyDescent="0.2">
      <c r="A3037" t="s">
        <v>102</v>
      </c>
    </row>
    <row r="3038" spans="1:1" x14ac:dyDescent="0.2">
      <c r="A3038" t="s">
        <v>102</v>
      </c>
    </row>
    <row r="3039" spans="1:1" x14ac:dyDescent="0.2">
      <c r="A3039" t="s">
        <v>102</v>
      </c>
    </row>
    <row r="3040" spans="1:1" x14ac:dyDescent="0.2">
      <c r="A3040" t="s">
        <v>102</v>
      </c>
    </row>
    <row r="3041" spans="1:1" x14ac:dyDescent="0.2">
      <c r="A3041" t="s">
        <v>102</v>
      </c>
    </row>
    <row r="3042" spans="1:1" x14ac:dyDescent="0.2">
      <c r="A3042" t="s">
        <v>102</v>
      </c>
    </row>
    <row r="3043" spans="1:1" x14ac:dyDescent="0.2">
      <c r="A3043" t="s">
        <v>102</v>
      </c>
    </row>
    <row r="3044" spans="1:1" x14ac:dyDescent="0.2">
      <c r="A3044" t="s">
        <v>102</v>
      </c>
    </row>
    <row r="3045" spans="1:1" x14ac:dyDescent="0.2">
      <c r="A3045" t="s">
        <v>102</v>
      </c>
    </row>
    <row r="3046" spans="1:1" x14ac:dyDescent="0.2">
      <c r="A3046" t="s">
        <v>102</v>
      </c>
    </row>
    <row r="3047" spans="1:1" x14ac:dyDescent="0.2">
      <c r="A3047" t="s">
        <v>102</v>
      </c>
    </row>
    <row r="3048" spans="1:1" x14ac:dyDescent="0.2">
      <c r="A3048" t="s">
        <v>102</v>
      </c>
    </row>
    <row r="3049" spans="1:1" x14ac:dyDescent="0.2">
      <c r="A3049" t="s">
        <v>102</v>
      </c>
    </row>
    <row r="3050" spans="1:1" x14ac:dyDescent="0.2">
      <c r="A3050" t="s">
        <v>102</v>
      </c>
    </row>
    <row r="3051" spans="1:1" x14ac:dyDescent="0.2">
      <c r="A3051" t="s">
        <v>102</v>
      </c>
    </row>
    <row r="3052" spans="1:1" x14ac:dyDescent="0.2">
      <c r="A3052" t="s">
        <v>102</v>
      </c>
    </row>
    <row r="3053" spans="1:1" x14ac:dyDescent="0.2">
      <c r="A3053" t="s">
        <v>102</v>
      </c>
    </row>
    <row r="3054" spans="1:1" x14ac:dyDescent="0.2">
      <c r="A3054" t="s">
        <v>102</v>
      </c>
    </row>
    <row r="3055" spans="1:1" x14ac:dyDescent="0.2">
      <c r="A3055" t="s">
        <v>102</v>
      </c>
    </row>
    <row r="3056" spans="1:1" x14ac:dyDescent="0.2">
      <c r="A3056" t="s">
        <v>102</v>
      </c>
    </row>
    <row r="3057" spans="1:1" x14ac:dyDescent="0.2">
      <c r="A3057" t="s">
        <v>102</v>
      </c>
    </row>
    <row r="3058" spans="1:1" x14ac:dyDescent="0.2">
      <c r="A3058" t="s">
        <v>102</v>
      </c>
    </row>
    <row r="3059" spans="1:1" x14ac:dyDescent="0.2">
      <c r="A3059" t="s">
        <v>102</v>
      </c>
    </row>
    <row r="3060" spans="1:1" x14ac:dyDescent="0.2">
      <c r="A3060" t="s">
        <v>102</v>
      </c>
    </row>
    <row r="3061" spans="1:1" x14ac:dyDescent="0.2">
      <c r="A3061" t="s">
        <v>102</v>
      </c>
    </row>
    <row r="3062" spans="1:1" x14ac:dyDescent="0.2">
      <c r="A3062" t="s">
        <v>102</v>
      </c>
    </row>
    <row r="3063" spans="1:1" x14ac:dyDescent="0.2">
      <c r="A3063" t="s">
        <v>102</v>
      </c>
    </row>
    <row r="3064" spans="1:1" x14ac:dyDescent="0.2">
      <c r="A3064" t="s">
        <v>102</v>
      </c>
    </row>
    <row r="3065" spans="1:1" x14ac:dyDescent="0.2">
      <c r="A3065" t="s">
        <v>102</v>
      </c>
    </row>
    <row r="3066" spans="1:1" x14ac:dyDescent="0.2">
      <c r="A3066" t="s">
        <v>102</v>
      </c>
    </row>
    <row r="3067" spans="1:1" x14ac:dyDescent="0.2">
      <c r="A3067" t="s">
        <v>102</v>
      </c>
    </row>
    <row r="3068" spans="1:1" x14ac:dyDescent="0.2">
      <c r="A3068" t="s">
        <v>102</v>
      </c>
    </row>
    <row r="3069" spans="1:1" x14ac:dyDescent="0.2">
      <c r="A3069" t="s">
        <v>102</v>
      </c>
    </row>
    <row r="3070" spans="1:1" x14ac:dyDescent="0.2">
      <c r="A3070" t="s">
        <v>102</v>
      </c>
    </row>
    <row r="3071" spans="1:1" x14ac:dyDescent="0.2">
      <c r="A3071" t="s">
        <v>102</v>
      </c>
    </row>
    <row r="3072" spans="1:1" x14ac:dyDescent="0.2">
      <c r="A3072" t="s">
        <v>102</v>
      </c>
    </row>
    <row r="3073" spans="1:1" x14ac:dyDescent="0.2">
      <c r="A3073" t="s">
        <v>102</v>
      </c>
    </row>
    <row r="3074" spans="1:1" x14ac:dyDescent="0.2">
      <c r="A3074" t="s">
        <v>102</v>
      </c>
    </row>
    <row r="3075" spans="1:1" x14ac:dyDescent="0.2">
      <c r="A3075" t="s">
        <v>102</v>
      </c>
    </row>
    <row r="3076" spans="1:1" x14ac:dyDescent="0.2">
      <c r="A3076" t="s">
        <v>102</v>
      </c>
    </row>
    <row r="3077" spans="1:1" x14ac:dyDescent="0.2">
      <c r="A3077" t="s">
        <v>102</v>
      </c>
    </row>
    <row r="3078" spans="1:1" x14ac:dyDescent="0.2">
      <c r="A3078" t="s">
        <v>102</v>
      </c>
    </row>
    <row r="3079" spans="1:1" x14ac:dyDescent="0.2">
      <c r="A3079" t="s">
        <v>102</v>
      </c>
    </row>
    <row r="3080" spans="1:1" x14ac:dyDescent="0.2">
      <c r="A3080" t="s">
        <v>102</v>
      </c>
    </row>
    <row r="3081" spans="1:1" x14ac:dyDescent="0.2">
      <c r="A3081" t="s">
        <v>102</v>
      </c>
    </row>
    <row r="3082" spans="1:1" x14ac:dyDescent="0.2">
      <c r="A3082" t="s">
        <v>102</v>
      </c>
    </row>
    <row r="3083" spans="1:1" x14ac:dyDescent="0.2">
      <c r="A3083" t="s">
        <v>102</v>
      </c>
    </row>
    <row r="3084" spans="1:1" x14ac:dyDescent="0.2">
      <c r="A3084" t="s">
        <v>102</v>
      </c>
    </row>
    <row r="3085" spans="1:1" x14ac:dyDescent="0.2">
      <c r="A3085" t="s">
        <v>102</v>
      </c>
    </row>
    <row r="3086" spans="1:1" x14ac:dyDescent="0.2">
      <c r="A3086" t="s">
        <v>102</v>
      </c>
    </row>
    <row r="3087" spans="1:1" x14ac:dyDescent="0.2">
      <c r="A3087" t="s">
        <v>102</v>
      </c>
    </row>
    <row r="3088" spans="1:1" x14ac:dyDescent="0.2">
      <c r="A3088" t="s">
        <v>102</v>
      </c>
    </row>
    <row r="3089" spans="1:1" x14ac:dyDescent="0.2">
      <c r="A3089" t="s">
        <v>102</v>
      </c>
    </row>
    <row r="3090" spans="1:1" x14ac:dyDescent="0.2">
      <c r="A3090" t="s">
        <v>102</v>
      </c>
    </row>
    <row r="3091" spans="1:1" x14ac:dyDescent="0.2">
      <c r="A3091" t="s">
        <v>102</v>
      </c>
    </row>
    <row r="3092" spans="1:1" x14ac:dyDescent="0.2">
      <c r="A3092" t="s">
        <v>102</v>
      </c>
    </row>
    <row r="3093" spans="1:1" x14ac:dyDescent="0.2">
      <c r="A3093" t="s">
        <v>102</v>
      </c>
    </row>
    <row r="3094" spans="1:1" x14ac:dyDescent="0.2">
      <c r="A3094" t="s">
        <v>102</v>
      </c>
    </row>
    <row r="3095" spans="1:1" x14ac:dyDescent="0.2">
      <c r="A3095" t="s">
        <v>102</v>
      </c>
    </row>
    <row r="3096" spans="1:1" x14ac:dyDescent="0.2">
      <c r="A3096" t="s">
        <v>102</v>
      </c>
    </row>
    <row r="3097" spans="1:1" x14ac:dyDescent="0.2">
      <c r="A3097" t="s">
        <v>102</v>
      </c>
    </row>
    <row r="3098" spans="1:1" x14ac:dyDescent="0.2">
      <c r="A3098" t="s">
        <v>102</v>
      </c>
    </row>
    <row r="3099" spans="1:1" x14ac:dyDescent="0.2">
      <c r="A3099" t="s">
        <v>102</v>
      </c>
    </row>
    <row r="3100" spans="1:1" x14ac:dyDescent="0.2">
      <c r="A3100" t="s">
        <v>102</v>
      </c>
    </row>
    <row r="3101" spans="1:1" x14ac:dyDescent="0.2">
      <c r="A3101" t="s">
        <v>102</v>
      </c>
    </row>
    <row r="3102" spans="1:1" x14ac:dyDescent="0.2">
      <c r="A3102" t="s">
        <v>102</v>
      </c>
    </row>
    <row r="3103" spans="1:1" x14ac:dyDescent="0.2">
      <c r="A3103" t="s">
        <v>102</v>
      </c>
    </row>
    <row r="3104" spans="1:1" x14ac:dyDescent="0.2">
      <c r="A3104" t="s">
        <v>102</v>
      </c>
    </row>
    <row r="3105" spans="1:1" x14ac:dyDescent="0.2">
      <c r="A3105" t="s">
        <v>102</v>
      </c>
    </row>
    <row r="3106" spans="1:1" x14ac:dyDescent="0.2">
      <c r="A3106" t="s">
        <v>102</v>
      </c>
    </row>
    <row r="3107" spans="1:1" x14ac:dyDescent="0.2">
      <c r="A3107" t="s">
        <v>102</v>
      </c>
    </row>
    <row r="3108" spans="1:1" x14ac:dyDescent="0.2">
      <c r="A3108" t="s">
        <v>102</v>
      </c>
    </row>
    <row r="3109" spans="1:1" x14ac:dyDescent="0.2">
      <c r="A3109" t="s">
        <v>102</v>
      </c>
    </row>
    <row r="3110" spans="1:1" x14ac:dyDescent="0.2">
      <c r="A3110" t="s">
        <v>102</v>
      </c>
    </row>
    <row r="3111" spans="1:1" x14ac:dyDescent="0.2">
      <c r="A3111" t="s">
        <v>102</v>
      </c>
    </row>
    <row r="3112" spans="1:1" x14ac:dyDescent="0.2">
      <c r="A3112" t="s">
        <v>102</v>
      </c>
    </row>
    <row r="3113" spans="1:1" x14ac:dyDescent="0.2">
      <c r="A3113" t="s">
        <v>102</v>
      </c>
    </row>
    <row r="3114" spans="1:1" x14ac:dyDescent="0.2">
      <c r="A3114" t="s">
        <v>102</v>
      </c>
    </row>
    <row r="3115" spans="1:1" x14ac:dyDescent="0.2">
      <c r="A3115" t="s">
        <v>102</v>
      </c>
    </row>
    <row r="3116" spans="1:1" x14ac:dyDescent="0.2">
      <c r="A3116" t="s">
        <v>102</v>
      </c>
    </row>
    <row r="3117" spans="1:1" x14ac:dyDescent="0.2">
      <c r="A3117" t="s">
        <v>102</v>
      </c>
    </row>
    <row r="3118" spans="1:1" x14ac:dyDescent="0.2">
      <c r="A3118" t="s">
        <v>102</v>
      </c>
    </row>
    <row r="3119" spans="1:1" x14ac:dyDescent="0.2">
      <c r="A3119" t="s">
        <v>102</v>
      </c>
    </row>
    <row r="3120" spans="1:1" x14ac:dyDescent="0.2">
      <c r="A3120" t="s">
        <v>102</v>
      </c>
    </row>
    <row r="3121" spans="1:1" x14ac:dyDescent="0.2">
      <c r="A3121" t="s">
        <v>102</v>
      </c>
    </row>
    <row r="3122" spans="1:1" x14ac:dyDescent="0.2">
      <c r="A3122" t="s">
        <v>102</v>
      </c>
    </row>
    <row r="3123" spans="1:1" x14ac:dyDescent="0.2">
      <c r="A3123" t="s">
        <v>102</v>
      </c>
    </row>
    <row r="3124" spans="1:1" x14ac:dyDescent="0.2">
      <c r="A3124" t="s">
        <v>102</v>
      </c>
    </row>
    <row r="3125" spans="1:1" x14ac:dyDescent="0.2">
      <c r="A3125" t="s">
        <v>102</v>
      </c>
    </row>
    <row r="3126" spans="1:1" x14ac:dyDescent="0.2">
      <c r="A3126" t="s">
        <v>102</v>
      </c>
    </row>
    <row r="3127" spans="1:1" x14ac:dyDescent="0.2">
      <c r="A3127" t="s">
        <v>102</v>
      </c>
    </row>
    <row r="3128" spans="1:1" x14ac:dyDescent="0.2">
      <c r="A3128" t="s">
        <v>102</v>
      </c>
    </row>
    <row r="3129" spans="1:1" x14ac:dyDescent="0.2">
      <c r="A3129" t="s">
        <v>102</v>
      </c>
    </row>
    <row r="3130" spans="1:1" x14ac:dyDescent="0.2">
      <c r="A3130" t="s">
        <v>102</v>
      </c>
    </row>
    <row r="3131" spans="1:1" x14ac:dyDescent="0.2">
      <c r="A3131" t="s">
        <v>102</v>
      </c>
    </row>
    <row r="3132" spans="1:1" x14ac:dyDescent="0.2">
      <c r="A3132" t="s">
        <v>102</v>
      </c>
    </row>
    <row r="3133" spans="1:1" x14ac:dyDescent="0.2">
      <c r="A3133" t="s">
        <v>102</v>
      </c>
    </row>
    <row r="3134" spans="1:1" x14ac:dyDescent="0.2">
      <c r="A3134" t="s">
        <v>102</v>
      </c>
    </row>
    <row r="3135" spans="1:1" x14ac:dyDescent="0.2">
      <c r="A3135" t="s">
        <v>102</v>
      </c>
    </row>
    <row r="3136" spans="1:1" x14ac:dyDescent="0.2">
      <c r="A3136" t="s">
        <v>102</v>
      </c>
    </row>
    <row r="3137" spans="1:1" x14ac:dyDescent="0.2">
      <c r="A3137" t="s">
        <v>102</v>
      </c>
    </row>
    <row r="3138" spans="1:1" x14ac:dyDescent="0.2">
      <c r="A3138" t="s">
        <v>102</v>
      </c>
    </row>
    <row r="3139" spans="1:1" x14ac:dyDescent="0.2">
      <c r="A3139" t="s">
        <v>102</v>
      </c>
    </row>
    <row r="3140" spans="1:1" x14ac:dyDescent="0.2">
      <c r="A3140" t="s">
        <v>102</v>
      </c>
    </row>
    <row r="3141" spans="1:1" x14ac:dyDescent="0.2">
      <c r="A3141" t="s">
        <v>102</v>
      </c>
    </row>
    <row r="3142" spans="1:1" x14ac:dyDescent="0.2">
      <c r="A3142" t="s">
        <v>102</v>
      </c>
    </row>
    <row r="3143" spans="1:1" x14ac:dyDescent="0.2">
      <c r="A3143" t="s">
        <v>102</v>
      </c>
    </row>
    <row r="3144" spans="1:1" x14ac:dyDescent="0.2">
      <c r="A3144" t="s">
        <v>102</v>
      </c>
    </row>
    <row r="3145" spans="1:1" x14ac:dyDescent="0.2">
      <c r="A3145" t="s">
        <v>102</v>
      </c>
    </row>
    <row r="3146" spans="1:1" x14ac:dyDescent="0.2">
      <c r="A3146" t="s">
        <v>102</v>
      </c>
    </row>
    <row r="3147" spans="1:1" x14ac:dyDescent="0.2">
      <c r="A3147" t="s">
        <v>102</v>
      </c>
    </row>
    <row r="3148" spans="1:1" x14ac:dyDescent="0.2">
      <c r="A3148" t="s">
        <v>102</v>
      </c>
    </row>
    <row r="3149" spans="1:1" x14ac:dyDescent="0.2">
      <c r="A3149" t="s">
        <v>102</v>
      </c>
    </row>
    <row r="3150" spans="1:1" x14ac:dyDescent="0.2">
      <c r="A3150" t="s">
        <v>102</v>
      </c>
    </row>
    <row r="3151" spans="1:1" x14ac:dyDescent="0.2">
      <c r="A3151" t="s">
        <v>102</v>
      </c>
    </row>
    <row r="3152" spans="1:1" x14ac:dyDescent="0.2">
      <c r="A3152" t="s">
        <v>102</v>
      </c>
    </row>
    <row r="3153" spans="1:1" x14ac:dyDescent="0.2">
      <c r="A3153" t="s">
        <v>102</v>
      </c>
    </row>
    <row r="3154" spans="1:1" x14ac:dyDescent="0.2">
      <c r="A3154" t="s">
        <v>102</v>
      </c>
    </row>
    <row r="3155" spans="1:1" x14ac:dyDescent="0.2">
      <c r="A3155" t="s">
        <v>102</v>
      </c>
    </row>
    <row r="3156" spans="1:1" x14ac:dyDescent="0.2">
      <c r="A3156" t="s">
        <v>102</v>
      </c>
    </row>
    <row r="3157" spans="1:1" x14ac:dyDescent="0.2">
      <c r="A3157" t="s">
        <v>102</v>
      </c>
    </row>
    <row r="3158" spans="1:1" x14ac:dyDescent="0.2">
      <c r="A3158" t="s">
        <v>102</v>
      </c>
    </row>
    <row r="3159" spans="1:1" x14ac:dyDescent="0.2">
      <c r="A3159" t="s">
        <v>102</v>
      </c>
    </row>
    <row r="3160" spans="1:1" x14ac:dyDescent="0.2">
      <c r="A3160" t="s">
        <v>102</v>
      </c>
    </row>
    <row r="3161" spans="1:1" x14ac:dyDescent="0.2">
      <c r="A3161" t="s">
        <v>102</v>
      </c>
    </row>
    <row r="3162" spans="1:1" x14ac:dyDescent="0.2">
      <c r="A3162" t="s">
        <v>102</v>
      </c>
    </row>
    <row r="3163" spans="1:1" x14ac:dyDescent="0.2">
      <c r="A3163" t="s">
        <v>102</v>
      </c>
    </row>
    <row r="3164" spans="1:1" x14ac:dyDescent="0.2">
      <c r="A3164" t="s">
        <v>102</v>
      </c>
    </row>
    <row r="3165" spans="1:1" x14ac:dyDescent="0.2">
      <c r="A3165" t="s">
        <v>102</v>
      </c>
    </row>
    <row r="3166" spans="1:1" x14ac:dyDescent="0.2">
      <c r="A3166" t="s">
        <v>102</v>
      </c>
    </row>
    <row r="3167" spans="1:1" x14ac:dyDescent="0.2">
      <c r="A3167" t="s">
        <v>102</v>
      </c>
    </row>
    <row r="3168" spans="1:1" x14ac:dyDescent="0.2">
      <c r="A3168" t="s">
        <v>102</v>
      </c>
    </row>
    <row r="3169" spans="1:1" x14ac:dyDescent="0.2">
      <c r="A3169" t="s">
        <v>102</v>
      </c>
    </row>
    <row r="3170" spans="1:1" x14ac:dyDescent="0.2">
      <c r="A3170" t="s">
        <v>102</v>
      </c>
    </row>
    <row r="3171" spans="1:1" x14ac:dyDescent="0.2">
      <c r="A3171" t="s">
        <v>102</v>
      </c>
    </row>
    <row r="3172" spans="1:1" x14ac:dyDescent="0.2">
      <c r="A3172" t="s">
        <v>102</v>
      </c>
    </row>
    <row r="3173" spans="1:1" x14ac:dyDescent="0.2">
      <c r="A3173" t="s">
        <v>102</v>
      </c>
    </row>
    <row r="3174" spans="1:1" x14ac:dyDescent="0.2">
      <c r="A3174" t="s">
        <v>102</v>
      </c>
    </row>
    <row r="3175" spans="1:1" x14ac:dyDescent="0.2">
      <c r="A3175" t="s">
        <v>102</v>
      </c>
    </row>
    <row r="3176" spans="1:1" x14ac:dyDescent="0.2">
      <c r="A3176" t="s">
        <v>102</v>
      </c>
    </row>
    <row r="3177" spans="1:1" x14ac:dyDescent="0.2">
      <c r="A3177" t="s">
        <v>102</v>
      </c>
    </row>
    <row r="3178" spans="1:1" x14ac:dyDescent="0.2">
      <c r="A3178" t="s">
        <v>102</v>
      </c>
    </row>
    <row r="3179" spans="1:1" x14ac:dyDescent="0.2">
      <c r="A3179" t="s">
        <v>102</v>
      </c>
    </row>
    <row r="3180" spans="1:1" x14ac:dyDescent="0.2">
      <c r="A3180" t="s">
        <v>102</v>
      </c>
    </row>
    <row r="3181" spans="1:1" x14ac:dyDescent="0.2">
      <c r="A3181" t="s">
        <v>102</v>
      </c>
    </row>
    <row r="3182" spans="1:1" x14ac:dyDescent="0.2">
      <c r="A3182" t="s">
        <v>102</v>
      </c>
    </row>
    <row r="3183" spans="1:1" x14ac:dyDescent="0.2">
      <c r="A3183" t="s">
        <v>102</v>
      </c>
    </row>
    <row r="3184" spans="1:1" x14ac:dyDescent="0.2">
      <c r="A3184" t="s">
        <v>102</v>
      </c>
    </row>
    <row r="3185" spans="1:1" x14ac:dyDescent="0.2">
      <c r="A3185" t="s">
        <v>102</v>
      </c>
    </row>
    <row r="3186" spans="1:1" x14ac:dyDescent="0.2">
      <c r="A3186" t="s">
        <v>102</v>
      </c>
    </row>
    <row r="3187" spans="1:1" x14ac:dyDescent="0.2">
      <c r="A3187" t="s">
        <v>102</v>
      </c>
    </row>
    <row r="3188" spans="1:1" x14ac:dyDescent="0.2">
      <c r="A3188" t="s">
        <v>102</v>
      </c>
    </row>
    <row r="3189" spans="1:1" x14ac:dyDescent="0.2">
      <c r="A3189" t="s">
        <v>102</v>
      </c>
    </row>
    <row r="3190" spans="1:1" x14ac:dyDescent="0.2">
      <c r="A3190" t="s">
        <v>102</v>
      </c>
    </row>
    <row r="3191" spans="1:1" x14ac:dyDescent="0.2">
      <c r="A3191" t="s">
        <v>102</v>
      </c>
    </row>
    <row r="3192" spans="1:1" x14ac:dyDescent="0.2">
      <c r="A3192" t="s">
        <v>102</v>
      </c>
    </row>
    <row r="3193" spans="1:1" x14ac:dyDescent="0.2">
      <c r="A3193" t="s">
        <v>102</v>
      </c>
    </row>
    <row r="3194" spans="1:1" x14ac:dyDescent="0.2">
      <c r="A3194" t="s">
        <v>102</v>
      </c>
    </row>
    <row r="3195" spans="1:1" x14ac:dyDescent="0.2">
      <c r="A3195" t="s">
        <v>102</v>
      </c>
    </row>
    <row r="3196" spans="1:1" x14ac:dyDescent="0.2">
      <c r="A3196" t="s">
        <v>102</v>
      </c>
    </row>
    <row r="3197" spans="1:1" x14ac:dyDescent="0.2">
      <c r="A3197" t="s">
        <v>102</v>
      </c>
    </row>
    <row r="3198" spans="1:1" x14ac:dyDescent="0.2">
      <c r="A3198" t="s">
        <v>102</v>
      </c>
    </row>
    <row r="3199" spans="1:1" x14ac:dyDescent="0.2">
      <c r="A3199" t="s">
        <v>102</v>
      </c>
    </row>
    <row r="3200" spans="1:1" x14ac:dyDescent="0.2">
      <c r="A3200" t="s">
        <v>102</v>
      </c>
    </row>
    <row r="3201" spans="1:1" x14ac:dyDescent="0.2">
      <c r="A3201" t="s">
        <v>102</v>
      </c>
    </row>
    <row r="3202" spans="1:1" x14ac:dyDescent="0.2">
      <c r="A3202" t="s">
        <v>102</v>
      </c>
    </row>
    <row r="3203" spans="1:1" x14ac:dyDescent="0.2">
      <c r="A3203" t="s">
        <v>102</v>
      </c>
    </row>
    <row r="3204" spans="1:1" x14ac:dyDescent="0.2">
      <c r="A3204" t="s">
        <v>102</v>
      </c>
    </row>
    <row r="3205" spans="1:1" x14ac:dyDescent="0.2">
      <c r="A3205" t="s">
        <v>102</v>
      </c>
    </row>
    <row r="3206" spans="1:1" x14ac:dyDescent="0.2">
      <c r="A3206" t="s">
        <v>102</v>
      </c>
    </row>
    <row r="3207" spans="1:1" x14ac:dyDescent="0.2">
      <c r="A3207" t="s">
        <v>102</v>
      </c>
    </row>
    <row r="3208" spans="1:1" x14ac:dyDescent="0.2">
      <c r="A3208" t="s">
        <v>102</v>
      </c>
    </row>
    <row r="3209" spans="1:1" x14ac:dyDescent="0.2">
      <c r="A3209" t="s">
        <v>102</v>
      </c>
    </row>
    <row r="3210" spans="1:1" x14ac:dyDescent="0.2">
      <c r="A3210" t="s">
        <v>102</v>
      </c>
    </row>
    <row r="3211" spans="1:1" x14ac:dyDescent="0.2">
      <c r="A3211" t="s">
        <v>102</v>
      </c>
    </row>
    <row r="3212" spans="1:1" x14ac:dyDescent="0.2">
      <c r="A3212" t="s">
        <v>102</v>
      </c>
    </row>
    <row r="3213" spans="1:1" x14ac:dyDescent="0.2">
      <c r="A3213" t="s">
        <v>102</v>
      </c>
    </row>
    <row r="3214" spans="1:1" x14ac:dyDescent="0.2">
      <c r="A3214" t="s">
        <v>102</v>
      </c>
    </row>
    <row r="3215" spans="1:1" x14ac:dyDescent="0.2">
      <c r="A3215" t="s">
        <v>102</v>
      </c>
    </row>
    <row r="3216" spans="1:1" x14ac:dyDescent="0.2">
      <c r="A3216" t="s">
        <v>102</v>
      </c>
    </row>
    <row r="3217" spans="1:1" x14ac:dyDescent="0.2">
      <c r="A3217" t="s">
        <v>102</v>
      </c>
    </row>
    <row r="3218" spans="1:1" x14ac:dyDescent="0.2">
      <c r="A3218" t="s">
        <v>102</v>
      </c>
    </row>
    <row r="3219" spans="1:1" x14ac:dyDescent="0.2">
      <c r="A3219" t="s">
        <v>102</v>
      </c>
    </row>
    <row r="3220" spans="1:1" x14ac:dyDescent="0.2">
      <c r="A3220" t="s">
        <v>102</v>
      </c>
    </row>
    <row r="3221" spans="1:1" x14ac:dyDescent="0.2">
      <c r="A3221" t="s">
        <v>102</v>
      </c>
    </row>
    <row r="3222" spans="1:1" x14ac:dyDescent="0.2">
      <c r="A3222" t="s">
        <v>102</v>
      </c>
    </row>
    <row r="3223" spans="1:1" x14ac:dyDescent="0.2">
      <c r="A3223" t="s">
        <v>102</v>
      </c>
    </row>
    <row r="3224" spans="1:1" x14ac:dyDescent="0.2">
      <c r="A3224" t="s">
        <v>102</v>
      </c>
    </row>
    <row r="3225" spans="1:1" x14ac:dyDescent="0.2">
      <c r="A3225" t="s">
        <v>102</v>
      </c>
    </row>
    <row r="3226" spans="1:1" x14ac:dyDescent="0.2">
      <c r="A3226" t="s">
        <v>102</v>
      </c>
    </row>
    <row r="3227" spans="1:1" x14ac:dyDescent="0.2">
      <c r="A3227" t="s">
        <v>102</v>
      </c>
    </row>
    <row r="3228" spans="1:1" x14ac:dyDescent="0.2">
      <c r="A3228" t="s">
        <v>102</v>
      </c>
    </row>
    <row r="3229" spans="1:1" x14ac:dyDescent="0.2">
      <c r="A3229" t="s">
        <v>102</v>
      </c>
    </row>
    <row r="3230" spans="1:1" x14ac:dyDescent="0.2">
      <c r="A3230" t="s">
        <v>102</v>
      </c>
    </row>
    <row r="3231" spans="1:1" x14ac:dyDescent="0.2">
      <c r="A3231" t="s">
        <v>102</v>
      </c>
    </row>
    <row r="3232" spans="1:1" x14ac:dyDescent="0.2">
      <c r="A3232" t="s">
        <v>102</v>
      </c>
    </row>
    <row r="3233" spans="1:1" x14ac:dyDescent="0.2">
      <c r="A3233" t="s">
        <v>102</v>
      </c>
    </row>
    <row r="3234" spans="1:1" x14ac:dyDescent="0.2">
      <c r="A3234" t="s">
        <v>102</v>
      </c>
    </row>
    <row r="3235" spans="1:1" x14ac:dyDescent="0.2">
      <c r="A3235" t="s">
        <v>102</v>
      </c>
    </row>
    <row r="3236" spans="1:1" x14ac:dyDescent="0.2">
      <c r="A3236" t="s">
        <v>102</v>
      </c>
    </row>
    <row r="3237" spans="1:1" x14ac:dyDescent="0.2">
      <c r="A3237" t="s">
        <v>102</v>
      </c>
    </row>
    <row r="3238" spans="1:1" x14ac:dyDescent="0.2">
      <c r="A3238" t="s">
        <v>102</v>
      </c>
    </row>
    <row r="3239" spans="1:1" x14ac:dyDescent="0.2">
      <c r="A3239" t="s">
        <v>102</v>
      </c>
    </row>
    <row r="3240" spans="1:1" x14ac:dyDescent="0.2">
      <c r="A3240" t="s">
        <v>102</v>
      </c>
    </row>
    <row r="3241" spans="1:1" x14ac:dyDescent="0.2">
      <c r="A3241" t="s">
        <v>102</v>
      </c>
    </row>
    <row r="3242" spans="1:1" x14ac:dyDescent="0.2">
      <c r="A3242" t="s">
        <v>102</v>
      </c>
    </row>
    <row r="3243" spans="1:1" x14ac:dyDescent="0.2">
      <c r="A3243" t="s">
        <v>102</v>
      </c>
    </row>
    <row r="3244" spans="1:1" x14ac:dyDescent="0.2">
      <c r="A3244" t="s">
        <v>102</v>
      </c>
    </row>
    <row r="3245" spans="1:1" x14ac:dyDescent="0.2">
      <c r="A3245" t="s">
        <v>102</v>
      </c>
    </row>
    <row r="3246" spans="1:1" x14ac:dyDescent="0.2">
      <c r="A3246" t="s">
        <v>102</v>
      </c>
    </row>
    <row r="3247" spans="1:1" x14ac:dyDescent="0.2">
      <c r="A3247" t="s">
        <v>102</v>
      </c>
    </row>
    <row r="3248" spans="1:1" x14ac:dyDescent="0.2">
      <c r="A3248" t="s">
        <v>102</v>
      </c>
    </row>
    <row r="3249" spans="1:1" x14ac:dyDescent="0.2">
      <c r="A3249" t="s">
        <v>102</v>
      </c>
    </row>
    <row r="3250" spans="1:1" x14ac:dyDescent="0.2">
      <c r="A3250" t="s">
        <v>102</v>
      </c>
    </row>
    <row r="3251" spans="1:1" x14ac:dyDescent="0.2">
      <c r="A3251" t="s">
        <v>102</v>
      </c>
    </row>
    <row r="3252" spans="1:1" x14ac:dyDescent="0.2">
      <c r="A3252" t="s">
        <v>102</v>
      </c>
    </row>
    <row r="3253" spans="1:1" x14ac:dyDescent="0.2">
      <c r="A3253" t="s">
        <v>102</v>
      </c>
    </row>
    <row r="3254" spans="1:1" x14ac:dyDescent="0.2">
      <c r="A3254" t="s">
        <v>102</v>
      </c>
    </row>
    <row r="3255" spans="1:1" x14ac:dyDescent="0.2">
      <c r="A3255" t="s">
        <v>102</v>
      </c>
    </row>
    <row r="3256" spans="1:1" x14ac:dyDescent="0.2">
      <c r="A3256" t="s">
        <v>102</v>
      </c>
    </row>
    <row r="3257" spans="1:1" x14ac:dyDescent="0.2">
      <c r="A3257" t="s">
        <v>102</v>
      </c>
    </row>
    <row r="3258" spans="1:1" x14ac:dyDescent="0.2">
      <c r="A3258" t="s">
        <v>102</v>
      </c>
    </row>
    <row r="3259" spans="1:1" x14ac:dyDescent="0.2">
      <c r="A3259" t="s">
        <v>102</v>
      </c>
    </row>
    <row r="3260" spans="1:1" x14ac:dyDescent="0.2">
      <c r="A3260" t="s">
        <v>102</v>
      </c>
    </row>
    <row r="3261" spans="1:1" x14ac:dyDescent="0.2">
      <c r="A3261" t="s">
        <v>102</v>
      </c>
    </row>
    <row r="3262" spans="1:1" x14ac:dyDescent="0.2">
      <c r="A3262" t="s">
        <v>102</v>
      </c>
    </row>
    <row r="3263" spans="1:1" x14ac:dyDescent="0.2">
      <c r="A3263" t="s">
        <v>102</v>
      </c>
    </row>
    <row r="3264" spans="1:1" x14ac:dyDescent="0.2">
      <c r="A3264" t="s">
        <v>102</v>
      </c>
    </row>
    <row r="3265" spans="1:1" x14ac:dyDescent="0.2">
      <c r="A3265" t="s">
        <v>102</v>
      </c>
    </row>
    <row r="3266" spans="1:1" x14ac:dyDescent="0.2">
      <c r="A3266" t="s">
        <v>102</v>
      </c>
    </row>
    <row r="3267" spans="1:1" x14ac:dyDescent="0.2">
      <c r="A3267" t="s">
        <v>102</v>
      </c>
    </row>
    <row r="3268" spans="1:1" x14ac:dyDescent="0.2">
      <c r="A3268" t="s">
        <v>102</v>
      </c>
    </row>
    <row r="3269" spans="1:1" x14ac:dyDescent="0.2">
      <c r="A3269" t="s">
        <v>102</v>
      </c>
    </row>
    <row r="3270" spans="1:1" x14ac:dyDescent="0.2">
      <c r="A3270" t="s">
        <v>102</v>
      </c>
    </row>
    <row r="3271" spans="1:1" x14ac:dyDescent="0.2">
      <c r="A3271" t="s">
        <v>102</v>
      </c>
    </row>
    <row r="3272" spans="1:1" x14ac:dyDescent="0.2">
      <c r="A3272" t="s">
        <v>102</v>
      </c>
    </row>
    <row r="3273" spans="1:1" x14ac:dyDescent="0.2">
      <c r="A3273" t="s">
        <v>102</v>
      </c>
    </row>
    <row r="3274" spans="1:1" x14ac:dyDescent="0.2">
      <c r="A3274" t="s">
        <v>102</v>
      </c>
    </row>
    <row r="3275" spans="1:1" x14ac:dyDescent="0.2">
      <c r="A3275" t="s">
        <v>102</v>
      </c>
    </row>
    <row r="3276" spans="1:1" x14ac:dyDescent="0.2">
      <c r="A3276" t="s">
        <v>102</v>
      </c>
    </row>
    <row r="3277" spans="1:1" x14ac:dyDescent="0.2">
      <c r="A3277" t="s">
        <v>102</v>
      </c>
    </row>
    <row r="3278" spans="1:1" x14ac:dyDescent="0.2">
      <c r="A3278" t="s">
        <v>102</v>
      </c>
    </row>
    <row r="3279" spans="1:1" x14ac:dyDescent="0.2">
      <c r="A3279" t="s">
        <v>102</v>
      </c>
    </row>
    <row r="3280" spans="1:1" x14ac:dyDescent="0.2">
      <c r="A3280" t="s">
        <v>102</v>
      </c>
    </row>
    <row r="3281" spans="1:1" x14ac:dyDescent="0.2">
      <c r="A3281" t="s">
        <v>102</v>
      </c>
    </row>
    <row r="3282" spans="1:1" x14ac:dyDescent="0.2">
      <c r="A3282" t="s">
        <v>102</v>
      </c>
    </row>
    <row r="3283" spans="1:1" x14ac:dyDescent="0.2">
      <c r="A3283" t="s">
        <v>102</v>
      </c>
    </row>
    <row r="3284" spans="1:1" x14ac:dyDescent="0.2">
      <c r="A3284" t="s">
        <v>102</v>
      </c>
    </row>
    <row r="3285" spans="1:1" x14ac:dyDescent="0.2">
      <c r="A3285" t="s">
        <v>102</v>
      </c>
    </row>
    <row r="3286" spans="1:1" x14ac:dyDescent="0.2">
      <c r="A3286" t="s">
        <v>102</v>
      </c>
    </row>
    <row r="3287" spans="1:1" x14ac:dyDescent="0.2">
      <c r="A3287" t="s">
        <v>102</v>
      </c>
    </row>
    <row r="3288" spans="1:1" x14ac:dyDescent="0.2">
      <c r="A3288" t="s">
        <v>102</v>
      </c>
    </row>
    <row r="3289" spans="1:1" x14ac:dyDescent="0.2">
      <c r="A3289" t="s">
        <v>102</v>
      </c>
    </row>
    <row r="3290" spans="1:1" x14ac:dyDescent="0.2">
      <c r="A3290" t="s">
        <v>102</v>
      </c>
    </row>
    <row r="3291" spans="1:1" x14ac:dyDescent="0.2">
      <c r="A3291" t="s">
        <v>102</v>
      </c>
    </row>
    <row r="3292" spans="1:1" x14ac:dyDescent="0.2">
      <c r="A3292" t="s">
        <v>102</v>
      </c>
    </row>
    <row r="3293" spans="1:1" x14ac:dyDescent="0.2">
      <c r="A3293" t="s">
        <v>102</v>
      </c>
    </row>
    <row r="3294" spans="1:1" x14ac:dyDescent="0.2">
      <c r="A3294" t="s">
        <v>102</v>
      </c>
    </row>
    <row r="3295" spans="1:1" x14ac:dyDescent="0.2">
      <c r="A3295" t="s">
        <v>102</v>
      </c>
    </row>
    <row r="3296" spans="1:1" x14ac:dyDescent="0.2">
      <c r="A3296" t="s">
        <v>102</v>
      </c>
    </row>
    <row r="3297" spans="1:1" x14ac:dyDescent="0.2">
      <c r="A3297" t="s">
        <v>102</v>
      </c>
    </row>
    <row r="3298" spans="1:1" x14ac:dyDescent="0.2">
      <c r="A3298" t="s">
        <v>102</v>
      </c>
    </row>
    <row r="3299" spans="1:1" x14ac:dyDescent="0.2">
      <c r="A3299" t="s">
        <v>102</v>
      </c>
    </row>
    <row r="3300" spans="1:1" x14ac:dyDescent="0.2">
      <c r="A3300" t="s">
        <v>102</v>
      </c>
    </row>
    <row r="3301" spans="1:1" x14ac:dyDescent="0.2">
      <c r="A3301" t="s">
        <v>102</v>
      </c>
    </row>
    <row r="3302" spans="1:1" x14ac:dyDescent="0.2">
      <c r="A3302" t="s">
        <v>102</v>
      </c>
    </row>
    <row r="3303" spans="1:1" x14ac:dyDescent="0.2">
      <c r="A3303" t="s">
        <v>102</v>
      </c>
    </row>
    <row r="3304" spans="1:1" x14ac:dyDescent="0.2">
      <c r="A3304" t="s">
        <v>102</v>
      </c>
    </row>
    <row r="3305" spans="1:1" x14ac:dyDescent="0.2">
      <c r="A3305" t="s">
        <v>102</v>
      </c>
    </row>
    <row r="3306" spans="1:1" x14ac:dyDescent="0.2">
      <c r="A3306" t="s">
        <v>102</v>
      </c>
    </row>
    <row r="3307" spans="1:1" x14ac:dyDescent="0.2">
      <c r="A3307" t="s">
        <v>102</v>
      </c>
    </row>
    <row r="3308" spans="1:1" x14ac:dyDescent="0.2">
      <c r="A3308" t="s">
        <v>102</v>
      </c>
    </row>
    <row r="3309" spans="1:1" x14ac:dyDescent="0.2">
      <c r="A3309" t="s">
        <v>102</v>
      </c>
    </row>
    <row r="3310" spans="1:1" x14ac:dyDescent="0.2">
      <c r="A3310" t="s">
        <v>102</v>
      </c>
    </row>
    <row r="3311" spans="1:1" x14ac:dyDescent="0.2">
      <c r="A3311" t="s">
        <v>102</v>
      </c>
    </row>
    <row r="3312" spans="1:1" x14ac:dyDescent="0.2">
      <c r="A3312" t="s">
        <v>102</v>
      </c>
    </row>
    <row r="3313" spans="1:1" x14ac:dyDescent="0.2">
      <c r="A3313" t="s">
        <v>102</v>
      </c>
    </row>
    <row r="3314" spans="1:1" x14ac:dyDescent="0.2">
      <c r="A3314" t="s">
        <v>102</v>
      </c>
    </row>
    <row r="3315" spans="1:1" x14ac:dyDescent="0.2">
      <c r="A3315" t="s">
        <v>102</v>
      </c>
    </row>
    <row r="3316" spans="1:1" x14ac:dyDescent="0.2">
      <c r="A3316" t="s">
        <v>102</v>
      </c>
    </row>
    <row r="3317" spans="1:1" x14ac:dyDescent="0.2">
      <c r="A3317" t="s">
        <v>102</v>
      </c>
    </row>
    <row r="3318" spans="1:1" x14ac:dyDescent="0.2">
      <c r="A3318" t="s">
        <v>102</v>
      </c>
    </row>
    <row r="3319" spans="1:1" x14ac:dyDescent="0.2">
      <c r="A3319" t="s">
        <v>102</v>
      </c>
    </row>
    <row r="3320" spans="1:1" x14ac:dyDescent="0.2">
      <c r="A3320" t="s">
        <v>102</v>
      </c>
    </row>
    <row r="3321" spans="1:1" x14ac:dyDescent="0.2">
      <c r="A3321" t="s">
        <v>102</v>
      </c>
    </row>
    <row r="3322" spans="1:1" x14ac:dyDescent="0.2">
      <c r="A3322" t="s">
        <v>102</v>
      </c>
    </row>
    <row r="3323" spans="1:1" x14ac:dyDescent="0.2">
      <c r="A3323" t="s">
        <v>102</v>
      </c>
    </row>
    <row r="3324" spans="1:1" x14ac:dyDescent="0.2">
      <c r="A3324" t="s">
        <v>102</v>
      </c>
    </row>
    <row r="3325" spans="1:1" x14ac:dyDescent="0.2">
      <c r="A3325" t="s">
        <v>102</v>
      </c>
    </row>
    <row r="3326" spans="1:1" x14ac:dyDescent="0.2">
      <c r="A3326" t="s">
        <v>102</v>
      </c>
    </row>
    <row r="3327" spans="1:1" x14ac:dyDescent="0.2">
      <c r="A3327" t="s">
        <v>102</v>
      </c>
    </row>
    <row r="3328" spans="1:1" x14ac:dyDescent="0.2">
      <c r="A3328" t="s">
        <v>102</v>
      </c>
    </row>
    <row r="3329" spans="1:1" x14ac:dyDescent="0.2">
      <c r="A3329" t="s">
        <v>102</v>
      </c>
    </row>
    <row r="3330" spans="1:1" x14ac:dyDescent="0.2">
      <c r="A3330" t="s">
        <v>102</v>
      </c>
    </row>
    <row r="3331" spans="1:1" x14ac:dyDescent="0.2">
      <c r="A3331" t="s">
        <v>102</v>
      </c>
    </row>
    <row r="3332" spans="1:1" x14ac:dyDescent="0.2">
      <c r="A3332" t="s">
        <v>102</v>
      </c>
    </row>
    <row r="3333" spans="1:1" x14ac:dyDescent="0.2">
      <c r="A3333" t="s">
        <v>102</v>
      </c>
    </row>
    <row r="3334" spans="1:1" x14ac:dyDescent="0.2">
      <c r="A3334" t="s">
        <v>102</v>
      </c>
    </row>
    <row r="3335" spans="1:1" x14ac:dyDescent="0.2">
      <c r="A3335" t="s">
        <v>102</v>
      </c>
    </row>
    <row r="3336" spans="1:1" x14ac:dyDescent="0.2">
      <c r="A3336" t="s">
        <v>102</v>
      </c>
    </row>
    <row r="3337" spans="1:1" x14ac:dyDescent="0.2">
      <c r="A3337" t="s">
        <v>102</v>
      </c>
    </row>
    <row r="3338" spans="1:1" x14ac:dyDescent="0.2">
      <c r="A3338" t="s">
        <v>102</v>
      </c>
    </row>
    <row r="3339" spans="1:1" x14ac:dyDescent="0.2">
      <c r="A3339" t="s">
        <v>102</v>
      </c>
    </row>
    <row r="3340" spans="1:1" x14ac:dyDescent="0.2">
      <c r="A3340" t="s">
        <v>102</v>
      </c>
    </row>
    <row r="3341" spans="1:1" x14ac:dyDescent="0.2">
      <c r="A3341" t="s">
        <v>102</v>
      </c>
    </row>
    <row r="3342" spans="1:1" x14ac:dyDescent="0.2">
      <c r="A3342" t="s">
        <v>102</v>
      </c>
    </row>
    <row r="3343" spans="1:1" x14ac:dyDescent="0.2">
      <c r="A3343" t="s">
        <v>102</v>
      </c>
    </row>
    <row r="3344" spans="1:1" x14ac:dyDescent="0.2">
      <c r="A3344" t="s">
        <v>102</v>
      </c>
    </row>
    <row r="3345" spans="1:1" x14ac:dyDescent="0.2">
      <c r="A3345" t="s">
        <v>102</v>
      </c>
    </row>
    <row r="3346" spans="1:1" x14ac:dyDescent="0.2">
      <c r="A3346" t="s">
        <v>102</v>
      </c>
    </row>
    <row r="3347" spans="1:1" x14ac:dyDescent="0.2">
      <c r="A3347" t="s">
        <v>102</v>
      </c>
    </row>
    <row r="3348" spans="1:1" x14ac:dyDescent="0.2">
      <c r="A3348" t="s">
        <v>102</v>
      </c>
    </row>
    <row r="3349" spans="1:1" x14ac:dyDescent="0.2">
      <c r="A3349" t="s">
        <v>102</v>
      </c>
    </row>
    <row r="3350" spans="1:1" x14ac:dyDescent="0.2">
      <c r="A3350" t="s">
        <v>102</v>
      </c>
    </row>
    <row r="3351" spans="1:1" x14ac:dyDescent="0.2">
      <c r="A3351" t="s">
        <v>102</v>
      </c>
    </row>
    <row r="3352" spans="1:1" x14ac:dyDescent="0.2">
      <c r="A3352" t="s">
        <v>102</v>
      </c>
    </row>
    <row r="3353" spans="1:1" x14ac:dyDescent="0.2">
      <c r="A3353" t="s">
        <v>102</v>
      </c>
    </row>
    <row r="3354" spans="1:1" x14ac:dyDescent="0.2">
      <c r="A3354" t="s">
        <v>102</v>
      </c>
    </row>
    <row r="3355" spans="1:1" x14ac:dyDescent="0.2">
      <c r="A3355" t="s">
        <v>102</v>
      </c>
    </row>
    <row r="3356" spans="1:1" x14ac:dyDescent="0.2">
      <c r="A3356" t="s">
        <v>102</v>
      </c>
    </row>
    <row r="3357" spans="1:1" x14ac:dyDescent="0.2">
      <c r="A3357" t="s">
        <v>102</v>
      </c>
    </row>
    <row r="3358" spans="1:1" x14ac:dyDescent="0.2">
      <c r="A3358" t="s">
        <v>102</v>
      </c>
    </row>
    <row r="3359" spans="1:1" x14ac:dyDescent="0.2">
      <c r="A3359" t="s">
        <v>102</v>
      </c>
    </row>
    <row r="3360" spans="1:1" x14ac:dyDescent="0.2">
      <c r="A3360" t="s">
        <v>102</v>
      </c>
    </row>
    <row r="3361" spans="1:1" x14ac:dyDescent="0.2">
      <c r="A3361" t="s">
        <v>102</v>
      </c>
    </row>
    <row r="3362" spans="1:1" x14ac:dyDescent="0.2">
      <c r="A3362" t="s">
        <v>102</v>
      </c>
    </row>
    <row r="3363" spans="1:1" x14ac:dyDescent="0.2">
      <c r="A3363" t="s">
        <v>102</v>
      </c>
    </row>
    <row r="3364" spans="1:1" x14ac:dyDescent="0.2">
      <c r="A3364" t="s">
        <v>102</v>
      </c>
    </row>
    <row r="3365" spans="1:1" x14ac:dyDescent="0.2">
      <c r="A3365" t="s">
        <v>102</v>
      </c>
    </row>
    <row r="3366" spans="1:1" x14ac:dyDescent="0.2">
      <c r="A3366" t="s">
        <v>102</v>
      </c>
    </row>
    <row r="3367" spans="1:1" x14ac:dyDescent="0.2">
      <c r="A3367" t="s">
        <v>102</v>
      </c>
    </row>
    <row r="3368" spans="1:1" x14ac:dyDescent="0.2">
      <c r="A3368" t="s">
        <v>102</v>
      </c>
    </row>
    <row r="3369" spans="1:1" x14ac:dyDescent="0.2">
      <c r="A3369" t="s">
        <v>102</v>
      </c>
    </row>
    <row r="3370" spans="1:1" x14ac:dyDescent="0.2">
      <c r="A3370" t="s">
        <v>102</v>
      </c>
    </row>
    <row r="3371" spans="1:1" x14ac:dyDescent="0.2">
      <c r="A3371" t="s">
        <v>102</v>
      </c>
    </row>
    <row r="3372" spans="1:1" x14ac:dyDescent="0.2">
      <c r="A3372" t="s">
        <v>102</v>
      </c>
    </row>
    <row r="3373" spans="1:1" x14ac:dyDescent="0.2">
      <c r="A3373" t="s">
        <v>102</v>
      </c>
    </row>
    <row r="3374" spans="1:1" x14ac:dyDescent="0.2">
      <c r="A3374" t="s">
        <v>102</v>
      </c>
    </row>
    <row r="3375" spans="1:1" x14ac:dyDescent="0.2">
      <c r="A3375" t="s">
        <v>102</v>
      </c>
    </row>
    <row r="3376" spans="1:1" x14ac:dyDescent="0.2">
      <c r="A3376" t="s">
        <v>102</v>
      </c>
    </row>
    <row r="3377" spans="1:1" x14ac:dyDescent="0.2">
      <c r="A3377" t="s">
        <v>102</v>
      </c>
    </row>
    <row r="3378" spans="1:1" x14ac:dyDescent="0.2">
      <c r="A3378" t="s">
        <v>102</v>
      </c>
    </row>
    <row r="3379" spans="1:1" x14ac:dyDescent="0.2">
      <c r="A3379" t="s">
        <v>102</v>
      </c>
    </row>
    <row r="3380" spans="1:1" x14ac:dyDescent="0.2">
      <c r="A3380" t="s">
        <v>102</v>
      </c>
    </row>
    <row r="3381" spans="1:1" x14ac:dyDescent="0.2">
      <c r="A3381" t="s">
        <v>102</v>
      </c>
    </row>
    <row r="3382" spans="1:1" x14ac:dyDescent="0.2">
      <c r="A3382" t="s">
        <v>102</v>
      </c>
    </row>
    <row r="3383" spans="1:1" x14ac:dyDescent="0.2">
      <c r="A3383" t="s">
        <v>102</v>
      </c>
    </row>
    <row r="3384" spans="1:1" x14ac:dyDescent="0.2">
      <c r="A3384" t="s">
        <v>102</v>
      </c>
    </row>
    <row r="3385" spans="1:1" x14ac:dyDescent="0.2">
      <c r="A3385" t="s">
        <v>102</v>
      </c>
    </row>
    <row r="3386" spans="1:1" x14ac:dyDescent="0.2">
      <c r="A3386" t="s">
        <v>102</v>
      </c>
    </row>
    <row r="3387" spans="1:1" x14ac:dyDescent="0.2">
      <c r="A3387" t="s">
        <v>102</v>
      </c>
    </row>
    <row r="3388" spans="1:1" x14ac:dyDescent="0.2">
      <c r="A3388" t="s">
        <v>102</v>
      </c>
    </row>
    <row r="3389" spans="1:1" x14ac:dyDescent="0.2">
      <c r="A3389" t="s">
        <v>102</v>
      </c>
    </row>
    <row r="3390" spans="1:1" x14ac:dyDescent="0.2">
      <c r="A3390" t="s">
        <v>102</v>
      </c>
    </row>
    <row r="3391" spans="1:1" x14ac:dyDescent="0.2">
      <c r="A3391" t="s">
        <v>102</v>
      </c>
    </row>
    <row r="3392" spans="1:1" x14ac:dyDescent="0.2">
      <c r="A3392" t="s">
        <v>102</v>
      </c>
    </row>
    <row r="3393" spans="1:1" x14ac:dyDescent="0.2">
      <c r="A3393" t="s">
        <v>102</v>
      </c>
    </row>
    <row r="3394" spans="1:1" x14ac:dyDescent="0.2">
      <c r="A3394" t="s">
        <v>102</v>
      </c>
    </row>
    <row r="3395" spans="1:1" x14ac:dyDescent="0.2">
      <c r="A3395" t="s">
        <v>102</v>
      </c>
    </row>
    <row r="3396" spans="1:1" x14ac:dyDescent="0.2">
      <c r="A3396" t="s">
        <v>102</v>
      </c>
    </row>
    <row r="3397" spans="1:1" x14ac:dyDescent="0.2">
      <c r="A3397" t="s">
        <v>102</v>
      </c>
    </row>
    <row r="3398" spans="1:1" x14ac:dyDescent="0.2">
      <c r="A3398" t="s">
        <v>102</v>
      </c>
    </row>
    <row r="3399" spans="1:1" x14ac:dyDescent="0.2">
      <c r="A3399" t="s">
        <v>102</v>
      </c>
    </row>
    <row r="3400" spans="1:1" x14ac:dyDescent="0.2">
      <c r="A3400" t="s">
        <v>102</v>
      </c>
    </row>
    <row r="3401" spans="1:1" x14ac:dyDescent="0.2">
      <c r="A3401" t="s">
        <v>102</v>
      </c>
    </row>
    <row r="3402" spans="1:1" x14ac:dyDescent="0.2">
      <c r="A3402" t="s">
        <v>102</v>
      </c>
    </row>
    <row r="3403" spans="1:1" x14ac:dyDescent="0.2">
      <c r="A3403" t="s">
        <v>102</v>
      </c>
    </row>
    <row r="3404" spans="1:1" x14ac:dyDescent="0.2">
      <c r="A3404" t="s">
        <v>102</v>
      </c>
    </row>
    <row r="3405" spans="1:1" x14ac:dyDescent="0.2">
      <c r="A3405" t="s">
        <v>102</v>
      </c>
    </row>
    <row r="3406" spans="1:1" x14ac:dyDescent="0.2">
      <c r="A3406" t="s">
        <v>102</v>
      </c>
    </row>
    <row r="3407" spans="1:1" x14ac:dyDescent="0.2">
      <c r="A3407" t="s">
        <v>102</v>
      </c>
    </row>
    <row r="3408" spans="1:1" x14ac:dyDescent="0.2">
      <c r="A3408" t="s">
        <v>102</v>
      </c>
    </row>
    <row r="3409" spans="1:1" x14ac:dyDescent="0.2">
      <c r="A3409" t="s">
        <v>102</v>
      </c>
    </row>
    <row r="3410" spans="1:1" x14ac:dyDescent="0.2">
      <c r="A3410" t="s">
        <v>102</v>
      </c>
    </row>
    <row r="3411" spans="1:1" x14ac:dyDescent="0.2">
      <c r="A3411" t="s">
        <v>102</v>
      </c>
    </row>
    <row r="3412" spans="1:1" x14ac:dyDescent="0.2">
      <c r="A3412" t="s">
        <v>102</v>
      </c>
    </row>
    <row r="3413" spans="1:1" x14ac:dyDescent="0.2">
      <c r="A3413" t="s">
        <v>102</v>
      </c>
    </row>
    <row r="3414" spans="1:1" x14ac:dyDescent="0.2">
      <c r="A3414" t="s">
        <v>102</v>
      </c>
    </row>
    <row r="3415" spans="1:1" x14ac:dyDescent="0.2">
      <c r="A3415" t="s">
        <v>102</v>
      </c>
    </row>
    <row r="3416" spans="1:1" x14ac:dyDescent="0.2">
      <c r="A3416" t="s">
        <v>102</v>
      </c>
    </row>
    <row r="3417" spans="1:1" x14ac:dyDescent="0.2">
      <c r="A3417" t="s">
        <v>102</v>
      </c>
    </row>
    <row r="3418" spans="1:1" x14ac:dyDescent="0.2">
      <c r="A3418" t="s">
        <v>102</v>
      </c>
    </row>
    <row r="3419" spans="1:1" x14ac:dyDescent="0.2">
      <c r="A3419" t="s">
        <v>102</v>
      </c>
    </row>
    <row r="3420" spans="1:1" x14ac:dyDescent="0.2">
      <c r="A3420" t="s">
        <v>102</v>
      </c>
    </row>
    <row r="3421" spans="1:1" x14ac:dyDescent="0.2">
      <c r="A3421" t="s">
        <v>102</v>
      </c>
    </row>
    <row r="3422" spans="1:1" x14ac:dyDescent="0.2">
      <c r="A3422" t="s">
        <v>102</v>
      </c>
    </row>
    <row r="3423" spans="1:1" x14ac:dyDescent="0.2">
      <c r="A3423" t="s">
        <v>102</v>
      </c>
    </row>
    <row r="3424" spans="1:1" x14ac:dyDescent="0.2">
      <c r="A3424" t="s">
        <v>102</v>
      </c>
    </row>
    <row r="3425" spans="1:1" x14ac:dyDescent="0.2">
      <c r="A3425" t="s">
        <v>102</v>
      </c>
    </row>
    <row r="3426" spans="1:1" x14ac:dyDescent="0.2">
      <c r="A3426" t="s">
        <v>102</v>
      </c>
    </row>
    <row r="3427" spans="1:1" x14ac:dyDescent="0.2">
      <c r="A3427" t="s">
        <v>102</v>
      </c>
    </row>
    <row r="3428" spans="1:1" x14ac:dyDescent="0.2">
      <c r="A3428" t="s">
        <v>102</v>
      </c>
    </row>
    <row r="3429" spans="1:1" x14ac:dyDescent="0.2">
      <c r="A3429" t="s">
        <v>102</v>
      </c>
    </row>
    <row r="3430" spans="1:1" x14ac:dyDescent="0.2">
      <c r="A3430" t="s">
        <v>102</v>
      </c>
    </row>
    <row r="3431" spans="1:1" x14ac:dyDescent="0.2">
      <c r="A3431" t="s">
        <v>102</v>
      </c>
    </row>
    <row r="3432" spans="1:1" x14ac:dyDescent="0.2">
      <c r="A3432" t="s">
        <v>102</v>
      </c>
    </row>
    <row r="3433" spans="1:1" x14ac:dyDescent="0.2">
      <c r="A3433" t="s">
        <v>102</v>
      </c>
    </row>
    <row r="3434" spans="1:1" x14ac:dyDescent="0.2">
      <c r="A3434" t="s">
        <v>102</v>
      </c>
    </row>
    <row r="3435" spans="1:1" x14ac:dyDescent="0.2">
      <c r="A3435" t="s">
        <v>102</v>
      </c>
    </row>
    <row r="3436" spans="1:1" x14ac:dyDescent="0.2">
      <c r="A3436" t="s">
        <v>102</v>
      </c>
    </row>
    <row r="3437" spans="1:1" x14ac:dyDescent="0.2">
      <c r="A3437" t="s">
        <v>102</v>
      </c>
    </row>
    <row r="3438" spans="1:1" x14ac:dyDescent="0.2">
      <c r="A3438" t="s">
        <v>102</v>
      </c>
    </row>
    <row r="3439" spans="1:1" x14ac:dyDescent="0.2">
      <c r="A3439" t="s">
        <v>102</v>
      </c>
    </row>
    <row r="3440" spans="1:1" x14ac:dyDescent="0.2">
      <c r="A3440" t="s">
        <v>102</v>
      </c>
    </row>
    <row r="3441" spans="1:1" x14ac:dyDescent="0.2">
      <c r="A3441" t="s">
        <v>102</v>
      </c>
    </row>
    <row r="3442" spans="1:1" x14ac:dyDescent="0.2">
      <c r="A3442" t="s">
        <v>102</v>
      </c>
    </row>
    <row r="3443" spans="1:1" x14ac:dyDescent="0.2">
      <c r="A3443" t="s">
        <v>102</v>
      </c>
    </row>
    <row r="3444" spans="1:1" x14ac:dyDescent="0.2">
      <c r="A3444" t="s">
        <v>102</v>
      </c>
    </row>
    <row r="3445" spans="1:1" x14ac:dyDescent="0.2">
      <c r="A3445" t="s">
        <v>102</v>
      </c>
    </row>
    <row r="3446" spans="1:1" x14ac:dyDescent="0.2">
      <c r="A3446" t="s">
        <v>102</v>
      </c>
    </row>
    <row r="3447" spans="1:1" x14ac:dyDescent="0.2">
      <c r="A3447" t="s">
        <v>102</v>
      </c>
    </row>
    <row r="3448" spans="1:1" x14ac:dyDescent="0.2">
      <c r="A3448" t="s">
        <v>102</v>
      </c>
    </row>
    <row r="3449" spans="1:1" x14ac:dyDescent="0.2">
      <c r="A3449" t="s">
        <v>102</v>
      </c>
    </row>
    <row r="3450" spans="1:1" x14ac:dyDescent="0.2">
      <c r="A3450" t="s">
        <v>102</v>
      </c>
    </row>
    <row r="3451" spans="1:1" x14ac:dyDescent="0.2">
      <c r="A3451" t="s">
        <v>102</v>
      </c>
    </row>
    <row r="3452" spans="1:1" x14ac:dyDescent="0.2">
      <c r="A3452" t="s">
        <v>102</v>
      </c>
    </row>
    <row r="3453" spans="1:1" x14ac:dyDescent="0.2">
      <c r="A3453" t="s">
        <v>102</v>
      </c>
    </row>
    <row r="3454" spans="1:1" x14ac:dyDescent="0.2">
      <c r="A3454" t="s">
        <v>102</v>
      </c>
    </row>
    <row r="3455" spans="1:1" x14ac:dyDescent="0.2">
      <c r="A3455" t="s">
        <v>102</v>
      </c>
    </row>
    <row r="3456" spans="1:1" x14ac:dyDescent="0.2">
      <c r="A3456" t="s">
        <v>102</v>
      </c>
    </row>
    <row r="3457" spans="1:1" x14ac:dyDescent="0.2">
      <c r="A3457" t="s">
        <v>102</v>
      </c>
    </row>
    <row r="3458" spans="1:1" x14ac:dyDescent="0.2">
      <c r="A3458" t="s">
        <v>102</v>
      </c>
    </row>
    <row r="3459" spans="1:1" x14ac:dyDescent="0.2">
      <c r="A3459" t="s">
        <v>102</v>
      </c>
    </row>
    <row r="3460" spans="1:1" x14ac:dyDescent="0.2">
      <c r="A3460" t="s">
        <v>102</v>
      </c>
    </row>
    <row r="3461" spans="1:1" x14ac:dyDescent="0.2">
      <c r="A3461" t="s">
        <v>102</v>
      </c>
    </row>
    <row r="3462" spans="1:1" x14ac:dyDescent="0.2">
      <c r="A3462" t="s">
        <v>102</v>
      </c>
    </row>
    <row r="3463" spans="1:1" x14ac:dyDescent="0.2">
      <c r="A3463" t="s">
        <v>102</v>
      </c>
    </row>
    <row r="3464" spans="1:1" x14ac:dyDescent="0.2">
      <c r="A3464" t="s">
        <v>102</v>
      </c>
    </row>
    <row r="3465" spans="1:1" x14ac:dyDescent="0.2">
      <c r="A3465" t="s">
        <v>102</v>
      </c>
    </row>
    <row r="3466" spans="1:1" x14ac:dyDescent="0.2">
      <c r="A3466" t="s">
        <v>102</v>
      </c>
    </row>
    <row r="3467" spans="1:1" x14ac:dyDescent="0.2">
      <c r="A3467" t="s">
        <v>102</v>
      </c>
    </row>
    <row r="3468" spans="1:1" x14ac:dyDescent="0.2">
      <c r="A3468" t="s">
        <v>102</v>
      </c>
    </row>
    <row r="3469" spans="1:1" x14ac:dyDescent="0.2">
      <c r="A3469" t="s">
        <v>102</v>
      </c>
    </row>
    <row r="3470" spans="1:1" x14ac:dyDescent="0.2">
      <c r="A3470" t="s">
        <v>102</v>
      </c>
    </row>
    <row r="3471" spans="1:1" x14ac:dyDescent="0.2">
      <c r="A3471" t="s">
        <v>102</v>
      </c>
    </row>
    <row r="3472" spans="1:1" x14ac:dyDescent="0.2">
      <c r="A3472" t="s">
        <v>102</v>
      </c>
    </row>
    <row r="3473" spans="1:1" x14ac:dyDescent="0.2">
      <c r="A3473" t="s">
        <v>102</v>
      </c>
    </row>
    <row r="3474" spans="1:1" x14ac:dyDescent="0.2">
      <c r="A3474" t="s">
        <v>102</v>
      </c>
    </row>
    <row r="3475" spans="1:1" x14ac:dyDescent="0.2">
      <c r="A3475" t="s">
        <v>102</v>
      </c>
    </row>
    <row r="3476" spans="1:1" x14ac:dyDescent="0.2">
      <c r="A3476" t="s">
        <v>102</v>
      </c>
    </row>
    <row r="3477" spans="1:1" x14ac:dyDescent="0.2">
      <c r="A3477" t="s">
        <v>102</v>
      </c>
    </row>
    <row r="3478" spans="1:1" x14ac:dyDescent="0.2">
      <c r="A3478" t="s">
        <v>102</v>
      </c>
    </row>
    <row r="3479" spans="1:1" x14ac:dyDescent="0.2">
      <c r="A3479" t="s">
        <v>102</v>
      </c>
    </row>
    <row r="3480" spans="1:1" x14ac:dyDescent="0.2">
      <c r="A3480" t="s">
        <v>102</v>
      </c>
    </row>
    <row r="3481" spans="1:1" x14ac:dyDescent="0.2">
      <c r="A3481" t="s">
        <v>102</v>
      </c>
    </row>
    <row r="3482" spans="1:1" x14ac:dyDescent="0.2">
      <c r="A3482" t="s">
        <v>102</v>
      </c>
    </row>
    <row r="3483" spans="1:1" x14ac:dyDescent="0.2">
      <c r="A3483" t="s">
        <v>102</v>
      </c>
    </row>
    <row r="3484" spans="1:1" x14ac:dyDescent="0.2">
      <c r="A3484" t="s">
        <v>102</v>
      </c>
    </row>
    <row r="3485" spans="1:1" x14ac:dyDescent="0.2">
      <c r="A3485" t="s">
        <v>102</v>
      </c>
    </row>
    <row r="3486" spans="1:1" x14ac:dyDescent="0.2">
      <c r="A3486" t="s">
        <v>102</v>
      </c>
    </row>
    <row r="3487" spans="1:1" x14ac:dyDescent="0.2">
      <c r="A3487" t="s">
        <v>102</v>
      </c>
    </row>
    <row r="3488" spans="1:1" x14ac:dyDescent="0.2">
      <c r="A3488" t="s">
        <v>102</v>
      </c>
    </row>
    <row r="3489" spans="1:1" x14ac:dyDescent="0.2">
      <c r="A3489" t="s">
        <v>102</v>
      </c>
    </row>
    <row r="3490" spans="1:1" x14ac:dyDescent="0.2">
      <c r="A3490" t="s">
        <v>102</v>
      </c>
    </row>
    <row r="3491" spans="1:1" x14ac:dyDescent="0.2">
      <c r="A3491" t="s">
        <v>102</v>
      </c>
    </row>
    <row r="3492" spans="1:1" x14ac:dyDescent="0.2">
      <c r="A3492" t="s">
        <v>102</v>
      </c>
    </row>
    <row r="3493" spans="1:1" x14ac:dyDescent="0.2">
      <c r="A3493" t="s">
        <v>102</v>
      </c>
    </row>
    <row r="3494" spans="1:1" x14ac:dyDescent="0.2">
      <c r="A3494" t="s">
        <v>102</v>
      </c>
    </row>
    <row r="3495" spans="1:1" x14ac:dyDescent="0.2">
      <c r="A3495" t="s">
        <v>102</v>
      </c>
    </row>
    <row r="3496" spans="1:1" x14ac:dyDescent="0.2">
      <c r="A3496" t="s">
        <v>102</v>
      </c>
    </row>
    <row r="3497" spans="1:1" x14ac:dyDescent="0.2">
      <c r="A3497" t="s">
        <v>102</v>
      </c>
    </row>
    <row r="3498" spans="1:1" x14ac:dyDescent="0.2">
      <c r="A3498" t="s">
        <v>102</v>
      </c>
    </row>
    <row r="3499" spans="1:1" x14ac:dyDescent="0.2">
      <c r="A3499" t="s">
        <v>102</v>
      </c>
    </row>
    <row r="3500" spans="1:1" x14ac:dyDescent="0.2">
      <c r="A3500" t="s">
        <v>102</v>
      </c>
    </row>
    <row r="3501" spans="1:1" x14ac:dyDescent="0.2">
      <c r="A3501" t="s">
        <v>102</v>
      </c>
    </row>
    <row r="3502" spans="1:1" x14ac:dyDescent="0.2">
      <c r="A3502" t="s">
        <v>102</v>
      </c>
    </row>
    <row r="3503" spans="1:1" x14ac:dyDescent="0.2">
      <c r="A3503" t="s">
        <v>102</v>
      </c>
    </row>
    <row r="3504" spans="1:1" x14ac:dyDescent="0.2">
      <c r="A3504" t="s">
        <v>102</v>
      </c>
    </row>
    <row r="3505" spans="1:1" x14ac:dyDescent="0.2">
      <c r="A3505" t="s">
        <v>102</v>
      </c>
    </row>
    <row r="3506" spans="1:1" x14ac:dyDescent="0.2">
      <c r="A3506" t="s">
        <v>102</v>
      </c>
    </row>
    <row r="3507" spans="1:1" x14ac:dyDescent="0.2">
      <c r="A3507" t="s">
        <v>102</v>
      </c>
    </row>
    <row r="3508" spans="1:1" x14ac:dyDescent="0.2">
      <c r="A3508" t="s">
        <v>102</v>
      </c>
    </row>
    <row r="3509" spans="1:1" x14ac:dyDescent="0.2">
      <c r="A3509" t="s">
        <v>102</v>
      </c>
    </row>
    <row r="3510" spans="1:1" x14ac:dyDescent="0.2">
      <c r="A3510" t="s">
        <v>102</v>
      </c>
    </row>
    <row r="3511" spans="1:1" x14ac:dyDescent="0.2">
      <c r="A3511" t="s">
        <v>102</v>
      </c>
    </row>
    <row r="3512" spans="1:1" x14ac:dyDescent="0.2">
      <c r="A3512" t="s">
        <v>102</v>
      </c>
    </row>
    <row r="3513" spans="1:1" x14ac:dyDescent="0.2">
      <c r="A3513" t="s">
        <v>102</v>
      </c>
    </row>
    <row r="3514" spans="1:1" x14ac:dyDescent="0.2">
      <c r="A3514" t="s">
        <v>102</v>
      </c>
    </row>
    <row r="3515" spans="1:1" x14ac:dyDescent="0.2">
      <c r="A3515" t="s">
        <v>102</v>
      </c>
    </row>
    <row r="3516" spans="1:1" x14ac:dyDescent="0.2">
      <c r="A3516" t="s">
        <v>102</v>
      </c>
    </row>
    <row r="3517" spans="1:1" x14ac:dyDescent="0.2">
      <c r="A3517" t="s">
        <v>102</v>
      </c>
    </row>
    <row r="3518" spans="1:1" x14ac:dyDescent="0.2">
      <c r="A3518" t="s">
        <v>102</v>
      </c>
    </row>
    <row r="3519" spans="1:1" x14ac:dyDescent="0.2">
      <c r="A3519" t="s">
        <v>102</v>
      </c>
    </row>
    <row r="3520" spans="1:1" x14ac:dyDescent="0.2">
      <c r="A3520" t="s">
        <v>102</v>
      </c>
    </row>
    <row r="3521" spans="1:1" x14ac:dyDescent="0.2">
      <c r="A3521" t="s">
        <v>102</v>
      </c>
    </row>
    <row r="3522" spans="1:1" x14ac:dyDescent="0.2">
      <c r="A3522" t="s">
        <v>102</v>
      </c>
    </row>
    <row r="3523" spans="1:1" x14ac:dyDescent="0.2">
      <c r="A3523" t="s">
        <v>102</v>
      </c>
    </row>
    <row r="3524" spans="1:1" x14ac:dyDescent="0.2">
      <c r="A3524" t="s">
        <v>102</v>
      </c>
    </row>
    <row r="3525" spans="1:1" x14ac:dyDescent="0.2">
      <c r="A3525" t="s">
        <v>102</v>
      </c>
    </row>
    <row r="3526" spans="1:1" x14ac:dyDescent="0.2">
      <c r="A3526" t="s">
        <v>102</v>
      </c>
    </row>
    <row r="3527" spans="1:1" x14ac:dyDescent="0.2">
      <c r="A3527" t="s">
        <v>102</v>
      </c>
    </row>
    <row r="3528" spans="1:1" x14ac:dyDescent="0.2">
      <c r="A3528" t="s">
        <v>102</v>
      </c>
    </row>
    <row r="3529" spans="1:1" x14ac:dyDescent="0.2">
      <c r="A3529" t="s">
        <v>102</v>
      </c>
    </row>
    <row r="3530" spans="1:1" x14ac:dyDescent="0.2">
      <c r="A3530" t="s">
        <v>102</v>
      </c>
    </row>
    <row r="3531" spans="1:1" x14ac:dyDescent="0.2">
      <c r="A3531" t="s">
        <v>102</v>
      </c>
    </row>
    <row r="3532" spans="1:1" x14ac:dyDescent="0.2">
      <c r="A3532" t="s">
        <v>102</v>
      </c>
    </row>
    <row r="3533" spans="1:1" x14ac:dyDescent="0.2">
      <c r="A3533" t="s">
        <v>102</v>
      </c>
    </row>
    <row r="3534" spans="1:1" x14ac:dyDescent="0.2">
      <c r="A3534" t="s">
        <v>102</v>
      </c>
    </row>
    <row r="3535" spans="1:1" x14ac:dyDescent="0.2">
      <c r="A3535" t="s">
        <v>102</v>
      </c>
    </row>
    <row r="3536" spans="1:1" x14ac:dyDescent="0.2">
      <c r="A3536" t="s">
        <v>102</v>
      </c>
    </row>
    <row r="3537" spans="1:1" x14ac:dyDescent="0.2">
      <c r="A3537" t="s">
        <v>102</v>
      </c>
    </row>
    <row r="3538" spans="1:1" x14ac:dyDescent="0.2">
      <c r="A3538" t="s">
        <v>102</v>
      </c>
    </row>
    <row r="3539" spans="1:1" x14ac:dyDescent="0.2">
      <c r="A3539" t="s">
        <v>102</v>
      </c>
    </row>
    <row r="3540" spans="1:1" x14ac:dyDescent="0.2">
      <c r="A3540" t="s">
        <v>102</v>
      </c>
    </row>
    <row r="3541" spans="1:1" x14ac:dyDescent="0.2">
      <c r="A3541" t="s">
        <v>102</v>
      </c>
    </row>
    <row r="3542" spans="1:1" x14ac:dyDescent="0.2">
      <c r="A3542" t="s">
        <v>102</v>
      </c>
    </row>
    <row r="3543" spans="1:1" x14ac:dyDescent="0.2">
      <c r="A3543" t="s">
        <v>102</v>
      </c>
    </row>
    <row r="3544" spans="1:1" x14ac:dyDescent="0.2">
      <c r="A3544" t="s">
        <v>102</v>
      </c>
    </row>
    <row r="3545" spans="1:1" x14ac:dyDescent="0.2">
      <c r="A3545" t="s">
        <v>102</v>
      </c>
    </row>
    <row r="3546" spans="1:1" x14ac:dyDescent="0.2">
      <c r="A3546" t="s">
        <v>102</v>
      </c>
    </row>
    <row r="3547" spans="1:1" x14ac:dyDescent="0.2">
      <c r="A3547" t="s">
        <v>102</v>
      </c>
    </row>
    <row r="3548" spans="1:1" x14ac:dyDescent="0.2">
      <c r="A3548" t="s">
        <v>102</v>
      </c>
    </row>
    <row r="3549" spans="1:1" x14ac:dyDescent="0.2">
      <c r="A3549" t="s">
        <v>102</v>
      </c>
    </row>
    <row r="3550" spans="1:1" x14ac:dyDescent="0.2">
      <c r="A3550" t="s">
        <v>102</v>
      </c>
    </row>
    <row r="3551" spans="1:1" x14ac:dyDescent="0.2">
      <c r="A3551" t="s">
        <v>102</v>
      </c>
    </row>
    <row r="3552" spans="1:1" x14ac:dyDescent="0.2">
      <c r="A3552" t="s">
        <v>102</v>
      </c>
    </row>
    <row r="3553" spans="1:1" x14ac:dyDescent="0.2">
      <c r="A3553" t="s">
        <v>102</v>
      </c>
    </row>
    <row r="3554" spans="1:1" x14ac:dyDescent="0.2">
      <c r="A3554" t="s">
        <v>102</v>
      </c>
    </row>
    <row r="3555" spans="1:1" x14ac:dyDescent="0.2">
      <c r="A3555" t="s">
        <v>102</v>
      </c>
    </row>
    <row r="3556" spans="1:1" x14ac:dyDescent="0.2">
      <c r="A3556" t="s">
        <v>102</v>
      </c>
    </row>
    <row r="3557" spans="1:1" x14ac:dyDescent="0.2">
      <c r="A3557" t="s">
        <v>102</v>
      </c>
    </row>
    <row r="3558" spans="1:1" x14ac:dyDescent="0.2">
      <c r="A3558" t="s">
        <v>102</v>
      </c>
    </row>
    <row r="3559" spans="1:1" x14ac:dyDescent="0.2">
      <c r="A3559" t="s">
        <v>102</v>
      </c>
    </row>
    <row r="3560" spans="1:1" x14ac:dyDescent="0.2">
      <c r="A3560" t="s">
        <v>102</v>
      </c>
    </row>
    <row r="3561" spans="1:1" x14ac:dyDescent="0.2">
      <c r="A3561" t="s">
        <v>102</v>
      </c>
    </row>
    <row r="3562" spans="1:1" x14ac:dyDescent="0.2">
      <c r="A3562" t="s">
        <v>102</v>
      </c>
    </row>
    <row r="3563" spans="1:1" x14ac:dyDescent="0.2">
      <c r="A3563" t="s">
        <v>102</v>
      </c>
    </row>
    <row r="3564" spans="1:1" x14ac:dyDescent="0.2">
      <c r="A3564" t="s">
        <v>102</v>
      </c>
    </row>
    <row r="3565" spans="1:1" x14ac:dyDescent="0.2">
      <c r="A3565" t="s">
        <v>102</v>
      </c>
    </row>
    <row r="3566" spans="1:1" x14ac:dyDescent="0.2">
      <c r="A3566" t="s">
        <v>102</v>
      </c>
    </row>
    <row r="3567" spans="1:1" x14ac:dyDescent="0.2">
      <c r="A3567" t="s">
        <v>102</v>
      </c>
    </row>
    <row r="3568" spans="1:1" x14ac:dyDescent="0.2">
      <c r="A3568" t="s">
        <v>102</v>
      </c>
    </row>
    <row r="3569" spans="1:1" x14ac:dyDescent="0.2">
      <c r="A3569" t="s">
        <v>102</v>
      </c>
    </row>
    <row r="3570" spans="1:1" x14ac:dyDescent="0.2">
      <c r="A3570" t="s">
        <v>102</v>
      </c>
    </row>
    <row r="3571" spans="1:1" x14ac:dyDescent="0.2">
      <c r="A3571" t="s">
        <v>102</v>
      </c>
    </row>
    <row r="3572" spans="1:1" x14ac:dyDescent="0.2">
      <c r="A3572" t="s">
        <v>102</v>
      </c>
    </row>
    <row r="3573" spans="1:1" x14ac:dyDescent="0.2">
      <c r="A3573" t="s">
        <v>102</v>
      </c>
    </row>
    <row r="3574" spans="1:1" x14ac:dyDescent="0.2">
      <c r="A3574" t="s">
        <v>102</v>
      </c>
    </row>
    <row r="3575" spans="1:1" x14ac:dyDescent="0.2">
      <c r="A3575" t="s">
        <v>102</v>
      </c>
    </row>
    <row r="3576" spans="1:1" x14ac:dyDescent="0.2">
      <c r="A3576" t="s">
        <v>102</v>
      </c>
    </row>
    <row r="3577" spans="1:1" x14ac:dyDescent="0.2">
      <c r="A3577" t="s">
        <v>102</v>
      </c>
    </row>
    <row r="3578" spans="1:1" x14ac:dyDescent="0.2">
      <c r="A3578" t="s">
        <v>102</v>
      </c>
    </row>
    <row r="3579" spans="1:1" x14ac:dyDescent="0.2">
      <c r="A3579" t="s">
        <v>102</v>
      </c>
    </row>
    <row r="3580" spans="1:1" x14ac:dyDescent="0.2">
      <c r="A3580" t="s">
        <v>102</v>
      </c>
    </row>
    <row r="3581" spans="1:1" x14ac:dyDescent="0.2">
      <c r="A3581" t="s">
        <v>102</v>
      </c>
    </row>
    <row r="3582" spans="1:1" x14ac:dyDescent="0.2">
      <c r="A3582" t="s">
        <v>102</v>
      </c>
    </row>
    <row r="3583" spans="1:1" x14ac:dyDescent="0.2">
      <c r="A3583" t="s">
        <v>102</v>
      </c>
    </row>
    <row r="3584" spans="1:1" x14ac:dyDescent="0.2">
      <c r="A3584" t="s">
        <v>102</v>
      </c>
    </row>
    <row r="3585" spans="1:1" x14ac:dyDescent="0.2">
      <c r="A3585" t="s">
        <v>102</v>
      </c>
    </row>
    <row r="3586" spans="1:1" x14ac:dyDescent="0.2">
      <c r="A3586" t="s">
        <v>102</v>
      </c>
    </row>
    <row r="3587" spans="1:1" x14ac:dyDescent="0.2">
      <c r="A3587" t="s">
        <v>102</v>
      </c>
    </row>
    <row r="3588" spans="1:1" x14ac:dyDescent="0.2">
      <c r="A3588" t="s">
        <v>102</v>
      </c>
    </row>
    <row r="3589" spans="1:1" x14ac:dyDescent="0.2">
      <c r="A3589" t="s">
        <v>102</v>
      </c>
    </row>
    <row r="3590" spans="1:1" x14ac:dyDescent="0.2">
      <c r="A3590" t="s">
        <v>102</v>
      </c>
    </row>
    <row r="3591" spans="1:1" x14ac:dyDescent="0.2">
      <c r="A3591" t="s">
        <v>102</v>
      </c>
    </row>
    <row r="3592" spans="1:1" x14ac:dyDescent="0.2">
      <c r="A3592" t="s">
        <v>102</v>
      </c>
    </row>
    <row r="3593" spans="1:1" x14ac:dyDescent="0.2">
      <c r="A3593" t="s">
        <v>102</v>
      </c>
    </row>
    <row r="3594" spans="1:1" x14ac:dyDescent="0.2">
      <c r="A3594" t="s">
        <v>102</v>
      </c>
    </row>
    <row r="3595" spans="1:1" x14ac:dyDescent="0.2">
      <c r="A3595" t="s">
        <v>102</v>
      </c>
    </row>
    <row r="3596" spans="1:1" x14ac:dyDescent="0.2">
      <c r="A3596" t="s">
        <v>102</v>
      </c>
    </row>
    <row r="3597" spans="1:1" x14ac:dyDescent="0.2">
      <c r="A3597" t="s">
        <v>102</v>
      </c>
    </row>
    <row r="3598" spans="1:1" x14ac:dyDescent="0.2">
      <c r="A3598" t="s">
        <v>102</v>
      </c>
    </row>
    <row r="3599" spans="1:1" x14ac:dyDescent="0.2">
      <c r="A3599" t="s">
        <v>102</v>
      </c>
    </row>
    <row r="3600" spans="1:1" x14ac:dyDescent="0.2">
      <c r="A3600" t="s">
        <v>102</v>
      </c>
    </row>
    <row r="3601" spans="1:1" x14ac:dyDescent="0.2">
      <c r="A3601" t="s">
        <v>102</v>
      </c>
    </row>
    <row r="3602" spans="1:1" x14ac:dyDescent="0.2">
      <c r="A3602" t="s">
        <v>102</v>
      </c>
    </row>
    <row r="3603" spans="1:1" x14ac:dyDescent="0.2">
      <c r="A3603" t="s">
        <v>102</v>
      </c>
    </row>
    <row r="3604" spans="1:1" x14ac:dyDescent="0.2">
      <c r="A3604" t="s">
        <v>102</v>
      </c>
    </row>
    <row r="3605" spans="1:1" x14ac:dyDescent="0.2">
      <c r="A3605" t="s">
        <v>102</v>
      </c>
    </row>
    <row r="3606" spans="1:1" x14ac:dyDescent="0.2">
      <c r="A3606" t="s">
        <v>102</v>
      </c>
    </row>
    <row r="3607" spans="1:1" x14ac:dyDescent="0.2">
      <c r="A3607" t="s">
        <v>102</v>
      </c>
    </row>
    <row r="3608" spans="1:1" x14ac:dyDescent="0.2">
      <c r="A3608" t="s">
        <v>102</v>
      </c>
    </row>
    <row r="3609" spans="1:1" x14ac:dyDescent="0.2">
      <c r="A3609" t="s">
        <v>102</v>
      </c>
    </row>
    <row r="3610" spans="1:1" x14ac:dyDescent="0.2">
      <c r="A3610" t="s">
        <v>102</v>
      </c>
    </row>
    <row r="3611" spans="1:1" x14ac:dyDescent="0.2">
      <c r="A3611" t="s">
        <v>102</v>
      </c>
    </row>
    <row r="3612" spans="1:1" x14ac:dyDescent="0.2">
      <c r="A3612" t="s">
        <v>102</v>
      </c>
    </row>
    <row r="3613" spans="1:1" x14ac:dyDescent="0.2">
      <c r="A3613" t="s">
        <v>102</v>
      </c>
    </row>
    <row r="3614" spans="1:1" x14ac:dyDescent="0.2">
      <c r="A3614" t="s">
        <v>102</v>
      </c>
    </row>
    <row r="3615" spans="1:1" x14ac:dyDescent="0.2">
      <c r="A3615" t="s">
        <v>102</v>
      </c>
    </row>
    <row r="3616" spans="1:1" x14ac:dyDescent="0.2">
      <c r="A3616" t="s">
        <v>102</v>
      </c>
    </row>
    <row r="3617" spans="1:1" x14ac:dyDescent="0.2">
      <c r="A3617" t="s">
        <v>102</v>
      </c>
    </row>
    <row r="3618" spans="1:1" x14ac:dyDescent="0.2">
      <c r="A3618" t="s">
        <v>102</v>
      </c>
    </row>
    <row r="3619" spans="1:1" x14ac:dyDescent="0.2">
      <c r="A3619" t="s">
        <v>102</v>
      </c>
    </row>
    <row r="3620" spans="1:1" x14ac:dyDescent="0.2">
      <c r="A3620" t="s">
        <v>102</v>
      </c>
    </row>
    <row r="3621" spans="1:1" x14ac:dyDescent="0.2">
      <c r="A3621" t="s">
        <v>102</v>
      </c>
    </row>
    <row r="3622" spans="1:1" x14ac:dyDescent="0.2">
      <c r="A3622" t="s">
        <v>102</v>
      </c>
    </row>
    <row r="3623" spans="1:1" x14ac:dyDescent="0.2">
      <c r="A3623" t="s">
        <v>102</v>
      </c>
    </row>
    <row r="3624" spans="1:1" x14ac:dyDescent="0.2">
      <c r="A3624" t="s">
        <v>102</v>
      </c>
    </row>
    <row r="3625" spans="1:1" x14ac:dyDescent="0.2">
      <c r="A3625" t="s">
        <v>102</v>
      </c>
    </row>
    <row r="3626" spans="1:1" x14ac:dyDescent="0.2">
      <c r="A3626" t="s">
        <v>102</v>
      </c>
    </row>
    <row r="3627" spans="1:1" x14ac:dyDescent="0.2">
      <c r="A3627" t="s">
        <v>102</v>
      </c>
    </row>
    <row r="3628" spans="1:1" x14ac:dyDescent="0.2">
      <c r="A3628" t="s">
        <v>102</v>
      </c>
    </row>
    <row r="3629" spans="1:1" x14ac:dyDescent="0.2">
      <c r="A3629" t="s">
        <v>102</v>
      </c>
    </row>
    <row r="3630" spans="1:1" x14ac:dyDescent="0.2">
      <c r="A3630" t="s">
        <v>102</v>
      </c>
    </row>
    <row r="3631" spans="1:1" x14ac:dyDescent="0.2">
      <c r="A3631" t="s">
        <v>102</v>
      </c>
    </row>
    <row r="3632" spans="1:1" x14ac:dyDescent="0.2">
      <c r="A3632" t="s">
        <v>102</v>
      </c>
    </row>
    <row r="3633" spans="1:1" x14ac:dyDescent="0.2">
      <c r="A3633" t="s">
        <v>102</v>
      </c>
    </row>
    <row r="3634" spans="1:1" x14ac:dyDescent="0.2">
      <c r="A3634" t="s">
        <v>102</v>
      </c>
    </row>
    <row r="3635" spans="1:1" x14ac:dyDescent="0.2">
      <c r="A3635" t="s">
        <v>102</v>
      </c>
    </row>
    <row r="3636" spans="1:1" x14ac:dyDescent="0.2">
      <c r="A3636" t="s">
        <v>102</v>
      </c>
    </row>
    <row r="3637" spans="1:1" x14ac:dyDescent="0.2">
      <c r="A3637" t="s">
        <v>102</v>
      </c>
    </row>
    <row r="3638" spans="1:1" x14ac:dyDescent="0.2">
      <c r="A3638" t="s">
        <v>102</v>
      </c>
    </row>
    <row r="3639" spans="1:1" x14ac:dyDescent="0.2">
      <c r="A3639" t="s">
        <v>102</v>
      </c>
    </row>
    <row r="3640" spans="1:1" x14ac:dyDescent="0.2">
      <c r="A3640" t="s">
        <v>102</v>
      </c>
    </row>
    <row r="3641" spans="1:1" x14ac:dyDescent="0.2">
      <c r="A3641" t="s">
        <v>102</v>
      </c>
    </row>
    <row r="3642" spans="1:1" x14ac:dyDescent="0.2">
      <c r="A3642" t="s">
        <v>102</v>
      </c>
    </row>
    <row r="3643" spans="1:1" x14ac:dyDescent="0.2">
      <c r="A3643" t="s">
        <v>102</v>
      </c>
    </row>
    <row r="3644" spans="1:1" x14ac:dyDescent="0.2">
      <c r="A3644" t="s">
        <v>102</v>
      </c>
    </row>
    <row r="3645" spans="1:1" x14ac:dyDescent="0.2">
      <c r="A3645" t="s">
        <v>102</v>
      </c>
    </row>
    <row r="3646" spans="1:1" x14ac:dyDescent="0.2">
      <c r="A3646" t="s">
        <v>102</v>
      </c>
    </row>
    <row r="3647" spans="1:1" x14ac:dyDescent="0.2">
      <c r="A3647" t="s">
        <v>102</v>
      </c>
    </row>
    <row r="3648" spans="1:1" x14ac:dyDescent="0.2">
      <c r="A3648" t="s">
        <v>102</v>
      </c>
    </row>
    <row r="3649" spans="1:1" x14ac:dyDescent="0.2">
      <c r="A3649" t="s">
        <v>102</v>
      </c>
    </row>
    <row r="3650" spans="1:1" x14ac:dyDescent="0.2">
      <c r="A3650" t="s">
        <v>102</v>
      </c>
    </row>
    <row r="3651" spans="1:1" x14ac:dyDescent="0.2">
      <c r="A3651" t="s">
        <v>102</v>
      </c>
    </row>
    <row r="3652" spans="1:1" x14ac:dyDescent="0.2">
      <c r="A3652" t="s">
        <v>102</v>
      </c>
    </row>
    <row r="3653" spans="1:1" x14ac:dyDescent="0.2">
      <c r="A3653" t="s">
        <v>102</v>
      </c>
    </row>
    <row r="3654" spans="1:1" x14ac:dyDescent="0.2">
      <c r="A3654" t="s">
        <v>102</v>
      </c>
    </row>
    <row r="3655" spans="1:1" x14ac:dyDescent="0.2">
      <c r="A3655" t="s">
        <v>102</v>
      </c>
    </row>
    <row r="3656" spans="1:1" x14ac:dyDescent="0.2">
      <c r="A3656" t="s">
        <v>102</v>
      </c>
    </row>
    <row r="3657" spans="1:1" x14ac:dyDescent="0.2">
      <c r="A3657" t="s">
        <v>102</v>
      </c>
    </row>
    <row r="3658" spans="1:1" x14ac:dyDescent="0.2">
      <c r="A3658" t="s">
        <v>102</v>
      </c>
    </row>
    <row r="3659" spans="1:1" x14ac:dyDescent="0.2">
      <c r="A3659" t="s">
        <v>102</v>
      </c>
    </row>
    <row r="3660" spans="1:1" x14ac:dyDescent="0.2">
      <c r="A3660" t="s">
        <v>102</v>
      </c>
    </row>
    <row r="3661" spans="1:1" x14ac:dyDescent="0.2">
      <c r="A3661" t="s">
        <v>102</v>
      </c>
    </row>
    <row r="3662" spans="1:1" x14ac:dyDescent="0.2">
      <c r="A3662" t="s">
        <v>102</v>
      </c>
    </row>
    <row r="3663" spans="1:1" x14ac:dyDescent="0.2">
      <c r="A3663" t="s">
        <v>102</v>
      </c>
    </row>
    <row r="3664" spans="1:1" x14ac:dyDescent="0.2">
      <c r="A3664" t="s">
        <v>102</v>
      </c>
    </row>
    <row r="3665" spans="1:1" x14ac:dyDescent="0.2">
      <c r="A3665" t="s">
        <v>102</v>
      </c>
    </row>
    <row r="3666" spans="1:1" x14ac:dyDescent="0.2">
      <c r="A3666" t="s">
        <v>102</v>
      </c>
    </row>
    <row r="3667" spans="1:1" x14ac:dyDescent="0.2">
      <c r="A3667" t="s">
        <v>102</v>
      </c>
    </row>
    <row r="3668" spans="1:1" x14ac:dyDescent="0.2">
      <c r="A3668" t="s">
        <v>102</v>
      </c>
    </row>
    <row r="3669" spans="1:1" x14ac:dyDescent="0.2">
      <c r="A3669" t="s">
        <v>102</v>
      </c>
    </row>
    <row r="3670" spans="1:1" x14ac:dyDescent="0.2">
      <c r="A3670" t="s">
        <v>102</v>
      </c>
    </row>
    <row r="3671" spans="1:1" x14ac:dyDescent="0.2">
      <c r="A3671" t="s">
        <v>102</v>
      </c>
    </row>
    <row r="3672" spans="1:1" x14ac:dyDescent="0.2">
      <c r="A3672" t="s">
        <v>102</v>
      </c>
    </row>
    <row r="3673" spans="1:1" x14ac:dyDescent="0.2">
      <c r="A3673" t="s">
        <v>102</v>
      </c>
    </row>
    <row r="3674" spans="1:1" x14ac:dyDescent="0.2">
      <c r="A3674" t="s">
        <v>102</v>
      </c>
    </row>
    <row r="3675" spans="1:1" x14ac:dyDescent="0.2">
      <c r="A3675" t="s">
        <v>102</v>
      </c>
    </row>
    <row r="3676" spans="1:1" x14ac:dyDescent="0.2">
      <c r="A3676" t="s">
        <v>102</v>
      </c>
    </row>
    <row r="3677" spans="1:1" x14ac:dyDescent="0.2">
      <c r="A3677" t="s">
        <v>102</v>
      </c>
    </row>
    <row r="3678" spans="1:1" x14ac:dyDescent="0.2">
      <c r="A3678" t="s">
        <v>102</v>
      </c>
    </row>
    <row r="3679" spans="1:1" x14ac:dyDescent="0.2">
      <c r="A3679" t="s">
        <v>102</v>
      </c>
    </row>
    <row r="3680" spans="1:1" x14ac:dyDescent="0.2">
      <c r="A3680" t="s">
        <v>102</v>
      </c>
    </row>
    <row r="3681" spans="1:1" x14ac:dyDescent="0.2">
      <c r="A3681" t="s">
        <v>102</v>
      </c>
    </row>
    <row r="3682" spans="1:1" x14ac:dyDescent="0.2">
      <c r="A3682" t="s">
        <v>102</v>
      </c>
    </row>
    <row r="3683" spans="1:1" x14ac:dyDescent="0.2">
      <c r="A3683" t="s">
        <v>102</v>
      </c>
    </row>
    <row r="3684" spans="1:1" x14ac:dyDescent="0.2">
      <c r="A3684" t="s">
        <v>102</v>
      </c>
    </row>
    <row r="3685" spans="1:1" x14ac:dyDescent="0.2">
      <c r="A3685" t="s">
        <v>102</v>
      </c>
    </row>
    <row r="3686" spans="1:1" x14ac:dyDescent="0.2">
      <c r="A3686" t="s">
        <v>102</v>
      </c>
    </row>
    <row r="3687" spans="1:1" x14ac:dyDescent="0.2">
      <c r="A3687" t="s">
        <v>102</v>
      </c>
    </row>
    <row r="3688" spans="1:1" x14ac:dyDescent="0.2">
      <c r="A3688" t="s">
        <v>102</v>
      </c>
    </row>
    <row r="3689" spans="1:1" x14ac:dyDescent="0.2">
      <c r="A3689" t="s">
        <v>102</v>
      </c>
    </row>
    <row r="3690" spans="1:1" x14ac:dyDescent="0.2">
      <c r="A3690" t="s">
        <v>102</v>
      </c>
    </row>
    <row r="3691" spans="1:1" x14ac:dyDescent="0.2">
      <c r="A3691" t="s">
        <v>102</v>
      </c>
    </row>
    <row r="3692" spans="1:1" x14ac:dyDescent="0.2">
      <c r="A3692" t="s">
        <v>102</v>
      </c>
    </row>
    <row r="3693" spans="1:1" x14ac:dyDescent="0.2">
      <c r="A3693" t="s">
        <v>102</v>
      </c>
    </row>
    <row r="3694" spans="1:1" x14ac:dyDescent="0.2">
      <c r="A3694" t="s">
        <v>102</v>
      </c>
    </row>
    <row r="3695" spans="1:1" x14ac:dyDescent="0.2">
      <c r="A3695" t="s">
        <v>102</v>
      </c>
    </row>
    <row r="3696" spans="1:1" x14ac:dyDescent="0.2">
      <c r="A3696" t="s">
        <v>102</v>
      </c>
    </row>
    <row r="3697" spans="1:1" x14ac:dyDescent="0.2">
      <c r="A3697" t="s">
        <v>102</v>
      </c>
    </row>
    <row r="3698" spans="1:1" x14ac:dyDescent="0.2">
      <c r="A3698" t="s">
        <v>102</v>
      </c>
    </row>
    <row r="3699" spans="1:1" x14ac:dyDescent="0.2">
      <c r="A3699" t="s">
        <v>102</v>
      </c>
    </row>
    <row r="3700" spans="1:1" x14ac:dyDescent="0.2">
      <c r="A3700" t="s">
        <v>102</v>
      </c>
    </row>
    <row r="3701" spans="1:1" x14ac:dyDescent="0.2">
      <c r="A3701" t="s">
        <v>102</v>
      </c>
    </row>
    <row r="3702" spans="1:1" x14ac:dyDescent="0.2">
      <c r="A3702" t="s">
        <v>102</v>
      </c>
    </row>
    <row r="3703" spans="1:1" x14ac:dyDescent="0.2">
      <c r="A3703" t="s">
        <v>102</v>
      </c>
    </row>
    <row r="3704" spans="1:1" x14ac:dyDescent="0.2">
      <c r="A3704" t="s">
        <v>102</v>
      </c>
    </row>
    <row r="3705" spans="1:1" x14ac:dyDescent="0.2">
      <c r="A3705" t="s">
        <v>102</v>
      </c>
    </row>
    <row r="3706" spans="1:1" x14ac:dyDescent="0.2">
      <c r="A3706" t="s">
        <v>102</v>
      </c>
    </row>
    <row r="3707" spans="1:1" x14ac:dyDescent="0.2">
      <c r="A3707" t="s">
        <v>102</v>
      </c>
    </row>
    <row r="3708" spans="1:1" x14ac:dyDescent="0.2">
      <c r="A3708" t="s">
        <v>102</v>
      </c>
    </row>
    <row r="3709" spans="1:1" x14ac:dyDescent="0.2">
      <c r="A3709" t="s">
        <v>102</v>
      </c>
    </row>
    <row r="3710" spans="1:1" x14ac:dyDescent="0.2">
      <c r="A3710" t="s">
        <v>102</v>
      </c>
    </row>
    <row r="3711" spans="1:1" x14ac:dyDescent="0.2">
      <c r="A3711" t="s">
        <v>102</v>
      </c>
    </row>
    <row r="3712" spans="1:1" x14ac:dyDescent="0.2">
      <c r="A3712" t="s">
        <v>102</v>
      </c>
    </row>
    <row r="3713" spans="1:1" x14ac:dyDescent="0.2">
      <c r="A3713" t="s">
        <v>102</v>
      </c>
    </row>
    <row r="3714" spans="1:1" x14ac:dyDescent="0.2">
      <c r="A3714" t="s">
        <v>102</v>
      </c>
    </row>
    <row r="3715" spans="1:1" x14ac:dyDescent="0.2">
      <c r="A3715" t="s">
        <v>102</v>
      </c>
    </row>
    <row r="3716" spans="1:1" x14ac:dyDescent="0.2">
      <c r="A3716" t="s">
        <v>102</v>
      </c>
    </row>
    <row r="3717" spans="1:1" x14ac:dyDescent="0.2">
      <c r="A3717" t="s">
        <v>102</v>
      </c>
    </row>
    <row r="3718" spans="1:1" x14ac:dyDescent="0.2">
      <c r="A3718" t="s">
        <v>102</v>
      </c>
    </row>
    <row r="3719" spans="1:1" x14ac:dyDescent="0.2">
      <c r="A3719" t="s">
        <v>102</v>
      </c>
    </row>
    <row r="3720" spans="1:1" x14ac:dyDescent="0.2">
      <c r="A3720" t="s">
        <v>102</v>
      </c>
    </row>
    <row r="3721" spans="1:1" x14ac:dyDescent="0.2">
      <c r="A3721" t="s">
        <v>102</v>
      </c>
    </row>
    <row r="3722" spans="1:1" x14ac:dyDescent="0.2">
      <c r="A3722" t="s">
        <v>102</v>
      </c>
    </row>
    <row r="3723" spans="1:1" x14ac:dyDescent="0.2">
      <c r="A3723" t="s">
        <v>102</v>
      </c>
    </row>
    <row r="3724" spans="1:1" x14ac:dyDescent="0.2">
      <c r="A3724" t="s">
        <v>102</v>
      </c>
    </row>
    <row r="3725" spans="1:1" x14ac:dyDescent="0.2">
      <c r="A3725" t="s">
        <v>102</v>
      </c>
    </row>
    <row r="3726" spans="1:1" x14ac:dyDescent="0.2">
      <c r="A3726" t="s">
        <v>102</v>
      </c>
    </row>
    <row r="3727" spans="1:1" x14ac:dyDescent="0.2">
      <c r="A3727" t="s">
        <v>102</v>
      </c>
    </row>
    <row r="3728" spans="1:1" x14ac:dyDescent="0.2">
      <c r="A3728" t="s">
        <v>102</v>
      </c>
    </row>
    <row r="3729" spans="1:1" x14ac:dyDescent="0.2">
      <c r="A3729" t="s">
        <v>102</v>
      </c>
    </row>
    <row r="3730" spans="1:1" x14ac:dyDescent="0.2">
      <c r="A3730" t="s">
        <v>102</v>
      </c>
    </row>
    <row r="3731" spans="1:1" x14ac:dyDescent="0.2">
      <c r="A3731" t="s">
        <v>102</v>
      </c>
    </row>
    <row r="3732" spans="1:1" x14ac:dyDescent="0.2">
      <c r="A3732" t="s">
        <v>102</v>
      </c>
    </row>
    <row r="3733" spans="1:1" x14ac:dyDescent="0.2">
      <c r="A3733" t="s">
        <v>102</v>
      </c>
    </row>
    <row r="3734" spans="1:1" x14ac:dyDescent="0.2">
      <c r="A3734" t="s">
        <v>102</v>
      </c>
    </row>
    <row r="3735" spans="1:1" x14ac:dyDescent="0.2">
      <c r="A3735" t="s">
        <v>102</v>
      </c>
    </row>
    <row r="3736" spans="1:1" x14ac:dyDescent="0.2">
      <c r="A3736" t="s">
        <v>102</v>
      </c>
    </row>
    <row r="3737" spans="1:1" x14ac:dyDescent="0.2">
      <c r="A3737" t="s">
        <v>102</v>
      </c>
    </row>
    <row r="3738" spans="1:1" x14ac:dyDescent="0.2">
      <c r="A3738" t="s">
        <v>102</v>
      </c>
    </row>
    <row r="3739" spans="1:1" x14ac:dyDescent="0.2">
      <c r="A3739" t="s">
        <v>102</v>
      </c>
    </row>
    <row r="3740" spans="1:1" x14ac:dyDescent="0.2">
      <c r="A3740" t="s">
        <v>102</v>
      </c>
    </row>
    <row r="3741" spans="1:1" x14ac:dyDescent="0.2">
      <c r="A3741" t="s">
        <v>102</v>
      </c>
    </row>
    <row r="3742" spans="1:1" x14ac:dyDescent="0.2">
      <c r="A3742" t="s">
        <v>102</v>
      </c>
    </row>
    <row r="3743" spans="1:1" x14ac:dyDescent="0.2">
      <c r="A3743" t="s">
        <v>102</v>
      </c>
    </row>
    <row r="3744" spans="1:1" x14ac:dyDescent="0.2">
      <c r="A3744" t="s">
        <v>102</v>
      </c>
    </row>
    <row r="3745" spans="1:1" x14ac:dyDescent="0.2">
      <c r="A3745" t="s">
        <v>102</v>
      </c>
    </row>
    <row r="3746" spans="1:1" x14ac:dyDescent="0.2">
      <c r="A3746" t="s">
        <v>102</v>
      </c>
    </row>
    <row r="3747" spans="1:1" x14ac:dyDescent="0.2">
      <c r="A3747" t="s">
        <v>102</v>
      </c>
    </row>
    <row r="3748" spans="1:1" x14ac:dyDescent="0.2">
      <c r="A3748" t="s">
        <v>102</v>
      </c>
    </row>
    <row r="3749" spans="1:1" x14ac:dyDescent="0.2">
      <c r="A3749" t="s">
        <v>102</v>
      </c>
    </row>
    <row r="3750" spans="1:1" x14ac:dyDescent="0.2">
      <c r="A3750" t="s">
        <v>102</v>
      </c>
    </row>
    <row r="3751" spans="1:1" x14ac:dyDescent="0.2">
      <c r="A3751" t="s">
        <v>102</v>
      </c>
    </row>
    <row r="3752" spans="1:1" x14ac:dyDescent="0.2">
      <c r="A3752" t="s">
        <v>102</v>
      </c>
    </row>
    <row r="3753" spans="1:1" x14ac:dyDescent="0.2">
      <c r="A3753" t="s">
        <v>102</v>
      </c>
    </row>
    <row r="3754" spans="1:1" x14ac:dyDescent="0.2">
      <c r="A3754" t="s">
        <v>102</v>
      </c>
    </row>
    <row r="3755" spans="1:1" x14ac:dyDescent="0.2">
      <c r="A3755" t="s">
        <v>102</v>
      </c>
    </row>
    <row r="3756" spans="1:1" x14ac:dyDescent="0.2">
      <c r="A3756" t="s">
        <v>102</v>
      </c>
    </row>
    <row r="3757" spans="1:1" x14ac:dyDescent="0.2">
      <c r="A3757" t="s">
        <v>102</v>
      </c>
    </row>
    <row r="3758" spans="1:1" x14ac:dyDescent="0.2">
      <c r="A3758" t="s">
        <v>102</v>
      </c>
    </row>
    <row r="3759" spans="1:1" x14ac:dyDescent="0.2">
      <c r="A3759" t="s">
        <v>102</v>
      </c>
    </row>
    <row r="3760" spans="1:1" x14ac:dyDescent="0.2">
      <c r="A3760" t="s">
        <v>102</v>
      </c>
    </row>
    <row r="3761" spans="1:1" x14ac:dyDescent="0.2">
      <c r="A3761" t="s">
        <v>102</v>
      </c>
    </row>
    <row r="3762" spans="1:1" x14ac:dyDescent="0.2">
      <c r="A3762" t="s">
        <v>102</v>
      </c>
    </row>
    <row r="3763" spans="1:1" x14ac:dyDescent="0.2">
      <c r="A3763" t="s">
        <v>102</v>
      </c>
    </row>
    <row r="3764" spans="1:1" x14ac:dyDescent="0.2">
      <c r="A3764" t="s">
        <v>102</v>
      </c>
    </row>
    <row r="3765" spans="1:1" x14ac:dyDescent="0.2">
      <c r="A3765" t="s">
        <v>102</v>
      </c>
    </row>
    <row r="3766" spans="1:1" x14ac:dyDescent="0.2">
      <c r="A3766" t="s">
        <v>102</v>
      </c>
    </row>
    <row r="3767" spans="1:1" x14ac:dyDescent="0.2">
      <c r="A3767" t="s">
        <v>102</v>
      </c>
    </row>
    <row r="3768" spans="1:1" x14ac:dyDescent="0.2">
      <c r="A3768" t="s">
        <v>102</v>
      </c>
    </row>
    <row r="3769" spans="1:1" x14ac:dyDescent="0.2">
      <c r="A3769" t="s">
        <v>102</v>
      </c>
    </row>
    <row r="3770" spans="1:1" x14ac:dyDescent="0.2">
      <c r="A3770" t="s">
        <v>102</v>
      </c>
    </row>
    <row r="3771" spans="1:1" x14ac:dyDescent="0.2">
      <c r="A3771" t="s">
        <v>102</v>
      </c>
    </row>
    <row r="3772" spans="1:1" x14ac:dyDescent="0.2">
      <c r="A3772" t="s">
        <v>102</v>
      </c>
    </row>
    <row r="3773" spans="1:1" x14ac:dyDescent="0.2">
      <c r="A3773" t="s">
        <v>102</v>
      </c>
    </row>
    <row r="3774" spans="1:1" x14ac:dyDescent="0.2">
      <c r="A3774" t="s">
        <v>102</v>
      </c>
    </row>
    <row r="3775" spans="1:1" x14ac:dyDescent="0.2">
      <c r="A3775" t="s">
        <v>102</v>
      </c>
    </row>
    <row r="3776" spans="1:1" x14ac:dyDescent="0.2">
      <c r="A3776" t="s">
        <v>102</v>
      </c>
    </row>
    <row r="3777" spans="1:1" x14ac:dyDescent="0.2">
      <c r="A3777" t="s">
        <v>102</v>
      </c>
    </row>
    <row r="3778" spans="1:1" x14ac:dyDescent="0.2">
      <c r="A3778" t="s">
        <v>102</v>
      </c>
    </row>
    <row r="3779" spans="1:1" x14ac:dyDescent="0.2">
      <c r="A3779" t="s">
        <v>102</v>
      </c>
    </row>
    <row r="3780" spans="1:1" x14ac:dyDescent="0.2">
      <c r="A3780" t="s">
        <v>102</v>
      </c>
    </row>
    <row r="3781" spans="1:1" x14ac:dyDescent="0.2">
      <c r="A3781" t="s">
        <v>102</v>
      </c>
    </row>
    <row r="3782" spans="1:1" x14ac:dyDescent="0.2">
      <c r="A3782" t="s">
        <v>102</v>
      </c>
    </row>
    <row r="3783" spans="1:1" x14ac:dyDescent="0.2">
      <c r="A3783" t="s">
        <v>102</v>
      </c>
    </row>
    <row r="3784" spans="1:1" x14ac:dyDescent="0.2">
      <c r="A3784" t="s">
        <v>102</v>
      </c>
    </row>
    <row r="3785" spans="1:1" x14ac:dyDescent="0.2">
      <c r="A3785" t="s">
        <v>102</v>
      </c>
    </row>
    <row r="3786" spans="1:1" x14ac:dyDescent="0.2">
      <c r="A3786" t="s">
        <v>102</v>
      </c>
    </row>
    <row r="3787" spans="1:1" x14ac:dyDescent="0.2">
      <c r="A3787" t="s">
        <v>102</v>
      </c>
    </row>
    <row r="3788" spans="1:1" x14ac:dyDescent="0.2">
      <c r="A3788" t="s">
        <v>102</v>
      </c>
    </row>
    <row r="3789" spans="1:1" x14ac:dyDescent="0.2">
      <c r="A3789" t="s">
        <v>102</v>
      </c>
    </row>
    <row r="3790" spans="1:1" x14ac:dyDescent="0.2">
      <c r="A3790" t="s">
        <v>102</v>
      </c>
    </row>
    <row r="3791" spans="1:1" x14ac:dyDescent="0.2">
      <c r="A3791" t="s">
        <v>102</v>
      </c>
    </row>
    <row r="3792" spans="1:1" x14ac:dyDescent="0.2">
      <c r="A3792" t="s">
        <v>102</v>
      </c>
    </row>
    <row r="3793" spans="1:1" x14ac:dyDescent="0.2">
      <c r="A3793" t="s">
        <v>102</v>
      </c>
    </row>
    <row r="3794" spans="1:1" x14ac:dyDescent="0.2">
      <c r="A3794" t="s">
        <v>102</v>
      </c>
    </row>
    <row r="3795" spans="1:1" x14ac:dyDescent="0.2">
      <c r="A3795" t="s">
        <v>102</v>
      </c>
    </row>
    <row r="3796" spans="1:1" x14ac:dyDescent="0.2">
      <c r="A3796" t="s">
        <v>102</v>
      </c>
    </row>
    <row r="3797" spans="1:1" x14ac:dyDescent="0.2">
      <c r="A3797" t="s">
        <v>102</v>
      </c>
    </row>
    <row r="3798" spans="1:1" x14ac:dyDescent="0.2">
      <c r="A3798" t="s">
        <v>102</v>
      </c>
    </row>
    <row r="3799" spans="1:1" x14ac:dyDescent="0.2">
      <c r="A3799" t="s">
        <v>102</v>
      </c>
    </row>
    <row r="3800" spans="1:1" x14ac:dyDescent="0.2">
      <c r="A3800" t="s">
        <v>102</v>
      </c>
    </row>
    <row r="3801" spans="1:1" x14ac:dyDescent="0.2">
      <c r="A3801" t="s">
        <v>102</v>
      </c>
    </row>
    <row r="3802" spans="1:1" x14ac:dyDescent="0.2">
      <c r="A3802" t="s">
        <v>102</v>
      </c>
    </row>
    <row r="3803" spans="1:1" x14ac:dyDescent="0.2">
      <c r="A3803" t="s">
        <v>102</v>
      </c>
    </row>
    <row r="3804" spans="1:1" x14ac:dyDescent="0.2">
      <c r="A3804" t="s">
        <v>102</v>
      </c>
    </row>
    <row r="3805" spans="1:1" x14ac:dyDescent="0.2">
      <c r="A3805" t="s">
        <v>102</v>
      </c>
    </row>
    <row r="3806" spans="1:1" x14ac:dyDescent="0.2">
      <c r="A3806" t="s">
        <v>102</v>
      </c>
    </row>
    <row r="3807" spans="1:1" x14ac:dyDescent="0.2">
      <c r="A3807" t="s">
        <v>102</v>
      </c>
    </row>
    <row r="3808" spans="1:1" x14ac:dyDescent="0.2">
      <c r="A3808" t="s">
        <v>102</v>
      </c>
    </row>
    <row r="3809" spans="1:1" x14ac:dyDescent="0.2">
      <c r="A3809" t="s">
        <v>102</v>
      </c>
    </row>
    <row r="3810" spans="1:1" x14ac:dyDescent="0.2">
      <c r="A3810" t="s">
        <v>102</v>
      </c>
    </row>
    <row r="3811" spans="1:1" x14ac:dyDescent="0.2">
      <c r="A3811" t="s">
        <v>102</v>
      </c>
    </row>
    <row r="3812" spans="1:1" x14ac:dyDescent="0.2">
      <c r="A3812" t="s">
        <v>102</v>
      </c>
    </row>
    <row r="3813" spans="1:1" x14ac:dyDescent="0.2">
      <c r="A3813" t="s">
        <v>102</v>
      </c>
    </row>
    <row r="3814" spans="1:1" x14ac:dyDescent="0.2">
      <c r="A3814" t="s">
        <v>102</v>
      </c>
    </row>
    <row r="3815" spans="1:1" x14ac:dyDescent="0.2">
      <c r="A3815" t="s">
        <v>102</v>
      </c>
    </row>
    <row r="3816" spans="1:1" x14ac:dyDescent="0.2">
      <c r="A3816" t="s">
        <v>102</v>
      </c>
    </row>
    <row r="3817" spans="1:1" x14ac:dyDescent="0.2">
      <c r="A3817" t="s">
        <v>102</v>
      </c>
    </row>
    <row r="3818" spans="1:1" x14ac:dyDescent="0.2">
      <c r="A3818" t="s">
        <v>102</v>
      </c>
    </row>
    <row r="3819" spans="1:1" x14ac:dyDescent="0.2">
      <c r="A3819" t="s">
        <v>102</v>
      </c>
    </row>
    <row r="3820" spans="1:1" x14ac:dyDescent="0.2">
      <c r="A3820" t="s">
        <v>102</v>
      </c>
    </row>
    <row r="3821" spans="1:1" x14ac:dyDescent="0.2">
      <c r="A3821" t="s">
        <v>102</v>
      </c>
    </row>
    <row r="3822" spans="1:1" x14ac:dyDescent="0.2">
      <c r="A3822" t="s">
        <v>102</v>
      </c>
    </row>
    <row r="3823" spans="1:1" x14ac:dyDescent="0.2">
      <c r="A3823" t="s">
        <v>102</v>
      </c>
    </row>
    <row r="3824" spans="1:1" x14ac:dyDescent="0.2">
      <c r="A3824" t="s">
        <v>102</v>
      </c>
    </row>
    <row r="3825" spans="1:1" x14ac:dyDescent="0.2">
      <c r="A3825" t="s">
        <v>102</v>
      </c>
    </row>
    <row r="3826" spans="1:1" x14ac:dyDescent="0.2">
      <c r="A3826" t="s">
        <v>102</v>
      </c>
    </row>
    <row r="3827" spans="1:1" x14ac:dyDescent="0.2">
      <c r="A3827" t="s">
        <v>102</v>
      </c>
    </row>
    <row r="3828" spans="1:1" x14ac:dyDescent="0.2">
      <c r="A3828" t="s">
        <v>102</v>
      </c>
    </row>
    <row r="3829" spans="1:1" x14ac:dyDescent="0.2">
      <c r="A3829" t="s">
        <v>102</v>
      </c>
    </row>
    <row r="3830" spans="1:1" x14ac:dyDescent="0.2">
      <c r="A3830" t="s">
        <v>102</v>
      </c>
    </row>
    <row r="3831" spans="1:1" x14ac:dyDescent="0.2">
      <c r="A3831" t="s">
        <v>102</v>
      </c>
    </row>
    <row r="3832" spans="1:1" x14ac:dyDescent="0.2">
      <c r="A3832" t="s">
        <v>102</v>
      </c>
    </row>
    <row r="3833" spans="1:1" x14ac:dyDescent="0.2">
      <c r="A3833" t="s">
        <v>102</v>
      </c>
    </row>
    <row r="3834" spans="1:1" x14ac:dyDescent="0.2">
      <c r="A3834" t="s">
        <v>102</v>
      </c>
    </row>
    <row r="3835" spans="1:1" x14ac:dyDescent="0.2">
      <c r="A3835" t="s">
        <v>102</v>
      </c>
    </row>
    <row r="3836" spans="1:1" x14ac:dyDescent="0.2">
      <c r="A3836" t="s">
        <v>102</v>
      </c>
    </row>
    <row r="3837" spans="1:1" x14ac:dyDescent="0.2">
      <c r="A3837" t="s">
        <v>102</v>
      </c>
    </row>
    <row r="3838" spans="1:1" x14ac:dyDescent="0.2">
      <c r="A3838" t="s">
        <v>102</v>
      </c>
    </row>
    <row r="3839" spans="1:1" x14ac:dyDescent="0.2">
      <c r="A3839" t="s">
        <v>102</v>
      </c>
    </row>
    <row r="3840" spans="1:1" x14ac:dyDescent="0.2">
      <c r="A3840" t="s">
        <v>102</v>
      </c>
    </row>
    <row r="3841" spans="1:1" x14ac:dyDescent="0.2">
      <c r="A3841" t="s">
        <v>102</v>
      </c>
    </row>
    <row r="3842" spans="1:1" x14ac:dyDescent="0.2">
      <c r="A3842" t="s">
        <v>102</v>
      </c>
    </row>
    <row r="3843" spans="1:1" x14ac:dyDescent="0.2">
      <c r="A3843" t="s">
        <v>102</v>
      </c>
    </row>
    <row r="3844" spans="1:1" x14ac:dyDescent="0.2">
      <c r="A3844" t="s">
        <v>102</v>
      </c>
    </row>
    <row r="3845" spans="1:1" x14ac:dyDescent="0.2">
      <c r="A3845" t="s">
        <v>102</v>
      </c>
    </row>
    <row r="3846" spans="1:1" x14ac:dyDescent="0.2">
      <c r="A3846" t="s">
        <v>102</v>
      </c>
    </row>
    <row r="3847" spans="1:1" x14ac:dyDescent="0.2">
      <c r="A3847" t="s">
        <v>102</v>
      </c>
    </row>
    <row r="3848" spans="1:1" x14ac:dyDescent="0.2">
      <c r="A3848" t="s">
        <v>102</v>
      </c>
    </row>
    <row r="3849" spans="1:1" x14ac:dyDescent="0.2">
      <c r="A3849" t="s">
        <v>102</v>
      </c>
    </row>
    <row r="3850" spans="1:1" x14ac:dyDescent="0.2">
      <c r="A3850" t="s">
        <v>102</v>
      </c>
    </row>
    <row r="3851" spans="1:1" x14ac:dyDescent="0.2">
      <c r="A3851" t="s">
        <v>102</v>
      </c>
    </row>
    <row r="3852" spans="1:1" x14ac:dyDescent="0.2">
      <c r="A3852" t="s">
        <v>102</v>
      </c>
    </row>
    <row r="3853" spans="1:1" x14ac:dyDescent="0.2">
      <c r="A3853" t="s">
        <v>102</v>
      </c>
    </row>
    <row r="3854" spans="1:1" x14ac:dyDescent="0.2">
      <c r="A3854" t="s">
        <v>102</v>
      </c>
    </row>
    <row r="3855" spans="1:1" x14ac:dyDescent="0.2">
      <c r="A3855" t="s">
        <v>102</v>
      </c>
    </row>
    <row r="3856" spans="1:1" x14ac:dyDescent="0.2">
      <c r="A3856" t="s">
        <v>102</v>
      </c>
    </row>
    <row r="3857" spans="1:1" x14ac:dyDescent="0.2">
      <c r="A3857" t="s">
        <v>102</v>
      </c>
    </row>
    <row r="3858" spans="1:1" x14ac:dyDescent="0.2">
      <c r="A3858" t="s">
        <v>102</v>
      </c>
    </row>
    <row r="3859" spans="1:1" x14ac:dyDescent="0.2">
      <c r="A3859" t="s">
        <v>102</v>
      </c>
    </row>
    <row r="3860" spans="1:1" x14ac:dyDescent="0.2">
      <c r="A3860" t="s">
        <v>102</v>
      </c>
    </row>
    <row r="3861" spans="1:1" x14ac:dyDescent="0.2">
      <c r="A3861" t="s">
        <v>102</v>
      </c>
    </row>
    <row r="3862" spans="1:1" x14ac:dyDescent="0.2">
      <c r="A3862" t="s">
        <v>102</v>
      </c>
    </row>
    <row r="3863" spans="1:1" x14ac:dyDescent="0.2">
      <c r="A3863" t="s">
        <v>102</v>
      </c>
    </row>
    <row r="3864" spans="1:1" x14ac:dyDescent="0.2">
      <c r="A3864" t="s">
        <v>102</v>
      </c>
    </row>
    <row r="3865" spans="1:1" x14ac:dyDescent="0.2">
      <c r="A3865" t="s">
        <v>102</v>
      </c>
    </row>
    <row r="3866" spans="1:1" x14ac:dyDescent="0.2">
      <c r="A3866" t="s">
        <v>102</v>
      </c>
    </row>
    <row r="3867" spans="1:1" x14ac:dyDescent="0.2">
      <c r="A3867" t="s">
        <v>102</v>
      </c>
    </row>
    <row r="3868" spans="1:1" x14ac:dyDescent="0.2">
      <c r="A3868" t="s">
        <v>102</v>
      </c>
    </row>
    <row r="3869" spans="1:1" x14ac:dyDescent="0.2">
      <c r="A3869" t="s">
        <v>102</v>
      </c>
    </row>
    <row r="3870" spans="1:1" x14ac:dyDescent="0.2">
      <c r="A3870" t="s">
        <v>102</v>
      </c>
    </row>
    <row r="3871" spans="1:1" x14ac:dyDescent="0.2">
      <c r="A3871" t="s">
        <v>102</v>
      </c>
    </row>
    <row r="3872" spans="1:1" x14ac:dyDescent="0.2">
      <c r="A3872" t="s">
        <v>102</v>
      </c>
    </row>
    <row r="3873" spans="1:1" x14ac:dyDescent="0.2">
      <c r="A3873" t="s">
        <v>102</v>
      </c>
    </row>
    <row r="3874" spans="1:1" x14ac:dyDescent="0.2">
      <c r="A3874" t="s">
        <v>102</v>
      </c>
    </row>
    <row r="3875" spans="1:1" x14ac:dyDescent="0.2">
      <c r="A3875" t="s">
        <v>102</v>
      </c>
    </row>
    <row r="3876" spans="1:1" x14ac:dyDescent="0.2">
      <c r="A3876" t="s">
        <v>102</v>
      </c>
    </row>
    <row r="3877" spans="1:1" x14ac:dyDescent="0.2">
      <c r="A3877" t="s">
        <v>102</v>
      </c>
    </row>
    <row r="3878" spans="1:1" x14ac:dyDescent="0.2">
      <c r="A3878" t="s">
        <v>102</v>
      </c>
    </row>
    <row r="3879" spans="1:1" x14ac:dyDescent="0.2">
      <c r="A3879" t="s">
        <v>102</v>
      </c>
    </row>
    <row r="3880" spans="1:1" x14ac:dyDescent="0.2">
      <c r="A3880" t="s">
        <v>102</v>
      </c>
    </row>
    <row r="3881" spans="1:1" x14ac:dyDescent="0.2">
      <c r="A3881" t="s">
        <v>102</v>
      </c>
    </row>
    <row r="3882" spans="1:1" x14ac:dyDescent="0.2">
      <c r="A3882" t="s">
        <v>102</v>
      </c>
    </row>
    <row r="3883" spans="1:1" x14ac:dyDescent="0.2">
      <c r="A3883" t="s">
        <v>102</v>
      </c>
    </row>
    <row r="3884" spans="1:1" x14ac:dyDescent="0.2">
      <c r="A3884" t="s">
        <v>102</v>
      </c>
    </row>
    <row r="3885" spans="1:1" x14ac:dyDescent="0.2">
      <c r="A3885" t="s">
        <v>102</v>
      </c>
    </row>
    <row r="3886" spans="1:1" x14ac:dyDescent="0.2">
      <c r="A3886" t="s">
        <v>102</v>
      </c>
    </row>
    <row r="3887" spans="1:1" x14ac:dyDescent="0.2">
      <c r="A3887" t="s">
        <v>102</v>
      </c>
    </row>
    <row r="3888" spans="1:1" x14ac:dyDescent="0.2">
      <c r="A3888" t="s">
        <v>102</v>
      </c>
    </row>
    <row r="3889" spans="1:1" x14ac:dyDescent="0.2">
      <c r="A3889" t="s">
        <v>102</v>
      </c>
    </row>
    <row r="3890" spans="1:1" x14ac:dyDescent="0.2">
      <c r="A3890" t="s">
        <v>102</v>
      </c>
    </row>
    <row r="3891" spans="1:1" x14ac:dyDescent="0.2">
      <c r="A3891" t="s">
        <v>102</v>
      </c>
    </row>
    <row r="3892" spans="1:1" x14ac:dyDescent="0.2">
      <c r="A3892" t="s">
        <v>102</v>
      </c>
    </row>
    <row r="3893" spans="1:1" x14ac:dyDescent="0.2">
      <c r="A3893" t="s">
        <v>102</v>
      </c>
    </row>
    <row r="3894" spans="1:1" x14ac:dyDescent="0.2">
      <c r="A3894" t="s">
        <v>102</v>
      </c>
    </row>
    <row r="3895" spans="1:1" x14ac:dyDescent="0.2">
      <c r="A3895" t="s">
        <v>102</v>
      </c>
    </row>
    <row r="3896" spans="1:1" x14ac:dyDescent="0.2">
      <c r="A3896" t="s">
        <v>102</v>
      </c>
    </row>
    <row r="3897" spans="1:1" x14ac:dyDescent="0.2">
      <c r="A3897" t="s">
        <v>102</v>
      </c>
    </row>
    <row r="3898" spans="1:1" x14ac:dyDescent="0.2">
      <c r="A3898" t="s">
        <v>102</v>
      </c>
    </row>
    <row r="3899" spans="1:1" x14ac:dyDescent="0.2">
      <c r="A3899" t="s">
        <v>102</v>
      </c>
    </row>
    <row r="3900" spans="1:1" x14ac:dyDescent="0.2">
      <c r="A3900" t="s">
        <v>102</v>
      </c>
    </row>
    <row r="3901" spans="1:1" x14ac:dyDescent="0.2">
      <c r="A3901" t="s">
        <v>102</v>
      </c>
    </row>
    <row r="3902" spans="1:1" x14ac:dyDescent="0.2">
      <c r="A3902" t="s">
        <v>102</v>
      </c>
    </row>
    <row r="3903" spans="1:1" x14ac:dyDescent="0.2">
      <c r="A3903" t="s">
        <v>102</v>
      </c>
    </row>
    <row r="3904" spans="1:1" x14ac:dyDescent="0.2">
      <c r="A3904" t="s">
        <v>102</v>
      </c>
    </row>
    <row r="3905" spans="1:1" x14ac:dyDescent="0.2">
      <c r="A3905" t="s">
        <v>102</v>
      </c>
    </row>
    <row r="3906" spans="1:1" x14ac:dyDescent="0.2">
      <c r="A3906" t="s">
        <v>102</v>
      </c>
    </row>
    <row r="3907" spans="1:1" x14ac:dyDescent="0.2">
      <c r="A3907" t="s">
        <v>102</v>
      </c>
    </row>
    <row r="3908" spans="1:1" x14ac:dyDescent="0.2">
      <c r="A3908" t="s">
        <v>102</v>
      </c>
    </row>
    <row r="3909" spans="1:1" x14ac:dyDescent="0.2">
      <c r="A3909" t="s">
        <v>102</v>
      </c>
    </row>
    <row r="3910" spans="1:1" x14ac:dyDescent="0.2">
      <c r="A3910" t="s">
        <v>102</v>
      </c>
    </row>
    <row r="3911" spans="1:1" x14ac:dyDescent="0.2">
      <c r="A3911" t="s">
        <v>102</v>
      </c>
    </row>
    <row r="3912" spans="1:1" x14ac:dyDescent="0.2">
      <c r="A3912" t="s">
        <v>102</v>
      </c>
    </row>
    <row r="3913" spans="1:1" x14ac:dyDescent="0.2">
      <c r="A3913" t="s">
        <v>102</v>
      </c>
    </row>
    <row r="3914" spans="1:1" x14ac:dyDescent="0.2">
      <c r="A3914" t="s">
        <v>102</v>
      </c>
    </row>
    <row r="3915" spans="1:1" x14ac:dyDescent="0.2">
      <c r="A3915" t="s">
        <v>102</v>
      </c>
    </row>
    <row r="3916" spans="1:1" x14ac:dyDescent="0.2">
      <c r="A3916" t="s">
        <v>102</v>
      </c>
    </row>
    <row r="3917" spans="1:1" x14ac:dyDescent="0.2">
      <c r="A3917" t="s">
        <v>102</v>
      </c>
    </row>
    <row r="3918" spans="1:1" x14ac:dyDescent="0.2">
      <c r="A3918" t="s">
        <v>102</v>
      </c>
    </row>
    <row r="3919" spans="1:1" x14ac:dyDescent="0.2">
      <c r="A3919" t="s">
        <v>102</v>
      </c>
    </row>
    <row r="3920" spans="1:1" x14ac:dyDescent="0.2">
      <c r="A3920" t="s">
        <v>102</v>
      </c>
    </row>
    <row r="3921" spans="1:1" x14ac:dyDescent="0.2">
      <c r="A3921" t="s">
        <v>102</v>
      </c>
    </row>
    <row r="3922" spans="1:1" x14ac:dyDescent="0.2">
      <c r="A3922" t="s">
        <v>102</v>
      </c>
    </row>
    <row r="3923" spans="1:1" x14ac:dyDescent="0.2">
      <c r="A3923" t="s">
        <v>102</v>
      </c>
    </row>
    <row r="3924" spans="1:1" x14ac:dyDescent="0.2">
      <c r="A3924" t="s">
        <v>102</v>
      </c>
    </row>
    <row r="3925" spans="1:1" x14ac:dyDescent="0.2">
      <c r="A3925" t="s">
        <v>102</v>
      </c>
    </row>
    <row r="3926" spans="1:1" x14ac:dyDescent="0.2">
      <c r="A3926" t="s">
        <v>102</v>
      </c>
    </row>
    <row r="3927" spans="1:1" x14ac:dyDescent="0.2">
      <c r="A3927" t="s">
        <v>102</v>
      </c>
    </row>
    <row r="3928" spans="1:1" x14ac:dyDescent="0.2">
      <c r="A3928" t="s">
        <v>102</v>
      </c>
    </row>
    <row r="3929" spans="1:1" x14ac:dyDescent="0.2">
      <c r="A3929" t="s">
        <v>102</v>
      </c>
    </row>
    <row r="3930" spans="1:1" x14ac:dyDescent="0.2">
      <c r="A3930" t="s">
        <v>102</v>
      </c>
    </row>
    <row r="3931" spans="1:1" x14ac:dyDescent="0.2">
      <c r="A3931" t="s">
        <v>102</v>
      </c>
    </row>
    <row r="3932" spans="1:1" x14ac:dyDescent="0.2">
      <c r="A3932" t="s">
        <v>102</v>
      </c>
    </row>
    <row r="3933" spans="1:1" x14ac:dyDescent="0.2">
      <c r="A3933" t="s">
        <v>102</v>
      </c>
    </row>
    <row r="3934" spans="1:1" x14ac:dyDescent="0.2">
      <c r="A3934" t="s">
        <v>102</v>
      </c>
    </row>
    <row r="3935" spans="1:1" x14ac:dyDescent="0.2">
      <c r="A3935" t="s">
        <v>102</v>
      </c>
    </row>
    <row r="3936" spans="1:1" x14ac:dyDescent="0.2">
      <c r="A3936" t="s">
        <v>102</v>
      </c>
    </row>
    <row r="3937" spans="1:1" x14ac:dyDescent="0.2">
      <c r="A3937" t="s">
        <v>102</v>
      </c>
    </row>
    <row r="3938" spans="1:1" x14ac:dyDescent="0.2">
      <c r="A3938" t="s">
        <v>102</v>
      </c>
    </row>
    <row r="3939" spans="1:1" x14ac:dyDescent="0.2">
      <c r="A3939" t="s">
        <v>102</v>
      </c>
    </row>
    <row r="3940" spans="1:1" x14ac:dyDescent="0.2">
      <c r="A3940" t="s">
        <v>102</v>
      </c>
    </row>
    <row r="3941" spans="1:1" x14ac:dyDescent="0.2">
      <c r="A3941" t="s">
        <v>102</v>
      </c>
    </row>
    <row r="3942" spans="1:1" x14ac:dyDescent="0.2">
      <c r="A3942" t="s">
        <v>102</v>
      </c>
    </row>
    <row r="3943" spans="1:1" x14ac:dyDescent="0.2">
      <c r="A3943" t="s">
        <v>102</v>
      </c>
    </row>
    <row r="3944" spans="1:1" x14ac:dyDescent="0.2">
      <c r="A3944" t="s">
        <v>102</v>
      </c>
    </row>
    <row r="3945" spans="1:1" x14ac:dyDescent="0.2">
      <c r="A3945" t="s">
        <v>102</v>
      </c>
    </row>
    <row r="3946" spans="1:1" x14ac:dyDescent="0.2">
      <c r="A3946" t="s">
        <v>102</v>
      </c>
    </row>
    <row r="3947" spans="1:1" x14ac:dyDescent="0.2">
      <c r="A3947" t="s">
        <v>102</v>
      </c>
    </row>
    <row r="3948" spans="1:1" x14ac:dyDescent="0.2">
      <c r="A3948" t="s">
        <v>102</v>
      </c>
    </row>
    <row r="3949" spans="1:1" x14ac:dyDescent="0.2">
      <c r="A3949" t="s">
        <v>102</v>
      </c>
    </row>
    <row r="3950" spans="1:1" x14ac:dyDescent="0.2">
      <c r="A3950" t="s">
        <v>102</v>
      </c>
    </row>
    <row r="3951" spans="1:1" x14ac:dyDescent="0.2">
      <c r="A3951" t="s">
        <v>102</v>
      </c>
    </row>
    <row r="3952" spans="1:1" x14ac:dyDescent="0.2">
      <c r="A3952" t="s">
        <v>102</v>
      </c>
    </row>
    <row r="3953" spans="1:1" x14ac:dyDescent="0.2">
      <c r="A3953" t="s">
        <v>102</v>
      </c>
    </row>
    <row r="3954" spans="1:1" x14ac:dyDescent="0.2">
      <c r="A3954" t="s">
        <v>102</v>
      </c>
    </row>
    <row r="3955" spans="1:1" x14ac:dyDescent="0.2">
      <c r="A3955" t="s">
        <v>102</v>
      </c>
    </row>
    <row r="3956" spans="1:1" x14ac:dyDescent="0.2">
      <c r="A3956" t="s">
        <v>102</v>
      </c>
    </row>
    <row r="3957" spans="1:1" x14ac:dyDescent="0.2">
      <c r="A3957" t="s">
        <v>102</v>
      </c>
    </row>
    <row r="3958" spans="1:1" x14ac:dyDescent="0.2">
      <c r="A3958" t="s">
        <v>102</v>
      </c>
    </row>
    <row r="3959" spans="1:1" x14ac:dyDescent="0.2">
      <c r="A3959" t="s">
        <v>102</v>
      </c>
    </row>
    <row r="3960" spans="1:1" x14ac:dyDescent="0.2">
      <c r="A3960" t="s">
        <v>102</v>
      </c>
    </row>
    <row r="3961" spans="1:1" x14ac:dyDescent="0.2">
      <c r="A3961" t="s">
        <v>102</v>
      </c>
    </row>
    <row r="3962" spans="1:1" x14ac:dyDescent="0.2">
      <c r="A3962" t="s">
        <v>102</v>
      </c>
    </row>
    <row r="3963" spans="1:1" x14ac:dyDescent="0.2">
      <c r="A3963" t="s">
        <v>102</v>
      </c>
    </row>
    <row r="3964" spans="1:1" x14ac:dyDescent="0.2">
      <c r="A3964" t="s">
        <v>102</v>
      </c>
    </row>
    <row r="3965" spans="1:1" x14ac:dyDescent="0.2">
      <c r="A3965" t="s">
        <v>102</v>
      </c>
    </row>
    <row r="3966" spans="1:1" x14ac:dyDescent="0.2">
      <c r="A3966" t="s">
        <v>102</v>
      </c>
    </row>
    <row r="3967" spans="1:1" x14ac:dyDescent="0.2">
      <c r="A3967" t="s">
        <v>102</v>
      </c>
    </row>
    <row r="3968" spans="1:1" x14ac:dyDescent="0.2">
      <c r="A3968" t="s">
        <v>102</v>
      </c>
    </row>
    <row r="3969" spans="1:1" x14ac:dyDescent="0.2">
      <c r="A3969" t="s">
        <v>102</v>
      </c>
    </row>
    <row r="3970" spans="1:1" x14ac:dyDescent="0.2">
      <c r="A3970" t="s">
        <v>102</v>
      </c>
    </row>
    <row r="3971" spans="1:1" x14ac:dyDescent="0.2">
      <c r="A3971" t="s">
        <v>102</v>
      </c>
    </row>
    <row r="3972" spans="1:1" x14ac:dyDescent="0.2">
      <c r="A3972" t="s">
        <v>102</v>
      </c>
    </row>
    <row r="3973" spans="1:1" x14ac:dyDescent="0.2">
      <c r="A3973" t="s">
        <v>102</v>
      </c>
    </row>
    <row r="3974" spans="1:1" x14ac:dyDescent="0.2">
      <c r="A3974" t="s">
        <v>102</v>
      </c>
    </row>
    <row r="3975" spans="1:1" x14ac:dyDescent="0.2">
      <c r="A3975" t="s">
        <v>102</v>
      </c>
    </row>
    <row r="3976" spans="1:1" x14ac:dyDescent="0.2">
      <c r="A3976" t="s">
        <v>102</v>
      </c>
    </row>
    <row r="3977" spans="1:1" x14ac:dyDescent="0.2">
      <c r="A3977" t="s">
        <v>102</v>
      </c>
    </row>
    <row r="3978" spans="1:1" x14ac:dyDescent="0.2">
      <c r="A3978" t="s">
        <v>102</v>
      </c>
    </row>
    <row r="3979" spans="1:1" x14ac:dyDescent="0.2">
      <c r="A3979" t="s">
        <v>102</v>
      </c>
    </row>
    <row r="3980" spans="1:1" x14ac:dyDescent="0.2">
      <c r="A3980" t="s">
        <v>102</v>
      </c>
    </row>
    <row r="3981" spans="1:1" x14ac:dyDescent="0.2">
      <c r="A3981" t="s">
        <v>102</v>
      </c>
    </row>
    <row r="3982" spans="1:1" x14ac:dyDescent="0.2">
      <c r="A3982" t="s">
        <v>102</v>
      </c>
    </row>
    <row r="3983" spans="1:1" x14ac:dyDescent="0.2">
      <c r="A3983" t="s">
        <v>102</v>
      </c>
    </row>
    <row r="3984" spans="1:1" x14ac:dyDescent="0.2">
      <c r="A3984" t="s">
        <v>102</v>
      </c>
    </row>
    <row r="3985" spans="1:1" x14ac:dyDescent="0.2">
      <c r="A3985" t="s">
        <v>102</v>
      </c>
    </row>
    <row r="3986" spans="1:1" x14ac:dyDescent="0.2">
      <c r="A3986" t="s">
        <v>102</v>
      </c>
    </row>
    <row r="3987" spans="1:1" x14ac:dyDescent="0.2">
      <c r="A3987" t="s">
        <v>102</v>
      </c>
    </row>
    <row r="3988" spans="1:1" x14ac:dyDescent="0.2">
      <c r="A3988" t="s">
        <v>102</v>
      </c>
    </row>
    <row r="3989" spans="1:1" x14ac:dyDescent="0.2">
      <c r="A3989" t="s">
        <v>102</v>
      </c>
    </row>
    <row r="3990" spans="1:1" x14ac:dyDescent="0.2">
      <c r="A3990" t="s">
        <v>102</v>
      </c>
    </row>
    <row r="3991" spans="1:1" x14ac:dyDescent="0.2">
      <c r="A3991" t="s">
        <v>102</v>
      </c>
    </row>
    <row r="3992" spans="1:1" x14ac:dyDescent="0.2">
      <c r="A3992" t="s">
        <v>102</v>
      </c>
    </row>
    <row r="3993" spans="1:1" x14ac:dyDescent="0.2">
      <c r="A3993" t="s">
        <v>102</v>
      </c>
    </row>
    <row r="3994" spans="1:1" x14ac:dyDescent="0.2">
      <c r="A3994" t="s">
        <v>102</v>
      </c>
    </row>
    <row r="3995" spans="1:1" x14ac:dyDescent="0.2">
      <c r="A3995" t="s">
        <v>102</v>
      </c>
    </row>
    <row r="3996" spans="1:1" x14ac:dyDescent="0.2">
      <c r="A3996" t="s">
        <v>102</v>
      </c>
    </row>
    <row r="3997" spans="1:1" x14ac:dyDescent="0.2">
      <c r="A3997" t="s">
        <v>102</v>
      </c>
    </row>
    <row r="3998" spans="1:1" x14ac:dyDescent="0.2">
      <c r="A3998" t="s">
        <v>102</v>
      </c>
    </row>
    <row r="3999" spans="1:1" x14ac:dyDescent="0.2">
      <c r="A3999" t="s">
        <v>102</v>
      </c>
    </row>
    <row r="4000" spans="1:1" x14ac:dyDescent="0.2">
      <c r="A4000" t="s">
        <v>102</v>
      </c>
    </row>
    <row r="4001" spans="1:1" x14ac:dyDescent="0.2">
      <c r="A4001" t="s">
        <v>102</v>
      </c>
    </row>
    <row r="4002" spans="1:1" x14ac:dyDescent="0.2">
      <c r="A4002" t="s">
        <v>102</v>
      </c>
    </row>
    <row r="4003" spans="1:1" x14ac:dyDescent="0.2">
      <c r="A4003" t="s">
        <v>102</v>
      </c>
    </row>
    <row r="4004" spans="1:1" x14ac:dyDescent="0.2">
      <c r="A4004" t="s">
        <v>102</v>
      </c>
    </row>
    <row r="4005" spans="1:1" x14ac:dyDescent="0.2">
      <c r="A4005" t="s">
        <v>102</v>
      </c>
    </row>
    <row r="4006" spans="1:1" x14ac:dyDescent="0.2">
      <c r="A4006" t="s">
        <v>102</v>
      </c>
    </row>
    <row r="4007" spans="1:1" x14ac:dyDescent="0.2">
      <c r="A4007" t="s">
        <v>102</v>
      </c>
    </row>
    <row r="4008" spans="1:1" x14ac:dyDescent="0.2">
      <c r="A4008" t="s">
        <v>102</v>
      </c>
    </row>
    <row r="4009" spans="1:1" x14ac:dyDescent="0.2">
      <c r="A4009" t="s">
        <v>102</v>
      </c>
    </row>
    <row r="4010" spans="1:1" x14ac:dyDescent="0.2">
      <c r="A4010" t="s">
        <v>102</v>
      </c>
    </row>
    <row r="4011" spans="1:1" x14ac:dyDescent="0.2">
      <c r="A4011" t="s">
        <v>102</v>
      </c>
    </row>
    <row r="4012" spans="1:1" x14ac:dyDescent="0.2">
      <c r="A4012" t="s">
        <v>102</v>
      </c>
    </row>
    <row r="4013" spans="1:1" x14ac:dyDescent="0.2">
      <c r="A4013" t="s">
        <v>102</v>
      </c>
    </row>
    <row r="4014" spans="1:1" x14ac:dyDescent="0.2">
      <c r="A4014" t="s">
        <v>102</v>
      </c>
    </row>
    <row r="4015" spans="1:1" x14ac:dyDescent="0.2">
      <c r="A4015" t="s">
        <v>102</v>
      </c>
    </row>
    <row r="4016" spans="1:1" x14ac:dyDescent="0.2">
      <c r="A4016" t="s">
        <v>102</v>
      </c>
    </row>
    <row r="4017" spans="1:1" x14ac:dyDescent="0.2">
      <c r="A4017" t="s">
        <v>102</v>
      </c>
    </row>
    <row r="4018" spans="1:1" x14ac:dyDescent="0.2">
      <c r="A4018" t="s">
        <v>102</v>
      </c>
    </row>
    <row r="4019" spans="1:1" x14ac:dyDescent="0.2">
      <c r="A4019" t="s">
        <v>102</v>
      </c>
    </row>
    <row r="4020" spans="1:1" x14ac:dyDescent="0.2">
      <c r="A4020" t="s">
        <v>102</v>
      </c>
    </row>
    <row r="4021" spans="1:1" x14ac:dyDescent="0.2">
      <c r="A4021" t="s">
        <v>102</v>
      </c>
    </row>
    <row r="4022" spans="1:1" x14ac:dyDescent="0.2">
      <c r="A4022" t="s">
        <v>102</v>
      </c>
    </row>
    <row r="4023" spans="1:1" x14ac:dyDescent="0.2">
      <c r="A4023" t="s">
        <v>102</v>
      </c>
    </row>
    <row r="4024" spans="1:1" x14ac:dyDescent="0.2">
      <c r="A4024" t="s">
        <v>102</v>
      </c>
    </row>
    <row r="4025" spans="1:1" x14ac:dyDescent="0.2">
      <c r="A4025" t="s">
        <v>102</v>
      </c>
    </row>
    <row r="4026" spans="1:1" x14ac:dyDescent="0.2">
      <c r="A4026" t="s">
        <v>102</v>
      </c>
    </row>
    <row r="4027" spans="1:1" x14ac:dyDescent="0.2">
      <c r="A4027" t="s">
        <v>102</v>
      </c>
    </row>
    <row r="4028" spans="1:1" x14ac:dyDescent="0.2">
      <c r="A4028" t="s">
        <v>102</v>
      </c>
    </row>
    <row r="4029" spans="1:1" x14ac:dyDescent="0.2">
      <c r="A4029" t="s">
        <v>102</v>
      </c>
    </row>
    <row r="4030" spans="1:1" x14ac:dyDescent="0.2">
      <c r="A4030" t="s">
        <v>102</v>
      </c>
    </row>
    <row r="4031" spans="1:1" x14ac:dyDescent="0.2">
      <c r="A4031" t="s">
        <v>102</v>
      </c>
    </row>
    <row r="4032" spans="1:1" x14ac:dyDescent="0.2">
      <c r="A4032" t="s">
        <v>102</v>
      </c>
    </row>
    <row r="4033" spans="1:1" x14ac:dyDescent="0.2">
      <c r="A4033" t="s">
        <v>102</v>
      </c>
    </row>
    <row r="4034" spans="1:1" x14ac:dyDescent="0.2">
      <c r="A4034" t="s">
        <v>102</v>
      </c>
    </row>
    <row r="4035" spans="1:1" x14ac:dyDescent="0.2">
      <c r="A4035" t="s">
        <v>102</v>
      </c>
    </row>
    <row r="4036" spans="1:1" x14ac:dyDescent="0.2">
      <c r="A4036" t="s">
        <v>102</v>
      </c>
    </row>
    <row r="4037" spans="1:1" x14ac:dyDescent="0.2">
      <c r="A4037" t="s">
        <v>102</v>
      </c>
    </row>
    <row r="4038" spans="1:1" x14ac:dyDescent="0.2">
      <c r="A4038" t="s">
        <v>102</v>
      </c>
    </row>
    <row r="4039" spans="1:1" x14ac:dyDescent="0.2">
      <c r="A4039" t="s">
        <v>102</v>
      </c>
    </row>
    <row r="4040" spans="1:1" x14ac:dyDescent="0.2">
      <c r="A4040" t="s">
        <v>102</v>
      </c>
    </row>
    <row r="4041" spans="1:1" x14ac:dyDescent="0.2">
      <c r="A4041" t="s">
        <v>102</v>
      </c>
    </row>
    <row r="4042" spans="1:1" x14ac:dyDescent="0.2">
      <c r="A4042" t="s">
        <v>102</v>
      </c>
    </row>
    <row r="4043" spans="1:1" x14ac:dyDescent="0.2">
      <c r="A4043" t="s">
        <v>102</v>
      </c>
    </row>
    <row r="4044" spans="1:1" x14ac:dyDescent="0.2">
      <c r="A4044" t="s">
        <v>102</v>
      </c>
    </row>
    <row r="4045" spans="1:1" x14ac:dyDescent="0.2">
      <c r="A4045" t="s">
        <v>102</v>
      </c>
    </row>
    <row r="4046" spans="1:1" x14ac:dyDescent="0.2">
      <c r="A4046" t="s">
        <v>102</v>
      </c>
    </row>
    <row r="4047" spans="1:1" x14ac:dyDescent="0.2">
      <c r="A4047" t="s">
        <v>102</v>
      </c>
    </row>
    <row r="4048" spans="1:1" x14ac:dyDescent="0.2">
      <c r="A4048" t="s">
        <v>102</v>
      </c>
    </row>
    <row r="4049" spans="1:1" x14ac:dyDescent="0.2">
      <c r="A4049" t="s">
        <v>102</v>
      </c>
    </row>
    <row r="4050" spans="1:1" x14ac:dyDescent="0.2">
      <c r="A4050" t="s">
        <v>102</v>
      </c>
    </row>
    <row r="4051" spans="1:1" x14ac:dyDescent="0.2">
      <c r="A4051" t="s">
        <v>102</v>
      </c>
    </row>
    <row r="4052" spans="1:1" x14ac:dyDescent="0.2">
      <c r="A4052" t="s">
        <v>102</v>
      </c>
    </row>
    <row r="4053" spans="1:1" x14ac:dyDescent="0.2">
      <c r="A4053" t="s">
        <v>102</v>
      </c>
    </row>
    <row r="4054" spans="1:1" x14ac:dyDescent="0.2">
      <c r="A4054" t="s">
        <v>102</v>
      </c>
    </row>
    <row r="4055" spans="1:1" x14ac:dyDescent="0.2">
      <c r="A4055" t="s">
        <v>102</v>
      </c>
    </row>
    <row r="4056" spans="1:1" x14ac:dyDescent="0.2">
      <c r="A4056" t="s">
        <v>102</v>
      </c>
    </row>
    <row r="4057" spans="1:1" x14ac:dyDescent="0.2">
      <c r="A4057" t="s">
        <v>102</v>
      </c>
    </row>
    <row r="4058" spans="1:1" x14ac:dyDescent="0.2">
      <c r="A4058" t="s">
        <v>102</v>
      </c>
    </row>
    <row r="4059" spans="1:1" x14ac:dyDescent="0.2">
      <c r="A4059" t="s">
        <v>102</v>
      </c>
    </row>
    <row r="4060" spans="1:1" x14ac:dyDescent="0.2">
      <c r="A4060" t="s">
        <v>102</v>
      </c>
    </row>
    <row r="4061" spans="1:1" x14ac:dyDescent="0.2">
      <c r="A4061" t="s">
        <v>102</v>
      </c>
    </row>
    <row r="4062" spans="1:1" x14ac:dyDescent="0.2">
      <c r="A4062" t="s">
        <v>102</v>
      </c>
    </row>
    <row r="4063" spans="1:1" x14ac:dyDescent="0.2">
      <c r="A4063" t="s">
        <v>102</v>
      </c>
    </row>
    <row r="4064" spans="1:1" x14ac:dyDescent="0.2">
      <c r="A4064" t="s">
        <v>102</v>
      </c>
    </row>
    <row r="4065" spans="1:1" x14ac:dyDescent="0.2">
      <c r="A4065" t="s">
        <v>102</v>
      </c>
    </row>
    <row r="4066" spans="1:1" x14ac:dyDescent="0.2">
      <c r="A4066" t="s">
        <v>102</v>
      </c>
    </row>
    <row r="4067" spans="1:1" x14ac:dyDescent="0.2">
      <c r="A4067" t="s">
        <v>102</v>
      </c>
    </row>
    <row r="4068" spans="1:1" x14ac:dyDescent="0.2">
      <c r="A4068" t="s">
        <v>102</v>
      </c>
    </row>
    <row r="4069" spans="1:1" x14ac:dyDescent="0.2">
      <c r="A4069" t="s">
        <v>102</v>
      </c>
    </row>
    <row r="4070" spans="1:1" x14ac:dyDescent="0.2">
      <c r="A4070" t="s">
        <v>102</v>
      </c>
    </row>
    <row r="4071" spans="1:1" x14ac:dyDescent="0.2">
      <c r="A4071" t="s">
        <v>102</v>
      </c>
    </row>
    <row r="4072" spans="1:1" x14ac:dyDescent="0.2">
      <c r="A4072" t="s">
        <v>102</v>
      </c>
    </row>
    <row r="4073" spans="1:1" x14ac:dyDescent="0.2">
      <c r="A4073" t="s">
        <v>102</v>
      </c>
    </row>
    <row r="4074" spans="1:1" x14ac:dyDescent="0.2">
      <c r="A4074" t="s">
        <v>102</v>
      </c>
    </row>
    <row r="4075" spans="1:1" x14ac:dyDescent="0.2">
      <c r="A4075" t="s">
        <v>102</v>
      </c>
    </row>
    <row r="4076" spans="1:1" x14ac:dyDescent="0.2">
      <c r="A4076" t="s">
        <v>102</v>
      </c>
    </row>
    <row r="4077" spans="1:1" x14ac:dyDescent="0.2">
      <c r="A4077" t="s">
        <v>102</v>
      </c>
    </row>
    <row r="4078" spans="1:1" x14ac:dyDescent="0.2">
      <c r="A4078" t="s">
        <v>102</v>
      </c>
    </row>
    <row r="4079" spans="1:1" x14ac:dyDescent="0.2">
      <c r="A4079" t="s">
        <v>102</v>
      </c>
    </row>
    <row r="4080" spans="1:1" x14ac:dyDescent="0.2">
      <c r="A4080" t="s">
        <v>102</v>
      </c>
    </row>
    <row r="4081" spans="1:1" x14ac:dyDescent="0.2">
      <c r="A4081" t="s">
        <v>102</v>
      </c>
    </row>
    <row r="4082" spans="1:1" x14ac:dyDescent="0.2">
      <c r="A4082" t="s">
        <v>102</v>
      </c>
    </row>
    <row r="4083" spans="1:1" x14ac:dyDescent="0.2">
      <c r="A4083" t="s">
        <v>102</v>
      </c>
    </row>
    <row r="4084" spans="1:1" x14ac:dyDescent="0.2">
      <c r="A4084" t="s">
        <v>102</v>
      </c>
    </row>
    <row r="4085" spans="1:1" x14ac:dyDescent="0.2">
      <c r="A4085" t="s">
        <v>102</v>
      </c>
    </row>
    <row r="4086" spans="1:1" x14ac:dyDescent="0.2">
      <c r="A4086" t="s">
        <v>102</v>
      </c>
    </row>
    <row r="4087" spans="1:1" x14ac:dyDescent="0.2">
      <c r="A4087" t="s">
        <v>102</v>
      </c>
    </row>
    <row r="4088" spans="1:1" x14ac:dyDescent="0.2">
      <c r="A4088" t="s">
        <v>102</v>
      </c>
    </row>
    <row r="4089" spans="1:1" x14ac:dyDescent="0.2">
      <c r="A4089" t="s">
        <v>102</v>
      </c>
    </row>
    <row r="4090" spans="1:1" x14ac:dyDescent="0.2">
      <c r="A4090" t="s">
        <v>102</v>
      </c>
    </row>
    <row r="4091" spans="1:1" x14ac:dyDescent="0.2">
      <c r="A4091" t="s">
        <v>102</v>
      </c>
    </row>
    <row r="4092" spans="1:1" x14ac:dyDescent="0.2">
      <c r="A4092" t="s">
        <v>102</v>
      </c>
    </row>
    <row r="4093" spans="1:1" x14ac:dyDescent="0.2">
      <c r="A4093" t="s">
        <v>102</v>
      </c>
    </row>
    <row r="4094" spans="1:1" x14ac:dyDescent="0.2">
      <c r="A4094" t="s">
        <v>102</v>
      </c>
    </row>
    <row r="4095" spans="1:1" x14ac:dyDescent="0.2">
      <c r="A4095" t="s">
        <v>102</v>
      </c>
    </row>
    <row r="4096" spans="1:1" x14ac:dyDescent="0.2">
      <c r="A4096" t="s">
        <v>102</v>
      </c>
    </row>
    <row r="4097" spans="1:1" x14ac:dyDescent="0.2">
      <c r="A4097" t="s">
        <v>102</v>
      </c>
    </row>
    <row r="4098" spans="1:1" x14ac:dyDescent="0.2">
      <c r="A4098" t="s">
        <v>102</v>
      </c>
    </row>
    <row r="4099" spans="1:1" x14ac:dyDescent="0.2">
      <c r="A4099" t="s">
        <v>102</v>
      </c>
    </row>
    <row r="4100" spans="1:1" x14ac:dyDescent="0.2">
      <c r="A4100" t="s">
        <v>102</v>
      </c>
    </row>
    <row r="4101" spans="1:1" x14ac:dyDescent="0.2">
      <c r="A4101" t="s">
        <v>102</v>
      </c>
    </row>
    <row r="4102" spans="1:1" x14ac:dyDescent="0.2">
      <c r="A4102" t="s">
        <v>102</v>
      </c>
    </row>
    <row r="4103" spans="1:1" x14ac:dyDescent="0.2">
      <c r="A4103" t="s">
        <v>102</v>
      </c>
    </row>
    <row r="4104" spans="1:1" x14ac:dyDescent="0.2">
      <c r="A4104" t="s">
        <v>102</v>
      </c>
    </row>
    <row r="4105" spans="1:1" x14ac:dyDescent="0.2">
      <c r="A4105" t="s">
        <v>102</v>
      </c>
    </row>
    <row r="4106" spans="1:1" x14ac:dyDescent="0.2">
      <c r="A4106" t="s">
        <v>102</v>
      </c>
    </row>
    <row r="4107" spans="1:1" x14ac:dyDescent="0.2">
      <c r="A4107" t="s">
        <v>102</v>
      </c>
    </row>
    <row r="4108" spans="1:1" x14ac:dyDescent="0.2">
      <c r="A4108" t="s">
        <v>102</v>
      </c>
    </row>
    <row r="4109" spans="1:1" x14ac:dyDescent="0.2">
      <c r="A4109" t="s">
        <v>102</v>
      </c>
    </row>
    <row r="4110" spans="1:1" x14ac:dyDescent="0.2">
      <c r="A4110" t="s">
        <v>102</v>
      </c>
    </row>
    <row r="4111" spans="1:1" x14ac:dyDescent="0.2">
      <c r="A4111" t="s">
        <v>102</v>
      </c>
    </row>
    <row r="4112" spans="1:1" x14ac:dyDescent="0.2">
      <c r="A4112" t="s">
        <v>102</v>
      </c>
    </row>
    <row r="4113" spans="1:1" x14ac:dyDescent="0.2">
      <c r="A4113" t="s">
        <v>102</v>
      </c>
    </row>
    <row r="4114" spans="1:1" x14ac:dyDescent="0.2">
      <c r="A4114" t="s">
        <v>102</v>
      </c>
    </row>
    <row r="4115" spans="1:1" x14ac:dyDescent="0.2">
      <c r="A4115" t="s">
        <v>102</v>
      </c>
    </row>
    <row r="4116" spans="1:1" x14ac:dyDescent="0.2">
      <c r="A4116" t="s">
        <v>102</v>
      </c>
    </row>
    <row r="4117" spans="1:1" x14ac:dyDescent="0.2">
      <c r="A4117" t="s">
        <v>102</v>
      </c>
    </row>
    <row r="4118" spans="1:1" x14ac:dyDescent="0.2">
      <c r="A4118" t="s">
        <v>102</v>
      </c>
    </row>
    <row r="4119" spans="1:1" x14ac:dyDescent="0.2">
      <c r="A4119" t="s">
        <v>102</v>
      </c>
    </row>
    <row r="4120" spans="1:1" x14ac:dyDescent="0.2">
      <c r="A4120" t="s">
        <v>102</v>
      </c>
    </row>
    <row r="4121" spans="1:1" x14ac:dyDescent="0.2">
      <c r="A4121" t="s">
        <v>102</v>
      </c>
    </row>
    <row r="4122" spans="1:1" x14ac:dyDescent="0.2">
      <c r="A4122" t="s">
        <v>102</v>
      </c>
    </row>
    <row r="4123" spans="1:1" x14ac:dyDescent="0.2">
      <c r="A4123" t="s">
        <v>102</v>
      </c>
    </row>
    <row r="4124" spans="1:1" x14ac:dyDescent="0.2">
      <c r="A4124" t="s">
        <v>102</v>
      </c>
    </row>
    <row r="4125" spans="1:1" x14ac:dyDescent="0.2">
      <c r="A4125" t="s">
        <v>102</v>
      </c>
    </row>
    <row r="4126" spans="1:1" x14ac:dyDescent="0.2">
      <c r="A4126" t="s">
        <v>102</v>
      </c>
    </row>
    <row r="4127" spans="1:1" x14ac:dyDescent="0.2">
      <c r="A4127" t="s">
        <v>102</v>
      </c>
    </row>
    <row r="4128" spans="1:1" x14ac:dyDescent="0.2">
      <c r="A4128" t="s">
        <v>102</v>
      </c>
    </row>
    <row r="4129" spans="1:1" x14ac:dyDescent="0.2">
      <c r="A4129" t="s">
        <v>102</v>
      </c>
    </row>
    <row r="4130" spans="1:1" x14ac:dyDescent="0.2">
      <c r="A4130" t="s">
        <v>102</v>
      </c>
    </row>
    <row r="4131" spans="1:1" x14ac:dyDescent="0.2">
      <c r="A4131" t="s">
        <v>102</v>
      </c>
    </row>
    <row r="4132" spans="1:1" x14ac:dyDescent="0.2">
      <c r="A4132" t="s">
        <v>102</v>
      </c>
    </row>
    <row r="4133" spans="1:1" x14ac:dyDescent="0.2">
      <c r="A4133" t="s">
        <v>102</v>
      </c>
    </row>
    <row r="4134" spans="1:1" x14ac:dyDescent="0.2">
      <c r="A4134" t="s">
        <v>102</v>
      </c>
    </row>
    <row r="4135" spans="1:1" x14ac:dyDescent="0.2">
      <c r="A4135" t="s">
        <v>102</v>
      </c>
    </row>
    <row r="4136" spans="1:1" x14ac:dyDescent="0.2">
      <c r="A4136" t="s">
        <v>102</v>
      </c>
    </row>
    <row r="4137" spans="1:1" x14ac:dyDescent="0.2">
      <c r="A4137" t="s">
        <v>102</v>
      </c>
    </row>
    <row r="4138" spans="1:1" x14ac:dyDescent="0.2">
      <c r="A4138" t="s">
        <v>102</v>
      </c>
    </row>
    <row r="4139" spans="1:1" x14ac:dyDescent="0.2">
      <c r="A4139" t="s">
        <v>102</v>
      </c>
    </row>
    <row r="4140" spans="1:1" x14ac:dyDescent="0.2">
      <c r="A4140" t="s">
        <v>102</v>
      </c>
    </row>
    <row r="4141" spans="1:1" x14ac:dyDescent="0.2">
      <c r="A4141" t="s">
        <v>102</v>
      </c>
    </row>
    <row r="4142" spans="1:1" x14ac:dyDescent="0.2">
      <c r="A4142" t="s">
        <v>102</v>
      </c>
    </row>
    <row r="4143" spans="1:1" x14ac:dyDescent="0.2">
      <c r="A4143" t="s">
        <v>102</v>
      </c>
    </row>
    <row r="4144" spans="1:1" x14ac:dyDescent="0.2">
      <c r="A4144" t="s">
        <v>102</v>
      </c>
    </row>
    <row r="4145" spans="1:1" x14ac:dyDescent="0.2">
      <c r="A4145" t="s">
        <v>102</v>
      </c>
    </row>
    <row r="4146" spans="1:1" x14ac:dyDescent="0.2">
      <c r="A4146" t="s">
        <v>102</v>
      </c>
    </row>
    <row r="4147" spans="1:1" x14ac:dyDescent="0.2">
      <c r="A4147" t="s">
        <v>102</v>
      </c>
    </row>
    <row r="4148" spans="1:1" x14ac:dyDescent="0.2">
      <c r="A4148" t="s">
        <v>102</v>
      </c>
    </row>
    <row r="4149" spans="1:1" x14ac:dyDescent="0.2">
      <c r="A4149" t="s">
        <v>102</v>
      </c>
    </row>
    <row r="4150" spans="1:1" x14ac:dyDescent="0.2">
      <c r="A4150" t="s">
        <v>102</v>
      </c>
    </row>
    <row r="4151" spans="1:1" x14ac:dyDescent="0.2">
      <c r="A4151" t="s">
        <v>102</v>
      </c>
    </row>
    <row r="4152" spans="1:1" x14ac:dyDescent="0.2">
      <c r="A4152" t="s">
        <v>102</v>
      </c>
    </row>
    <row r="4153" spans="1:1" x14ac:dyDescent="0.2">
      <c r="A4153" t="s">
        <v>102</v>
      </c>
    </row>
    <row r="4154" spans="1:1" x14ac:dyDescent="0.2">
      <c r="A4154" t="s">
        <v>102</v>
      </c>
    </row>
    <row r="4155" spans="1:1" x14ac:dyDescent="0.2">
      <c r="A4155" t="s">
        <v>102</v>
      </c>
    </row>
    <row r="4156" spans="1:1" x14ac:dyDescent="0.2">
      <c r="A4156" t="s">
        <v>102</v>
      </c>
    </row>
    <row r="4157" spans="1:1" x14ac:dyDescent="0.2">
      <c r="A4157" t="s">
        <v>102</v>
      </c>
    </row>
    <row r="4158" spans="1:1" x14ac:dyDescent="0.2">
      <c r="A4158" t="s">
        <v>102</v>
      </c>
    </row>
    <row r="4159" spans="1:1" x14ac:dyDescent="0.2">
      <c r="A4159" t="s">
        <v>102</v>
      </c>
    </row>
    <row r="4160" spans="1:1" x14ac:dyDescent="0.2">
      <c r="A4160" t="s">
        <v>102</v>
      </c>
    </row>
    <row r="4161" spans="1:1" x14ac:dyDescent="0.2">
      <c r="A4161" t="s">
        <v>102</v>
      </c>
    </row>
    <row r="4162" spans="1:1" x14ac:dyDescent="0.2">
      <c r="A4162" t="s">
        <v>102</v>
      </c>
    </row>
    <row r="4163" spans="1:1" x14ac:dyDescent="0.2">
      <c r="A4163" t="s">
        <v>102</v>
      </c>
    </row>
    <row r="4164" spans="1:1" x14ac:dyDescent="0.2">
      <c r="A4164" t="s">
        <v>102</v>
      </c>
    </row>
    <row r="4165" spans="1:1" x14ac:dyDescent="0.2">
      <c r="A4165" t="s">
        <v>102</v>
      </c>
    </row>
    <row r="4166" spans="1:1" x14ac:dyDescent="0.2">
      <c r="A4166" t="s">
        <v>102</v>
      </c>
    </row>
    <row r="4167" spans="1:1" x14ac:dyDescent="0.2">
      <c r="A4167" t="s">
        <v>102</v>
      </c>
    </row>
    <row r="4168" spans="1:1" x14ac:dyDescent="0.2">
      <c r="A4168" t="s">
        <v>102</v>
      </c>
    </row>
    <row r="4169" spans="1:1" x14ac:dyDescent="0.2">
      <c r="A4169" t="s">
        <v>102</v>
      </c>
    </row>
    <row r="4170" spans="1:1" x14ac:dyDescent="0.2">
      <c r="A4170" t="s">
        <v>102</v>
      </c>
    </row>
    <row r="4171" spans="1:1" x14ac:dyDescent="0.2">
      <c r="A4171" t="s">
        <v>102</v>
      </c>
    </row>
    <row r="4172" spans="1:1" x14ac:dyDescent="0.2">
      <c r="A4172" t="s">
        <v>102</v>
      </c>
    </row>
    <row r="4173" spans="1:1" x14ac:dyDescent="0.2">
      <c r="A4173" t="s">
        <v>102</v>
      </c>
    </row>
    <row r="4174" spans="1:1" x14ac:dyDescent="0.2">
      <c r="A4174" t="s">
        <v>102</v>
      </c>
    </row>
    <row r="4175" spans="1:1" x14ac:dyDescent="0.2">
      <c r="A4175" t="s">
        <v>102</v>
      </c>
    </row>
    <row r="4176" spans="1:1" x14ac:dyDescent="0.2">
      <c r="A4176" t="s">
        <v>102</v>
      </c>
    </row>
    <row r="4177" spans="1:1" x14ac:dyDescent="0.2">
      <c r="A4177" t="s">
        <v>102</v>
      </c>
    </row>
    <row r="4178" spans="1:1" x14ac:dyDescent="0.2">
      <c r="A4178" t="s">
        <v>102</v>
      </c>
    </row>
    <row r="4179" spans="1:1" x14ac:dyDescent="0.2">
      <c r="A4179" t="s">
        <v>102</v>
      </c>
    </row>
    <row r="4180" spans="1:1" x14ac:dyDescent="0.2">
      <c r="A4180" t="s">
        <v>102</v>
      </c>
    </row>
    <row r="4181" spans="1:1" x14ac:dyDescent="0.2">
      <c r="A4181" t="s">
        <v>102</v>
      </c>
    </row>
    <row r="4182" spans="1:1" x14ac:dyDescent="0.2">
      <c r="A4182" t="s">
        <v>102</v>
      </c>
    </row>
    <row r="4183" spans="1:1" x14ac:dyDescent="0.2">
      <c r="A4183" t="s">
        <v>102</v>
      </c>
    </row>
    <row r="4184" spans="1:1" x14ac:dyDescent="0.2">
      <c r="A4184" t="s">
        <v>102</v>
      </c>
    </row>
    <row r="4185" spans="1:1" x14ac:dyDescent="0.2">
      <c r="A4185" t="s">
        <v>102</v>
      </c>
    </row>
    <row r="4186" spans="1:1" x14ac:dyDescent="0.2">
      <c r="A4186" t="s">
        <v>102</v>
      </c>
    </row>
    <row r="4187" spans="1:1" x14ac:dyDescent="0.2">
      <c r="A4187" t="s">
        <v>102</v>
      </c>
    </row>
    <row r="4188" spans="1:1" x14ac:dyDescent="0.2">
      <c r="A4188" t="s">
        <v>102</v>
      </c>
    </row>
    <row r="4189" spans="1:1" x14ac:dyDescent="0.2">
      <c r="A4189" t="s">
        <v>102</v>
      </c>
    </row>
    <row r="4190" spans="1:1" x14ac:dyDescent="0.2">
      <c r="A4190" t="s">
        <v>102</v>
      </c>
    </row>
    <row r="4191" spans="1:1" x14ac:dyDescent="0.2">
      <c r="A4191" t="s">
        <v>102</v>
      </c>
    </row>
    <row r="4192" spans="1:1" x14ac:dyDescent="0.2">
      <c r="A4192" t="s">
        <v>102</v>
      </c>
    </row>
    <row r="4193" spans="1:1" x14ac:dyDescent="0.2">
      <c r="A4193" t="s">
        <v>102</v>
      </c>
    </row>
    <row r="4194" spans="1:1" x14ac:dyDescent="0.2">
      <c r="A4194" t="s">
        <v>102</v>
      </c>
    </row>
    <row r="4195" spans="1:1" x14ac:dyDescent="0.2">
      <c r="A4195" t="s">
        <v>102</v>
      </c>
    </row>
    <row r="4196" spans="1:1" x14ac:dyDescent="0.2">
      <c r="A4196" t="s">
        <v>102</v>
      </c>
    </row>
    <row r="4197" spans="1:1" x14ac:dyDescent="0.2">
      <c r="A4197" t="s">
        <v>102</v>
      </c>
    </row>
    <row r="4198" spans="1:1" x14ac:dyDescent="0.2">
      <c r="A4198" t="s">
        <v>102</v>
      </c>
    </row>
    <row r="4199" spans="1:1" x14ac:dyDescent="0.2">
      <c r="A4199" t="s">
        <v>102</v>
      </c>
    </row>
    <row r="4200" spans="1:1" x14ac:dyDescent="0.2">
      <c r="A4200" t="s">
        <v>102</v>
      </c>
    </row>
    <row r="4201" spans="1:1" x14ac:dyDescent="0.2">
      <c r="A4201" t="s">
        <v>102</v>
      </c>
    </row>
    <row r="4202" spans="1:1" x14ac:dyDescent="0.2">
      <c r="A4202" t="s">
        <v>102</v>
      </c>
    </row>
    <row r="4203" spans="1:1" x14ac:dyDescent="0.2">
      <c r="A4203" t="s">
        <v>102</v>
      </c>
    </row>
    <row r="4204" spans="1:1" x14ac:dyDescent="0.2">
      <c r="A4204" t="s">
        <v>102</v>
      </c>
    </row>
    <row r="4205" spans="1:1" x14ac:dyDescent="0.2">
      <c r="A4205" t="s">
        <v>102</v>
      </c>
    </row>
    <row r="4206" spans="1:1" x14ac:dyDescent="0.2">
      <c r="A4206" t="s">
        <v>102</v>
      </c>
    </row>
    <row r="4207" spans="1:1" x14ac:dyDescent="0.2">
      <c r="A4207" t="s">
        <v>102</v>
      </c>
    </row>
    <row r="4208" spans="1:1" x14ac:dyDescent="0.2">
      <c r="A4208" t="s">
        <v>102</v>
      </c>
    </row>
    <row r="4209" spans="1:1" x14ac:dyDescent="0.2">
      <c r="A4209" t="s">
        <v>102</v>
      </c>
    </row>
    <row r="4210" spans="1:1" x14ac:dyDescent="0.2">
      <c r="A4210" t="s">
        <v>102</v>
      </c>
    </row>
    <row r="4211" spans="1:1" x14ac:dyDescent="0.2">
      <c r="A4211" t="s">
        <v>102</v>
      </c>
    </row>
    <row r="4212" spans="1:1" x14ac:dyDescent="0.2">
      <c r="A4212" t="s">
        <v>102</v>
      </c>
    </row>
    <row r="4213" spans="1:1" x14ac:dyDescent="0.2">
      <c r="A4213" t="s">
        <v>102</v>
      </c>
    </row>
    <row r="4214" spans="1:1" x14ac:dyDescent="0.2">
      <c r="A4214" t="s">
        <v>102</v>
      </c>
    </row>
    <row r="4215" spans="1:1" x14ac:dyDescent="0.2">
      <c r="A4215" t="s">
        <v>102</v>
      </c>
    </row>
    <row r="4216" spans="1:1" x14ac:dyDescent="0.2">
      <c r="A4216" t="s">
        <v>102</v>
      </c>
    </row>
    <row r="4217" spans="1:1" x14ac:dyDescent="0.2">
      <c r="A4217" t="s">
        <v>102</v>
      </c>
    </row>
    <row r="4218" spans="1:1" x14ac:dyDescent="0.2">
      <c r="A4218" t="s">
        <v>102</v>
      </c>
    </row>
    <row r="4219" spans="1:1" x14ac:dyDescent="0.2">
      <c r="A4219" t="s">
        <v>102</v>
      </c>
    </row>
    <row r="4220" spans="1:1" x14ac:dyDescent="0.2">
      <c r="A4220" t="s">
        <v>102</v>
      </c>
    </row>
    <row r="4221" spans="1:1" x14ac:dyDescent="0.2">
      <c r="A4221" t="s">
        <v>102</v>
      </c>
    </row>
    <row r="4222" spans="1:1" x14ac:dyDescent="0.2">
      <c r="A4222" t="s">
        <v>102</v>
      </c>
    </row>
    <row r="4223" spans="1:1" x14ac:dyDescent="0.2">
      <c r="A4223" t="s">
        <v>102</v>
      </c>
    </row>
    <row r="4224" spans="1:1" x14ac:dyDescent="0.2">
      <c r="A4224" t="s">
        <v>102</v>
      </c>
    </row>
    <row r="4225" spans="1:1" x14ac:dyDescent="0.2">
      <c r="A4225" t="s">
        <v>102</v>
      </c>
    </row>
    <row r="4226" spans="1:1" x14ac:dyDescent="0.2">
      <c r="A4226" t="s">
        <v>102</v>
      </c>
    </row>
    <row r="4227" spans="1:1" x14ac:dyDescent="0.2">
      <c r="A4227" t="s">
        <v>102</v>
      </c>
    </row>
    <row r="4228" spans="1:1" x14ac:dyDescent="0.2">
      <c r="A4228" t="s">
        <v>102</v>
      </c>
    </row>
    <row r="4229" spans="1:1" x14ac:dyDescent="0.2">
      <c r="A4229" t="s">
        <v>102</v>
      </c>
    </row>
    <row r="4230" spans="1:1" x14ac:dyDescent="0.2">
      <c r="A4230" t="s">
        <v>102</v>
      </c>
    </row>
    <row r="4231" spans="1:1" x14ac:dyDescent="0.2">
      <c r="A4231" t="s">
        <v>102</v>
      </c>
    </row>
    <row r="4232" spans="1:1" x14ac:dyDescent="0.2">
      <c r="A4232" t="s">
        <v>102</v>
      </c>
    </row>
    <row r="4233" spans="1:1" x14ac:dyDescent="0.2">
      <c r="A4233" t="s">
        <v>102</v>
      </c>
    </row>
    <row r="4234" spans="1:1" x14ac:dyDescent="0.2">
      <c r="A4234" t="s">
        <v>102</v>
      </c>
    </row>
    <row r="4235" spans="1:1" x14ac:dyDescent="0.2">
      <c r="A4235" t="s">
        <v>102</v>
      </c>
    </row>
    <row r="4236" spans="1:1" x14ac:dyDescent="0.2">
      <c r="A4236" t="s">
        <v>102</v>
      </c>
    </row>
    <row r="4237" spans="1:1" x14ac:dyDescent="0.2">
      <c r="A4237" t="s">
        <v>102</v>
      </c>
    </row>
    <row r="4238" spans="1:1" x14ac:dyDescent="0.2">
      <c r="A4238" t="s">
        <v>102</v>
      </c>
    </row>
    <row r="4239" spans="1:1" x14ac:dyDescent="0.2">
      <c r="A4239" t="s">
        <v>102</v>
      </c>
    </row>
    <row r="4240" spans="1:1" x14ac:dyDescent="0.2">
      <c r="A4240" t="s">
        <v>102</v>
      </c>
    </row>
    <row r="4241" spans="1:1" x14ac:dyDescent="0.2">
      <c r="A4241" t="s">
        <v>102</v>
      </c>
    </row>
    <row r="4242" spans="1:1" x14ac:dyDescent="0.2">
      <c r="A4242" t="s">
        <v>102</v>
      </c>
    </row>
    <row r="4243" spans="1:1" x14ac:dyDescent="0.2">
      <c r="A4243" t="s">
        <v>102</v>
      </c>
    </row>
    <row r="4244" spans="1:1" x14ac:dyDescent="0.2">
      <c r="A4244" t="s">
        <v>102</v>
      </c>
    </row>
    <row r="4245" spans="1:1" x14ac:dyDescent="0.2">
      <c r="A4245" t="s">
        <v>102</v>
      </c>
    </row>
    <row r="4246" spans="1:1" x14ac:dyDescent="0.2">
      <c r="A4246" t="s">
        <v>102</v>
      </c>
    </row>
    <row r="4247" spans="1:1" x14ac:dyDescent="0.2">
      <c r="A4247" t="s">
        <v>102</v>
      </c>
    </row>
    <row r="4248" spans="1:1" x14ac:dyDescent="0.2">
      <c r="A4248" t="s">
        <v>102</v>
      </c>
    </row>
    <row r="4249" spans="1:1" x14ac:dyDescent="0.2">
      <c r="A4249" t="s">
        <v>102</v>
      </c>
    </row>
    <row r="4250" spans="1:1" x14ac:dyDescent="0.2">
      <c r="A4250" t="s">
        <v>102</v>
      </c>
    </row>
    <row r="4251" spans="1:1" x14ac:dyDescent="0.2">
      <c r="A4251" t="s">
        <v>102</v>
      </c>
    </row>
    <row r="4252" spans="1:1" x14ac:dyDescent="0.2">
      <c r="A4252" t="s">
        <v>102</v>
      </c>
    </row>
    <row r="4253" spans="1:1" x14ac:dyDescent="0.2">
      <c r="A4253" t="s">
        <v>102</v>
      </c>
    </row>
    <row r="4254" spans="1:1" x14ac:dyDescent="0.2">
      <c r="A4254" t="s">
        <v>102</v>
      </c>
    </row>
    <row r="4255" spans="1:1" x14ac:dyDescent="0.2">
      <c r="A4255" t="s">
        <v>102</v>
      </c>
    </row>
    <row r="4256" spans="1:1" x14ac:dyDescent="0.2">
      <c r="A4256" t="s">
        <v>102</v>
      </c>
    </row>
    <row r="4257" spans="1:1" x14ac:dyDescent="0.2">
      <c r="A4257" t="s">
        <v>102</v>
      </c>
    </row>
    <row r="4258" spans="1:1" x14ac:dyDescent="0.2">
      <c r="A4258" t="s">
        <v>102</v>
      </c>
    </row>
    <row r="4259" spans="1:1" x14ac:dyDescent="0.2">
      <c r="A4259" t="s">
        <v>102</v>
      </c>
    </row>
    <row r="4260" spans="1:1" x14ac:dyDescent="0.2">
      <c r="A4260" t="s">
        <v>102</v>
      </c>
    </row>
    <row r="4261" spans="1:1" x14ac:dyDescent="0.2">
      <c r="A4261" t="s">
        <v>102</v>
      </c>
    </row>
    <row r="4262" spans="1:1" x14ac:dyDescent="0.2">
      <c r="A4262" t="s">
        <v>102</v>
      </c>
    </row>
    <row r="4263" spans="1:1" x14ac:dyDescent="0.2">
      <c r="A4263" t="s">
        <v>102</v>
      </c>
    </row>
    <row r="4264" spans="1:1" x14ac:dyDescent="0.2">
      <c r="A4264" t="s">
        <v>102</v>
      </c>
    </row>
    <row r="4265" spans="1:1" x14ac:dyDescent="0.2">
      <c r="A4265" t="s">
        <v>102</v>
      </c>
    </row>
    <row r="4266" spans="1:1" x14ac:dyDescent="0.2">
      <c r="A4266" t="s">
        <v>102</v>
      </c>
    </row>
    <row r="4267" spans="1:1" x14ac:dyDescent="0.2">
      <c r="A4267" t="s">
        <v>102</v>
      </c>
    </row>
    <row r="4268" spans="1:1" x14ac:dyDescent="0.2">
      <c r="A4268" t="s">
        <v>102</v>
      </c>
    </row>
    <row r="4269" spans="1:1" x14ac:dyDescent="0.2">
      <c r="A4269" t="s">
        <v>102</v>
      </c>
    </row>
    <row r="4270" spans="1:1" x14ac:dyDescent="0.2">
      <c r="A4270" t="s">
        <v>102</v>
      </c>
    </row>
    <row r="4271" spans="1:1" x14ac:dyDescent="0.2">
      <c r="A4271" t="s">
        <v>102</v>
      </c>
    </row>
    <row r="4272" spans="1:1" x14ac:dyDescent="0.2">
      <c r="A4272" t="s">
        <v>102</v>
      </c>
    </row>
    <row r="4273" spans="1:1" x14ac:dyDescent="0.2">
      <c r="A4273" t="s">
        <v>102</v>
      </c>
    </row>
    <row r="4274" spans="1:1" x14ac:dyDescent="0.2">
      <c r="A4274" t="s">
        <v>102</v>
      </c>
    </row>
    <row r="4275" spans="1:1" x14ac:dyDescent="0.2">
      <c r="A4275" t="s">
        <v>102</v>
      </c>
    </row>
    <row r="4276" spans="1:1" x14ac:dyDescent="0.2">
      <c r="A4276" t="s">
        <v>102</v>
      </c>
    </row>
    <row r="4277" spans="1:1" x14ac:dyDescent="0.2">
      <c r="A4277" t="s">
        <v>102</v>
      </c>
    </row>
    <row r="4278" spans="1:1" x14ac:dyDescent="0.2">
      <c r="A4278" t="s">
        <v>102</v>
      </c>
    </row>
    <row r="4279" spans="1:1" x14ac:dyDescent="0.2">
      <c r="A4279" t="s">
        <v>102</v>
      </c>
    </row>
    <row r="4280" spans="1:1" x14ac:dyDescent="0.2">
      <c r="A4280" t="s">
        <v>102</v>
      </c>
    </row>
    <row r="4281" spans="1:1" x14ac:dyDescent="0.2">
      <c r="A4281" t="s">
        <v>102</v>
      </c>
    </row>
    <row r="4282" spans="1:1" x14ac:dyDescent="0.2">
      <c r="A4282" t="s">
        <v>102</v>
      </c>
    </row>
    <row r="4283" spans="1:1" x14ac:dyDescent="0.2">
      <c r="A4283" t="s">
        <v>102</v>
      </c>
    </row>
    <row r="4284" spans="1:1" x14ac:dyDescent="0.2">
      <c r="A4284" t="s">
        <v>102</v>
      </c>
    </row>
    <row r="4285" spans="1:1" x14ac:dyDescent="0.2">
      <c r="A4285" t="s">
        <v>102</v>
      </c>
    </row>
    <row r="4286" spans="1:1" x14ac:dyDescent="0.2">
      <c r="A4286" t="s">
        <v>102</v>
      </c>
    </row>
    <row r="4287" spans="1:1" x14ac:dyDescent="0.2">
      <c r="A4287" t="s">
        <v>102</v>
      </c>
    </row>
    <row r="4288" spans="1:1" x14ac:dyDescent="0.2">
      <c r="A4288" t="s">
        <v>102</v>
      </c>
    </row>
    <row r="4289" spans="1:1" x14ac:dyDescent="0.2">
      <c r="A4289" t="s">
        <v>102</v>
      </c>
    </row>
    <row r="4290" spans="1:1" x14ac:dyDescent="0.2">
      <c r="A4290" t="s">
        <v>102</v>
      </c>
    </row>
    <row r="4291" spans="1:1" x14ac:dyDescent="0.2">
      <c r="A4291" t="s">
        <v>102</v>
      </c>
    </row>
    <row r="4292" spans="1:1" x14ac:dyDescent="0.2">
      <c r="A4292" t="s">
        <v>102</v>
      </c>
    </row>
    <row r="4293" spans="1:1" x14ac:dyDescent="0.2">
      <c r="A4293" t="s">
        <v>102</v>
      </c>
    </row>
    <row r="4294" spans="1:1" x14ac:dyDescent="0.2">
      <c r="A4294" t="s">
        <v>102</v>
      </c>
    </row>
    <row r="4295" spans="1:1" x14ac:dyDescent="0.2">
      <c r="A4295" t="s">
        <v>102</v>
      </c>
    </row>
    <row r="4296" spans="1:1" x14ac:dyDescent="0.2">
      <c r="A4296" t="s">
        <v>102</v>
      </c>
    </row>
    <row r="4297" spans="1:1" x14ac:dyDescent="0.2">
      <c r="A4297" t="s">
        <v>102</v>
      </c>
    </row>
    <row r="4298" spans="1:1" x14ac:dyDescent="0.2">
      <c r="A4298" t="s">
        <v>102</v>
      </c>
    </row>
    <row r="4299" spans="1:1" x14ac:dyDescent="0.2">
      <c r="A4299" t="s">
        <v>102</v>
      </c>
    </row>
    <row r="4300" spans="1:1" x14ac:dyDescent="0.2">
      <c r="A4300" t="s">
        <v>102</v>
      </c>
    </row>
    <row r="4301" spans="1:1" x14ac:dyDescent="0.2">
      <c r="A4301" t="s">
        <v>102</v>
      </c>
    </row>
    <row r="4302" spans="1:1" x14ac:dyDescent="0.2">
      <c r="A4302" t="s">
        <v>102</v>
      </c>
    </row>
    <row r="4303" spans="1:1" x14ac:dyDescent="0.2">
      <c r="A4303" t="s">
        <v>102</v>
      </c>
    </row>
    <row r="4304" spans="1:1" x14ac:dyDescent="0.2">
      <c r="A4304" t="s">
        <v>102</v>
      </c>
    </row>
    <row r="4305" spans="1:1" x14ac:dyDescent="0.2">
      <c r="A4305" t="s">
        <v>102</v>
      </c>
    </row>
    <row r="4306" spans="1:1" x14ac:dyDescent="0.2">
      <c r="A4306" t="s">
        <v>102</v>
      </c>
    </row>
    <row r="4307" spans="1:1" x14ac:dyDescent="0.2">
      <c r="A4307" t="s">
        <v>102</v>
      </c>
    </row>
    <row r="4308" spans="1:1" x14ac:dyDescent="0.2">
      <c r="A4308" t="s">
        <v>102</v>
      </c>
    </row>
    <row r="4309" spans="1:1" x14ac:dyDescent="0.2">
      <c r="A4309" t="s">
        <v>102</v>
      </c>
    </row>
    <row r="4310" spans="1:1" x14ac:dyDescent="0.2">
      <c r="A4310" t="s">
        <v>102</v>
      </c>
    </row>
    <row r="4311" spans="1:1" x14ac:dyDescent="0.2">
      <c r="A4311" t="s">
        <v>102</v>
      </c>
    </row>
    <row r="4312" spans="1:1" x14ac:dyDescent="0.2">
      <c r="A4312" t="s">
        <v>102</v>
      </c>
    </row>
    <row r="4313" spans="1:1" x14ac:dyDescent="0.2">
      <c r="A4313" t="s">
        <v>102</v>
      </c>
    </row>
    <row r="4314" spans="1:1" x14ac:dyDescent="0.2">
      <c r="A4314" t="s">
        <v>102</v>
      </c>
    </row>
    <row r="4315" spans="1:1" x14ac:dyDescent="0.2">
      <c r="A4315" t="s">
        <v>102</v>
      </c>
    </row>
    <row r="4316" spans="1:1" x14ac:dyDescent="0.2">
      <c r="A4316" t="s">
        <v>102</v>
      </c>
    </row>
    <row r="4317" spans="1:1" x14ac:dyDescent="0.2">
      <c r="A4317" t="s">
        <v>102</v>
      </c>
    </row>
    <row r="4318" spans="1:1" x14ac:dyDescent="0.2">
      <c r="A4318" t="s">
        <v>102</v>
      </c>
    </row>
    <row r="4319" spans="1:1" x14ac:dyDescent="0.2">
      <c r="A4319" t="s">
        <v>102</v>
      </c>
    </row>
    <row r="4320" spans="1:1" x14ac:dyDescent="0.2">
      <c r="A4320" t="s">
        <v>102</v>
      </c>
    </row>
    <row r="4321" spans="1:1" x14ac:dyDescent="0.2">
      <c r="A4321" t="s">
        <v>102</v>
      </c>
    </row>
    <row r="4322" spans="1:1" x14ac:dyDescent="0.2">
      <c r="A4322" t="s">
        <v>102</v>
      </c>
    </row>
    <row r="4323" spans="1:1" x14ac:dyDescent="0.2">
      <c r="A4323" t="s">
        <v>102</v>
      </c>
    </row>
    <row r="4324" spans="1:1" x14ac:dyDescent="0.2">
      <c r="A4324" t="s">
        <v>102</v>
      </c>
    </row>
    <row r="4325" spans="1:1" x14ac:dyDescent="0.2">
      <c r="A4325" t="s">
        <v>102</v>
      </c>
    </row>
    <row r="4326" spans="1:1" x14ac:dyDescent="0.2">
      <c r="A4326" t="s">
        <v>102</v>
      </c>
    </row>
    <row r="4327" spans="1:1" x14ac:dyDescent="0.2">
      <c r="A4327" t="s">
        <v>102</v>
      </c>
    </row>
    <row r="4328" spans="1:1" x14ac:dyDescent="0.2">
      <c r="A4328" t="s">
        <v>102</v>
      </c>
    </row>
    <row r="4329" spans="1:1" x14ac:dyDescent="0.2">
      <c r="A4329" t="s">
        <v>102</v>
      </c>
    </row>
    <row r="4330" spans="1:1" x14ac:dyDescent="0.2">
      <c r="A4330" t="s">
        <v>102</v>
      </c>
    </row>
    <row r="4331" spans="1:1" x14ac:dyDescent="0.2">
      <c r="A4331" t="s">
        <v>102</v>
      </c>
    </row>
    <row r="4332" spans="1:1" x14ac:dyDescent="0.2">
      <c r="A4332" t="s">
        <v>102</v>
      </c>
    </row>
    <row r="4333" spans="1:1" x14ac:dyDescent="0.2">
      <c r="A4333" t="s">
        <v>102</v>
      </c>
    </row>
    <row r="4334" spans="1:1" x14ac:dyDescent="0.2">
      <c r="A4334" t="s">
        <v>102</v>
      </c>
    </row>
    <row r="4335" spans="1:1" x14ac:dyDescent="0.2">
      <c r="A4335" t="s">
        <v>102</v>
      </c>
    </row>
    <row r="4336" spans="1:1" x14ac:dyDescent="0.2">
      <c r="A4336" t="s">
        <v>102</v>
      </c>
    </row>
    <row r="4337" spans="1:1" x14ac:dyDescent="0.2">
      <c r="A4337" t="s">
        <v>102</v>
      </c>
    </row>
    <row r="4338" spans="1:1" x14ac:dyDescent="0.2">
      <c r="A4338" t="s">
        <v>102</v>
      </c>
    </row>
    <row r="4339" spans="1:1" x14ac:dyDescent="0.2">
      <c r="A4339" t="s">
        <v>102</v>
      </c>
    </row>
    <row r="4340" spans="1:1" x14ac:dyDescent="0.2">
      <c r="A4340" t="s">
        <v>102</v>
      </c>
    </row>
    <row r="4341" spans="1:1" x14ac:dyDescent="0.2">
      <c r="A4341" t="s">
        <v>102</v>
      </c>
    </row>
    <row r="4342" spans="1:1" x14ac:dyDescent="0.2">
      <c r="A4342" t="s">
        <v>102</v>
      </c>
    </row>
    <row r="4343" spans="1:1" x14ac:dyDescent="0.2">
      <c r="A4343" t="s">
        <v>102</v>
      </c>
    </row>
    <row r="4344" spans="1:1" x14ac:dyDescent="0.2">
      <c r="A4344" t="s">
        <v>102</v>
      </c>
    </row>
    <row r="4345" spans="1:1" x14ac:dyDescent="0.2">
      <c r="A4345" t="s">
        <v>102</v>
      </c>
    </row>
    <row r="4346" spans="1:1" x14ac:dyDescent="0.2">
      <c r="A4346" t="s">
        <v>102</v>
      </c>
    </row>
    <row r="4347" spans="1:1" x14ac:dyDescent="0.2">
      <c r="A4347" t="s">
        <v>102</v>
      </c>
    </row>
    <row r="4348" spans="1:1" x14ac:dyDescent="0.2">
      <c r="A4348" t="s">
        <v>102</v>
      </c>
    </row>
    <row r="4349" spans="1:1" x14ac:dyDescent="0.2">
      <c r="A4349" t="s">
        <v>102</v>
      </c>
    </row>
    <row r="4350" spans="1:1" x14ac:dyDescent="0.2">
      <c r="A4350" t="s">
        <v>102</v>
      </c>
    </row>
    <row r="4351" spans="1:1" x14ac:dyDescent="0.2">
      <c r="A4351" t="s">
        <v>102</v>
      </c>
    </row>
    <row r="4352" spans="1:1" x14ac:dyDescent="0.2">
      <c r="A4352" t="s">
        <v>102</v>
      </c>
    </row>
    <row r="4353" spans="1:1" x14ac:dyDescent="0.2">
      <c r="A4353" t="s">
        <v>102</v>
      </c>
    </row>
    <row r="4354" spans="1:1" x14ac:dyDescent="0.2">
      <c r="A4354" t="s">
        <v>102</v>
      </c>
    </row>
    <row r="4355" spans="1:1" x14ac:dyDescent="0.2">
      <c r="A4355" t="s">
        <v>102</v>
      </c>
    </row>
    <row r="4356" spans="1:1" x14ac:dyDescent="0.2">
      <c r="A4356" t="s">
        <v>102</v>
      </c>
    </row>
    <row r="4357" spans="1:1" x14ac:dyDescent="0.2">
      <c r="A4357" t="s">
        <v>102</v>
      </c>
    </row>
    <row r="4358" spans="1:1" x14ac:dyDescent="0.2">
      <c r="A4358" t="s">
        <v>102</v>
      </c>
    </row>
    <row r="4359" spans="1:1" x14ac:dyDescent="0.2">
      <c r="A4359" t="s">
        <v>102</v>
      </c>
    </row>
    <row r="4360" spans="1:1" x14ac:dyDescent="0.2">
      <c r="A4360" t="s">
        <v>102</v>
      </c>
    </row>
    <row r="4361" spans="1:1" x14ac:dyDescent="0.2">
      <c r="A4361" t="s">
        <v>102</v>
      </c>
    </row>
    <row r="4362" spans="1:1" x14ac:dyDescent="0.2">
      <c r="A4362" t="s">
        <v>102</v>
      </c>
    </row>
    <row r="4363" spans="1:1" x14ac:dyDescent="0.2">
      <c r="A4363" t="s">
        <v>102</v>
      </c>
    </row>
    <row r="4364" spans="1:1" x14ac:dyDescent="0.2">
      <c r="A4364" t="s">
        <v>102</v>
      </c>
    </row>
    <row r="4365" spans="1:1" x14ac:dyDescent="0.2">
      <c r="A4365" t="s">
        <v>102</v>
      </c>
    </row>
    <row r="4366" spans="1:1" x14ac:dyDescent="0.2">
      <c r="A4366" t="s">
        <v>102</v>
      </c>
    </row>
    <row r="4367" spans="1:1" x14ac:dyDescent="0.2">
      <c r="A4367" t="s">
        <v>102</v>
      </c>
    </row>
    <row r="4368" spans="1:1" x14ac:dyDescent="0.2">
      <c r="A4368" t="s">
        <v>102</v>
      </c>
    </row>
    <row r="4369" spans="1:1" x14ac:dyDescent="0.2">
      <c r="A4369" t="s">
        <v>102</v>
      </c>
    </row>
    <row r="4370" spans="1:1" x14ac:dyDescent="0.2">
      <c r="A4370" t="s">
        <v>102</v>
      </c>
    </row>
    <row r="4371" spans="1:1" x14ac:dyDescent="0.2">
      <c r="A4371" t="s">
        <v>102</v>
      </c>
    </row>
    <row r="4372" spans="1:1" x14ac:dyDescent="0.2">
      <c r="A4372" t="s">
        <v>102</v>
      </c>
    </row>
    <row r="4373" spans="1:1" x14ac:dyDescent="0.2">
      <c r="A4373" t="s">
        <v>102</v>
      </c>
    </row>
    <row r="4374" spans="1:1" x14ac:dyDescent="0.2">
      <c r="A4374" t="s">
        <v>102</v>
      </c>
    </row>
    <row r="4375" spans="1:1" x14ac:dyDescent="0.2">
      <c r="A4375" t="s">
        <v>102</v>
      </c>
    </row>
    <row r="4376" spans="1:1" x14ac:dyDescent="0.2">
      <c r="A4376" t="s">
        <v>102</v>
      </c>
    </row>
    <row r="4377" spans="1:1" x14ac:dyDescent="0.2">
      <c r="A4377" t="s">
        <v>102</v>
      </c>
    </row>
    <row r="4378" spans="1:1" x14ac:dyDescent="0.2">
      <c r="A4378" t="s">
        <v>102</v>
      </c>
    </row>
    <row r="4379" spans="1:1" x14ac:dyDescent="0.2">
      <c r="A4379" t="s">
        <v>102</v>
      </c>
    </row>
    <row r="4380" spans="1:1" x14ac:dyDescent="0.2">
      <c r="A4380" t="s">
        <v>102</v>
      </c>
    </row>
    <row r="4381" spans="1:1" x14ac:dyDescent="0.2">
      <c r="A4381" t="s">
        <v>102</v>
      </c>
    </row>
    <row r="4382" spans="1:1" x14ac:dyDescent="0.2">
      <c r="A4382" t="s">
        <v>102</v>
      </c>
    </row>
    <row r="4383" spans="1:1" x14ac:dyDescent="0.2">
      <c r="A4383" t="s">
        <v>102</v>
      </c>
    </row>
    <row r="4384" spans="1:1" x14ac:dyDescent="0.2">
      <c r="A4384" t="s">
        <v>102</v>
      </c>
    </row>
    <row r="4385" spans="1:1" x14ac:dyDescent="0.2">
      <c r="A4385" t="s">
        <v>102</v>
      </c>
    </row>
    <row r="4386" spans="1:1" x14ac:dyDescent="0.2">
      <c r="A4386" t="s">
        <v>102</v>
      </c>
    </row>
    <row r="4387" spans="1:1" x14ac:dyDescent="0.2">
      <c r="A4387" t="s">
        <v>102</v>
      </c>
    </row>
    <row r="4388" spans="1:1" x14ac:dyDescent="0.2">
      <c r="A4388" t="s">
        <v>102</v>
      </c>
    </row>
    <row r="4389" spans="1:1" x14ac:dyDescent="0.2">
      <c r="A4389" t="s">
        <v>102</v>
      </c>
    </row>
    <row r="4390" spans="1:1" x14ac:dyDescent="0.2">
      <c r="A4390" t="s">
        <v>102</v>
      </c>
    </row>
    <row r="4391" spans="1:1" x14ac:dyDescent="0.2">
      <c r="A4391" t="s">
        <v>102</v>
      </c>
    </row>
    <row r="4392" spans="1:1" x14ac:dyDescent="0.2">
      <c r="A4392" t="s">
        <v>102</v>
      </c>
    </row>
    <row r="4393" spans="1:1" x14ac:dyDescent="0.2">
      <c r="A4393" t="s">
        <v>102</v>
      </c>
    </row>
    <row r="4394" spans="1:1" x14ac:dyDescent="0.2">
      <c r="A4394" t="s">
        <v>102</v>
      </c>
    </row>
    <row r="4395" spans="1:1" x14ac:dyDescent="0.2">
      <c r="A4395" t="s">
        <v>102</v>
      </c>
    </row>
    <row r="4396" spans="1:1" x14ac:dyDescent="0.2">
      <c r="A4396" t="s">
        <v>102</v>
      </c>
    </row>
    <row r="4397" spans="1:1" x14ac:dyDescent="0.2">
      <c r="A4397" t="s">
        <v>102</v>
      </c>
    </row>
    <row r="4398" spans="1:1" x14ac:dyDescent="0.2">
      <c r="A4398" t="s">
        <v>102</v>
      </c>
    </row>
    <row r="4399" spans="1:1" x14ac:dyDescent="0.2">
      <c r="A4399" t="s">
        <v>102</v>
      </c>
    </row>
    <row r="4400" spans="1:1" x14ac:dyDescent="0.2">
      <c r="A4400" t="s">
        <v>102</v>
      </c>
    </row>
    <row r="4401" spans="1:1" x14ac:dyDescent="0.2">
      <c r="A4401" t="s">
        <v>102</v>
      </c>
    </row>
    <row r="4402" spans="1:1" x14ac:dyDescent="0.2">
      <c r="A4402" t="s">
        <v>102</v>
      </c>
    </row>
    <row r="4403" spans="1:1" x14ac:dyDescent="0.2">
      <c r="A4403" t="s">
        <v>102</v>
      </c>
    </row>
    <row r="4404" spans="1:1" x14ac:dyDescent="0.2">
      <c r="A4404" t="s">
        <v>102</v>
      </c>
    </row>
    <row r="4405" spans="1:1" x14ac:dyDescent="0.2">
      <c r="A4405" t="s">
        <v>102</v>
      </c>
    </row>
    <row r="4406" spans="1:1" x14ac:dyDescent="0.2">
      <c r="A4406" t="s">
        <v>102</v>
      </c>
    </row>
    <row r="4407" spans="1:1" x14ac:dyDescent="0.2">
      <c r="A4407" t="s">
        <v>102</v>
      </c>
    </row>
    <row r="4408" spans="1:1" x14ac:dyDescent="0.2">
      <c r="A4408" t="s">
        <v>102</v>
      </c>
    </row>
    <row r="4409" spans="1:1" x14ac:dyDescent="0.2">
      <c r="A4409" t="s">
        <v>102</v>
      </c>
    </row>
    <row r="4410" spans="1:1" x14ac:dyDescent="0.2">
      <c r="A4410" t="s">
        <v>102</v>
      </c>
    </row>
    <row r="4411" spans="1:1" x14ac:dyDescent="0.2">
      <c r="A4411" t="s">
        <v>102</v>
      </c>
    </row>
    <row r="4412" spans="1:1" x14ac:dyDescent="0.2">
      <c r="A4412" t="s">
        <v>102</v>
      </c>
    </row>
    <row r="4413" spans="1:1" x14ac:dyDescent="0.2">
      <c r="A4413" t="s">
        <v>102</v>
      </c>
    </row>
    <row r="4414" spans="1:1" x14ac:dyDescent="0.2">
      <c r="A4414" t="s">
        <v>102</v>
      </c>
    </row>
    <row r="4415" spans="1:1" x14ac:dyDescent="0.2">
      <c r="A4415" t="s">
        <v>102</v>
      </c>
    </row>
    <row r="4416" spans="1:1" x14ac:dyDescent="0.2">
      <c r="A4416" t="s">
        <v>102</v>
      </c>
    </row>
    <row r="4417" spans="1:1" x14ac:dyDescent="0.2">
      <c r="A4417" t="s">
        <v>102</v>
      </c>
    </row>
    <row r="4418" spans="1:1" x14ac:dyDescent="0.2">
      <c r="A4418" t="s">
        <v>102</v>
      </c>
    </row>
    <row r="4419" spans="1:1" x14ac:dyDescent="0.2">
      <c r="A4419" t="s">
        <v>102</v>
      </c>
    </row>
    <row r="4420" spans="1:1" x14ac:dyDescent="0.2">
      <c r="A4420" t="s">
        <v>102</v>
      </c>
    </row>
    <row r="4421" spans="1:1" x14ac:dyDescent="0.2">
      <c r="A4421" t="s">
        <v>102</v>
      </c>
    </row>
    <row r="4422" spans="1:1" x14ac:dyDescent="0.2">
      <c r="A4422" t="s">
        <v>102</v>
      </c>
    </row>
    <row r="4423" spans="1:1" x14ac:dyDescent="0.2">
      <c r="A4423" t="s">
        <v>102</v>
      </c>
    </row>
    <row r="4424" spans="1:1" x14ac:dyDescent="0.2">
      <c r="A4424" t="s">
        <v>102</v>
      </c>
    </row>
    <row r="4425" spans="1:1" x14ac:dyDescent="0.2">
      <c r="A4425" t="s">
        <v>102</v>
      </c>
    </row>
    <row r="4426" spans="1:1" x14ac:dyDescent="0.2">
      <c r="A4426" t="s">
        <v>102</v>
      </c>
    </row>
    <row r="4427" spans="1:1" x14ac:dyDescent="0.2">
      <c r="A4427" t="s">
        <v>102</v>
      </c>
    </row>
    <row r="4428" spans="1:1" x14ac:dyDescent="0.2">
      <c r="A4428" t="s">
        <v>102</v>
      </c>
    </row>
    <row r="4429" spans="1:1" x14ac:dyDescent="0.2">
      <c r="A4429" t="s">
        <v>102</v>
      </c>
    </row>
    <row r="4430" spans="1:1" x14ac:dyDescent="0.2">
      <c r="A4430" t="s">
        <v>102</v>
      </c>
    </row>
    <row r="4431" spans="1:1" x14ac:dyDescent="0.2">
      <c r="A4431" t="s">
        <v>102</v>
      </c>
    </row>
    <row r="4432" spans="1:1" x14ac:dyDescent="0.2">
      <c r="A4432" t="s">
        <v>102</v>
      </c>
    </row>
    <row r="4433" spans="1:1" x14ac:dyDescent="0.2">
      <c r="A4433" t="s">
        <v>102</v>
      </c>
    </row>
    <row r="4434" spans="1:1" x14ac:dyDescent="0.2">
      <c r="A4434" t="s">
        <v>102</v>
      </c>
    </row>
    <row r="4435" spans="1:1" x14ac:dyDescent="0.2">
      <c r="A4435" t="s">
        <v>102</v>
      </c>
    </row>
    <row r="4436" spans="1:1" x14ac:dyDescent="0.2">
      <c r="A4436" t="s">
        <v>102</v>
      </c>
    </row>
    <row r="4437" spans="1:1" x14ac:dyDescent="0.2">
      <c r="A4437" t="s">
        <v>102</v>
      </c>
    </row>
    <row r="4438" spans="1:1" x14ac:dyDescent="0.2">
      <c r="A4438" t="s">
        <v>102</v>
      </c>
    </row>
    <row r="4439" spans="1:1" x14ac:dyDescent="0.2">
      <c r="A4439" t="s">
        <v>102</v>
      </c>
    </row>
    <row r="4440" spans="1:1" x14ac:dyDescent="0.2">
      <c r="A4440" t="s">
        <v>102</v>
      </c>
    </row>
    <row r="4441" spans="1:1" x14ac:dyDescent="0.2">
      <c r="A4441" t="s">
        <v>102</v>
      </c>
    </row>
    <row r="4442" spans="1:1" x14ac:dyDescent="0.2">
      <c r="A4442" t="s">
        <v>102</v>
      </c>
    </row>
    <row r="4443" spans="1:1" x14ac:dyDescent="0.2">
      <c r="A4443" t="s">
        <v>102</v>
      </c>
    </row>
    <row r="4444" spans="1:1" x14ac:dyDescent="0.2">
      <c r="A4444" t="s">
        <v>102</v>
      </c>
    </row>
    <row r="4445" spans="1:1" x14ac:dyDescent="0.2">
      <c r="A4445" t="s">
        <v>102</v>
      </c>
    </row>
    <row r="4446" spans="1:1" x14ac:dyDescent="0.2">
      <c r="A4446" t="s">
        <v>102</v>
      </c>
    </row>
    <row r="4447" spans="1:1" x14ac:dyDescent="0.2">
      <c r="A4447" t="s">
        <v>102</v>
      </c>
    </row>
    <row r="4448" spans="1:1" x14ac:dyDescent="0.2">
      <c r="A4448" t="s">
        <v>102</v>
      </c>
    </row>
    <row r="4449" spans="1:1" x14ac:dyDescent="0.2">
      <c r="A4449" t="s">
        <v>102</v>
      </c>
    </row>
    <row r="4450" spans="1:1" x14ac:dyDescent="0.2">
      <c r="A4450" t="s">
        <v>102</v>
      </c>
    </row>
    <row r="4451" spans="1:1" x14ac:dyDescent="0.2">
      <c r="A4451" t="s">
        <v>102</v>
      </c>
    </row>
    <row r="4452" spans="1:1" x14ac:dyDescent="0.2">
      <c r="A4452" t="s">
        <v>102</v>
      </c>
    </row>
    <row r="4453" spans="1:1" x14ac:dyDescent="0.2">
      <c r="A4453" t="s">
        <v>102</v>
      </c>
    </row>
    <row r="4454" spans="1:1" x14ac:dyDescent="0.2">
      <c r="A4454" t="s">
        <v>102</v>
      </c>
    </row>
    <row r="4455" spans="1:1" x14ac:dyDescent="0.2">
      <c r="A4455" t="s">
        <v>102</v>
      </c>
    </row>
    <row r="4456" spans="1:1" x14ac:dyDescent="0.2">
      <c r="A4456" t="s">
        <v>102</v>
      </c>
    </row>
    <row r="4457" spans="1:1" x14ac:dyDescent="0.2">
      <c r="A4457" t="s">
        <v>102</v>
      </c>
    </row>
    <row r="4458" spans="1:1" x14ac:dyDescent="0.2">
      <c r="A4458" t="s">
        <v>102</v>
      </c>
    </row>
    <row r="4459" spans="1:1" x14ac:dyDescent="0.2">
      <c r="A4459" t="s">
        <v>102</v>
      </c>
    </row>
    <row r="4460" spans="1:1" x14ac:dyDescent="0.2">
      <c r="A4460" t="s">
        <v>102</v>
      </c>
    </row>
    <row r="4461" spans="1:1" x14ac:dyDescent="0.2">
      <c r="A4461" t="s">
        <v>102</v>
      </c>
    </row>
    <row r="4462" spans="1:1" x14ac:dyDescent="0.2">
      <c r="A4462" t="s">
        <v>102</v>
      </c>
    </row>
    <row r="4463" spans="1:1" x14ac:dyDescent="0.2">
      <c r="A4463" t="s">
        <v>102</v>
      </c>
    </row>
    <row r="4464" spans="1:1" x14ac:dyDescent="0.2">
      <c r="A4464" t="s">
        <v>102</v>
      </c>
    </row>
    <row r="4465" spans="1:1" x14ac:dyDescent="0.2">
      <c r="A4465" t="s">
        <v>102</v>
      </c>
    </row>
    <row r="4466" spans="1:1" x14ac:dyDescent="0.2">
      <c r="A4466" t="s">
        <v>102</v>
      </c>
    </row>
    <row r="4467" spans="1:1" x14ac:dyDescent="0.2">
      <c r="A4467" t="s">
        <v>102</v>
      </c>
    </row>
    <row r="4468" spans="1:1" x14ac:dyDescent="0.2">
      <c r="A4468" t="s">
        <v>102</v>
      </c>
    </row>
    <row r="4469" spans="1:1" x14ac:dyDescent="0.2">
      <c r="A4469" t="s">
        <v>102</v>
      </c>
    </row>
    <row r="4470" spans="1:1" x14ac:dyDescent="0.2">
      <c r="A4470" t="s">
        <v>102</v>
      </c>
    </row>
    <row r="4471" spans="1:1" x14ac:dyDescent="0.2">
      <c r="A4471" t="s">
        <v>102</v>
      </c>
    </row>
    <row r="4472" spans="1:1" x14ac:dyDescent="0.2">
      <c r="A4472" t="s">
        <v>102</v>
      </c>
    </row>
    <row r="4473" spans="1:1" x14ac:dyDescent="0.2">
      <c r="A4473" t="s">
        <v>102</v>
      </c>
    </row>
    <row r="4474" spans="1:1" x14ac:dyDescent="0.2">
      <c r="A4474" t="s">
        <v>102</v>
      </c>
    </row>
    <row r="4475" spans="1:1" x14ac:dyDescent="0.2">
      <c r="A4475" t="s">
        <v>102</v>
      </c>
    </row>
    <row r="4476" spans="1:1" x14ac:dyDescent="0.2">
      <c r="A4476" t="s">
        <v>102</v>
      </c>
    </row>
    <row r="4477" spans="1:1" x14ac:dyDescent="0.2">
      <c r="A4477" t="s">
        <v>102</v>
      </c>
    </row>
    <row r="4478" spans="1:1" x14ac:dyDescent="0.2">
      <c r="A4478" t="s">
        <v>102</v>
      </c>
    </row>
    <row r="4479" spans="1:1" x14ac:dyDescent="0.2">
      <c r="A4479" t="s">
        <v>102</v>
      </c>
    </row>
    <row r="4480" spans="1:1" x14ac:dyDescent="0.2">
      <c r="A4480" t="s">
        <v>102</v>
      </c>
    </row>
    <row r="4481" spans="1:1" x14ac:dyDescent="0.2">
      <c r="A4481" t="s">
        <v>102</v>
      </c>
    </row>
    <row r="4482" spans="1:1" x14ac:dyDescent="0.2">
      <c r="A4482" t="s">
        <v>102</v>
      </c>
    </row>
    <row r="4483" spans="1:1" x14ac:dyDescent="0.2">
      <c r="A4483" t="s">
        <v>102</v>
      </c>
    </row>
    <row r="4484" spans="1:1" x14ac:dyDescent="0.2">
      <c r="A4484" t="s">
        <v>102</v>
      </c>
    </row>
    <row r="4485" spans="1:1" x14ac:dyDescent="0.2">
      <c r="A4485" t="s">
        <v>102</v>
      </c>
    </row>
    <row r="4486" spans="1:1" x14ac:dyDescent="0.2">
      <c r="A4486" t="s">
        <v>102</v>
      </c>
    </row>
    <row r="4487" spans="1:1" x14ac:dyDescent="0.2">
      <c r="A4487" t="s">
        <v>102</v>
      </c>
    </row>
    <row r="4488" spans="1:1" x14ac:dyDescent="0.2">
      <c r="A4488" t="s">
        <v>102</v>
      </c>
    </row>
    <row r="4489" spans="1:1" x14ac:dyDescent="0.2">
      <c r="A4489" t="s">
        <v>102</v>
      </c>
    </row>
    <row r="4490" spans="1:1" x14ac:dyDescent="0.2">
      <c r="A4490" t="s">
        <v>102</v>
      </c>
    </row>
    <row r="4491" spans="1:1" x14ac:dyDescent="0.2">
      <c r="A4491" t="s">
        <v>102</v>
      </c>
    </row>
    <row r="4492" spans="1:1" x14ac:dyDescent="0.2">
      <c r="A4492" t="s">
        <v>102</v>
      </c>
    </row>
    <row r="4493" spans="1:1" x14ac:dyDescent="0.2">
      <c r="A4493" t="s">
        <v>102</v>
      </c>
    </row>
    <row r="4494" spans="1:1" x14ac:dyDescent="0.2">
      <c r="A4494" t="s">
        <v>102</v>
      </c>
    </row>
    <row r="4495" spans="1:1" x14ac:dyDescent="0.2">
      <c r="A4495" t="s">
        <v>102</v>
      </c>
    </row>
    <row r="4496" spans="1:1" x14ac:dyDescent="0.2">
      <c r="A4496" t="s">
        <v>102</v>
      </c>
    </row>
    <row r="4497" spans="1:1" x14ac:dyDescent="0.2">
      <c r="A4497" t="s">
        <v>102</v>
      </c>
    </row>
    <row r="4498" spans="1:1" x14ac:dyDescent="0.2">
      <c r="A4498" t="s">
        <v>102</v>
      </c>
    </row>
    <row r="4499" spans="1:1" x14ac:dyDescent="0.2">
      <c r="A4499" t="s">
        <v>102</v>
      </c>
    </row>
    <row r="4500" spans="1:1" x14ac:dyDescent="0.2">
      <c r="A4500" t="s">
        <v>102</v>
      </c>
    </row>
    <row r="4501" spans="1:1" x14ac:dyDescent="0.2">
      <c r="A4501" t="s">
        <v>102</v>
      </c>
    </row>
    <row r="4502" spans="1:1" x14ac:dyDescent="0.2">
      <c r="A4502" t="s">
        <v>102</v>
      </c>
    </row>
    <row r="4503" spans="1:1" x14ac:dyDescent="0.2">
      <c r="A4503" t="s">
        <v>102</v>
      </c>
    </row>
    <row r="4504" spans="1:1" x14ac:dyDescent="0.2">
      <c r="A4504" t="s">
        <v>102</v>
      </c>
    </row>
    <row r="4505" spans="1:1" x14ac:dyDescent="0.2">
      <c r="A4505" t="s">
        <v>102</v>
      </c>
    </row>
    <row r="4506" spans="1:1" x14ac:dyDescent="0.2">
      <c r="A4506" t="s">
        <v>102</v>
      </c>
    </row>
    <row r="4507" spans="1:1" x14ac:dyDescent="0.2">
      <c r="A4507" t="s">
        <v>102</v>
      </c>
    </row>
    <row r="4508" spans="1:1" x14ac:dyDescent="0.2">
      <c r="A4508" t="s">
        <v>102</v>
      </c>
    </row>
    <row r="4509" spans="1:1" x14ac:dyDescent="0.2">
      <c r="A4509" t="s">
        <v>102</v>
      </c>
    </row>
    <row r="4510" spans="1:1" x14ac:dyDescent="0.2">
      <c r="A4510" t="s">
        <v>102</v>
      </c>
    </row>
    <row r="4511" spans="1:1" x14ac:dyDescent="0.2">
      <c r="A4511" t="s">
        <v>102</v>
      </c>
    </row>
    <row r="4512" spans="1:1" x14ac:dyDescent="0.2">
      <c r="A4512" t="s">
        <v>102</v>
      </c>
    </row>
    <row r="4513" spans="1:1" x14ac:dyDescent="0.2">
      <c r="A4513" t="s">
        <v>102</v>
      </c>
    </row>
    <row r="4514" spans="1:1" x14ac:dyDescent="0.2">
      <c r="A4514" t="s">
        <v>102</v>
      </c>
    </row>
    <row r="4515" spans="1:1" x14ac:dyDescent="0.2">
      <c r="A4515" t="s">
        <v>102</v>
      </c>
    </row>
    <row r="4516" spans="1:1" x14ac:dyDescent="0.2">
      <c r="A4516" t="s">
        <v>102</v>
      </c>
    </row>
    <row r="4517" spans="1:1" x14ac:dyDescent="0.2">
      <c r="A4517" t="s">
        <v>102</v>
      </c>
    </row>
    <row r="4518" spans="1:1" x14ac:dyDescent="0.2">
      <c r="A4518" t="s">
        <v>102</v>
      </c>
    </row>
    <row r="4519" spans="1:1" x14ac:dyDescent="0.2">
      <c r="A4519" t="s">
        <v>102</v>
      </c>
    </row>
    <row r="4520" spans="1:1" x14ac:dyDescent="0.2">
      <c r="A4520" t="s">
        <v>102</v>
      </c>
    </row>
    <row r="4521" spans="1:1" x14ac:dyDescent="0.2">
      <c r="A4521" t="s">
        <v>102</v>
      </c>
    </row>
    <row r="4522" spans="1:1" x14ac:dyDescent="0.2">
      <c r="A4522" t="s">
        <v>102</v>
      </c>
    </row>
    <row r="4523" spans="1:1" x14ac:dyDescent="0.2">
      <c r="A4523" t="s">
        <v>102</v>
      </c>
    </row>
    <row r="4524" spans="1:1" x14ac:dyDescent="0.2">
      <c r="A4524" t="s">
        <v>102</v>
      </c>
    </row>
    <row r="4525" spans="1:1" x14ac:dyDescent="0.2">
      <c r="A4525" t="s">
        <v>102</v>
      </c>
    </row>
    <row r="4526" spans="1:1" x14ac:dyDescent="0.2">
      <c r="A4526" t="s">
        <v>102</v>
      </c>
    </row>
    <row r="4527" spans="1:1" x14ac:dyDescent="0.2">
      <c r="A4527" t="s">
        <v>102</v>
      </c>
    </row>
    <row r="4528" spans="1:1" x14ac:dyDescent="0.2">
      <c r="A4528" t="s">
        <v>102</v>
      </c>
    </row>
    <row r="4529" spans="1:1" x14ac:dyDescent="0.2">
      <c r="A4529" t="s">
        <v>102</v>
      </c>
    </row>
    <row r="4530" spans="1:1" x14ac:dyDescent="0.2">
      <c r="A4530" t="s">
        <v>102</v>
      </c>
    </row>
    <row r="4531" spans="1:1" x14ac:dyDescent="0.2">
      <c r="A4531" t="s">
        <v>102</v>
      </c>
    </row>
    <row r="4532" spans="1:1" x14ac:dyDescent="0.2">
      <c r="A4532" t="s">
        <v>102</v>
      </c>
    </row>
    <row r="4533" spans="1:1" x14ac:dyDescent="0.2">
      <c r="A4533" t="s">
        <v>102</v>
      </c>
    </row>
    <row r="4534" spans="1:1" x14ac:dyDescent="0.2">
      <c r="A4534" t="s">
        <v>102</v>
      </c>
    </row>
    <row r="4535" spans="1:1" x14ac:dyDescent="0.2">
      <c r="A4535" t="s">
        <v>102</v>
      </c>
    </row>
    <row r="4536" spans="1:1" x14ac:dyDescent="0.2">
      <c r="A4536" t="s">
        <v>102</v>
      </c>
    </row>
    <row r="4537" spans="1:1" x14ac:dyDescent="0.2">
      <c r="A4537" t="s">
        <v>102</v>
      </c>
    </row>
    <row r="4538" spans="1:1" x14ac:dyDescent="0.2">
      <c r="A4538" t="s">
        <v>102</v>
      </c>
    </row>
    <row r="4539" spans="1:1" x14ac:dyDescent="0.2">
      <c r="A4539" t="s">
        <v>102</v>
      </c>
    </row>
    <row r="4540" spans="1:1" x14ac:dyDescent="0.2">
      <c r="A4540" t="s">
        <v>102</v>
      </c>
    </row>
    <row r="4541" spans="1:1" x14ac:dyDescent="0.2">
      <c r="A4541" t="s">
        <v>102</v>
      </c>
    </row>
    <row r="4542" spans="1:1" x14ac:dyDescent="0.2">
      <c r="A4542" t="s">
        <v>102</v>
      </c>
    </row>
    <row r="4543" spans="1:1" x14ac:dyDescent="0.2">
      <c r="A4543" t="s">
        <v>102</v>
      </c>
    </row>
    <row r="4544" spans="1:1" x14ac:dyDescent="0.2">
      <c r="A4544" t="s">
        <v>102</v>
      </c>
    </row>
    <row r="4545" spans="1:1" x14ac:dyDescent="0.2">
      <c r="A4545" t="s">
        <v>102</v>
      </c>
    </row>
    <row r="4546" spans="1:1" x14ac:dyDescent="0.2">
      <c r="A4546" t="s">
        <v>102</v>
      </c>
    </row>
    <row r="4547" spans="1:1" x14ac:dyDescent="0.2">
      <c r="A4547" t="s">
        <v>102</v>
      </c>
    </row>
    <row r="4548" spans="1:1" x14ac:dyDescent="0.2">
      <c r="A4548" t="s">
        <v>102</v>
      </c>
    </row>
    <row r="4549" spans="1:1" x14ac:dyDescent="0.2">
      <c r="A4549" t="s">
        <v>102</v>
      </c>
    </row>
    <row r="4550" spans="1:1" x14ac:dyDescent="0.2">
      <c r="A4550" t="s">
        <v>102</v>
      </c>
    </row>
    <row r="4551" spans="1:1" x14ac:dyDescent="0.2">
      <c r="A4551" t="s">
        <v>102</v>
      </c>
    </row>
    <row r="4552" spans="1:1" x14ac:dyDescent="0.2">
      <c r="A4552" t="s">
        <v>102</v>
      </c>
    </row>
    <row r="4553" spans="1:1" x14ac:dyDescent="0.2">
      <c r="A4553" t="s">
        <v>102</v>
      </c>
    </row>
    <row r="4554" spans="1:1" x14ac:dyDescent="0.2">
      <c r="A4554" t="s">
        <v>102</v>
      </c>
    </row>
    <row r="4555" spans="1:1" x14ac:dyDescent="0.2">
      <c r="A4555" t="s">
        <v>102</v>
      </c>
    </row>
    <row r="4556" spans="1:1" x14ac:dyDescent="0.2">
      <c r="A4556" t="s">
        <v>102</v>
      </c>
    </row>
    <row r="4557" spans="1:1" x14ac:dyDescent="0.2">
      <c r="A4557" t="s">
        <v>102</v>
      </c>
    </row>
    <row r="4558" spans="1:1" x14ac:dyDescent="0.2">
      <c r="A4558" t="s">
        <v>102</v>
      </c>
    </row>
    <row r="4559" spans="1:1" x14ac:dyDescent="0.2">
      <c r="A4559" t="s">
        <v>102</v>
      </c>
    </row>
    <row r="4560" spans="1:1" x14ac:dyDescent="0.2">
      <c r="A4560" t="s">
        <v>102</v>
      </c>
    </row>
    <row r="4561" spans="1:1" x14ac:dyDescent="0.2">
      <c r="A4561" t="s">
        <v>102</v>
      </c>
    </row>
    <row r="4562" spans="1:1" x14ac:dyDescent="0.2">
      <c r="A4562" t="s">
        <v>102</v>
      </c>
    </row>
    <row r="4563" spans="1:1" x14ac:dyDescent="0.2">
      <c r="A4563" t="s">
        <v>102</v>
      </c>
    </row>
    <row r="4564" spans="1:1" x14ac:dyDescent="0.2">
      <c r="A4564" t="s">
        <v>102</v>
      </c>
    </row>
    <row r="4565" spans="1:1" x14ac:dyDescent="0.2">
      <c r="A4565" t="s">
        <v>102</v>
      </c>
    </row>
    <row r="4566" spans="1:1" x14ac:dyDescent="0.2">
      <c r="A4566" t="s">
        <v>102</v>
      </c>
    </row>
    <row r="4567" spans="1:1" x14ac:dyDescent="0.2">
      <c r="A4567" t="s">
        <v>102</v>
      </c>
    </row>
    <row r="4568" spans="1:1" x14ac:dyDescent="0.2">
      <c r="A4568" t="s">
        <v>102</v>
      </c>
    </row>
    <row r="4569" spans="1:1" x14ac:dyDescent="0.2">
      <c r="A4569" t="s">
        <v>102</v>
      </c>
    </row>
    <row r="4570" spans="1:1" x14ac:dyDescent="0.2">
      <c r="A4570" t="s">
        <v>102</v>
      </c>
    </row>
    <row r="4571" spans="1:1" x14ac:dyDescent="0.2">
      <c r="A4571" t="s">
        <v>102</v>
      </c>
    </row>
    <row r="4572" spans="1:1" x14ac:dyDescent="0.2">
      <c r="A4572" t="s">
        <v>102</v>
      </c>
    </row>
    <row r="4573" spans="1:1" x14ac:dyDescent="0.2">
      <c r="A4573" t="s">
        <v>102</v>
      </c>
    </row>
    <row r="4574" spans="1:1" x14ac:dyDescent="0.2">
      <c r="A4574" t="s">
        <v>102</v>
      </c>
    </row>
    <row r="4575" spans="1:1" x14ac:dyDescent="0.2">
      <c r="A4575" t="s">
        <v>102</v>
      </c>
    </row>
    <row r="4576" spans="1:1" x14ac:dyDescent="0.2">
      <c r="A4576" t="s">
        <v>102</v>
      </c>
    </row>
    <row r="4577" spans="1:1" x14ac:dyDescent="0.2">
      <c r="A4577" t="s">
        <v>102</v>
      </c>
    </row>
    <row r="4578" spans="1:1" x14ac:dyDescent="0.2">
      <c r="A4578" t="s">
        <v>102</v>
      </c>
    </row>
    <row r="4579" spans="1:1" x14ac:dyDescent="0.2">
      <c r="A4579" t="s">
        <v>102</v>
      </c>
    </row>
    <row r="4580" spans="1:1" x14ac:dyDescent="0.2">
      <c r="A4580" t="s">
        <v>102</v>
      </c>
    </row>
    <row r="4581" spans="1:1" x14ac:dyDescent="0.2">
      <c r="A4581" t="s">
        <v>102</v>
      </c>
    </row>
    <row r="4582" spans="1:1" x14ac:dyDescent="0.2">
      <c r="A4582" t="s">
        <v>102</v>
      </c>
    </row>
    <row r="4583" spans="1:1" x14ac:dyDescent="0.2">
      <c r="A4583" t="s">
        <v>102</v>
      </c>
    </row>
    <row r="4584" spans="1:1" x14ac:dyDescent="0.2">
      <c r="A4584" t="s">
        <v>102</v>
      </c>
    </row>
    <row r="4585" spans="1:1" x14ac:dyDescent="0.2">
      <c r="A4585" t="s">
        <v>102</v>
      </c>
    </row>
    <row r="4586" spans="1:1" x14ac:dyDescent="0.2">
      <c r="A4586" t="s">
        <v>102</v>
      </c>
    </row>
    <row r="4587" spans="1:1" x14ac:dyDescent="0.2">
      <c r="A4587" t="s">
        <v>102</v>
      </c>
    </row>
    <row r="4588" spans="1:1" x14ac:dyDescent="0.2">
      <c r="A4588" t="s">
        <v>102</v>
      </c>
    </row>
    <row r="4589" spans="1:1" x14ac:dyDescent="0.2">
      <c r="A4589" t="s">
        <v>102</v>
      </c>
    </row>
    <row r="4590" spans="1:1" x14ac:dyDescent="0.2">
      <c r="A4590" t="s">
        <v>102</v>
      </c>
    </row>
    <row r="4591" spans="1:1" x14ac:dyDescent="0.2">
      <c r="A4591" t="s">
        <v>102</v>
      </c>
    </row>
    <row r="4592" spans="1:1" x14ac:dyDescent="0.2">
      <c r="A4592" t="s">
        <v>102</v>
      </c>
    </row>
    <row r="4593" spans="1:1" x14ac:dyDescent="0.2">
      <c r="A4593" t="s">
        <v>102</v>
      </c>
    </row>
    <row r="4594" spans="1:1" x14ac:dyDescent="0.2">
      <c r="A4594" t="s">
        <v>102</v>
      </c>
    </row>
    <row r="4595" spans="1:1" x14ac:dyDescent="0.2">
      <c r="A4595" t="s">
        <v>102</v>
      </c>
    </row>
    <row r="4596" spans="1:1" x14ac:dyDescent="0.2">
      <c r="A4596" t="s">
        <v>102</v>
      </c>
    </row>
    <row r="4597" spans="1:1" x14ac:dyDescent="0.2">
      <c r="A4597" t="s">
        <v>102</v>
      </c>
    </row>
    <row r="4598" spans="1:1" x14ac:dyDescent="0.2">
      <c r="A4598" t="s">
        <v>102</v>
      </c>
    </row>
    <row r="4599" spans="1:1" x14ac:dyDescent="0.2">
      <c r="A4599" t="s">
        <v>102</v>
      </c>
    </row>
    <row r="4600" spans="1:1" x14ac:dyDescent="0.2">
      <c r="A4600" t="s">
        <v>102</v>
      </c>
    </row>
    <row r="4601" spans="1:1" x14ac:dyDescent="0.2">
      <c r="A4601" t="s">
        <v>102</v>
      </c>
    </row>
    <row r="4602" spans="1:1" x14ac:dyDescent="0.2">
      <c r="A4602" t="s">
        <v>102</v>
      </c>
    </row>
    <row r="4603" spans="1:1" x14ac:dyDescent="0.2">
      <c r="A4603" t="s">
        <v>102</v>
      </c>
    </row>
    <row r="4604" spans="1:1" x14ac:dyDescent="0.2">
      <c r="A4604" t="s">
        <v>102</v>
      </c>
    </row>
    <row r="4605" spans="1:1" x14ac:dyDescent="0.2">
      <c r="A4605" t="s">
        <v>102</v>
      </c>
    </row>
    <row r="4606" spans="1:1" x14ac:dyDescent="0.2">
      <c r="A4606" t="s">
        <v>102</v>
      </c>
    </row>
    <row r="4607" spans="1:1" x14ac:dyDescent="0.2">
      <c r="A4607" t="s">
        <v>102</v>
      </c>
    </row>
    <row r="4608" spans="1:1" x14ac:dyDescent="0.2">
      <c r="A4608" t="s">
        <v>102</v>
      </c>
    </row>
    <row r="4609" spans="1:1" x14ac:dyDescent="0.2">
      <c r="A4609" t="s">
        <v>102</v>
      </c>
    </row>
    <row r="4610" spans="1:1" x14ac:dyDescent="0.2">
      <c r="A4610" t="s">
        <v>102</v>
      </c>
    </row>
    <row r="4611" spans="1:1" x14ac:dyDescent="0.2">
      <c r="A4611" t="s">
        <v>102</v>
      </c>
    </row>
    <row r="4612" spans="1:1" x14ac:dyDescent="0.2">
      <c r="A4612" t="s">
        <v>102</v>
      </c>
    </row>
    <row r="4613" spans="1:1" x14ac:dyDescent="0.2">
      <c r="A4613" t="s">
        <v>102</v>
      </c>
    </row>
    <row r="4614" spans="1:1" x14ac:dyDescent="0.2">
      <c r="A4614" t="s">
        <v>102</v>
      </c>
    </row>
    <row r="4615" spans="1:1" x14ac:dyDescent="0.2">
      <c r="A4615" t="s">
        <v>102</v>
      </c>
    </row>
    <row r="4616" spans="1:1" x14ac:dyDescent="0.2">
      <c r="A4616" t="s">
        <v>102</v>
      </c>
    </row>
    <row r="4617" spans="1:1" x14ac:dyDescent="0.2">
      <c r="A4617" t="s">
        <v>102</v>
      </c>
    </row>
    <row r="4618" spans="1:1" x14ac:dyDescent="0.2">
      <c r="A4618" t="s">
        <v>102</v>
      </c>
    </row>
    <row r="4619" spans="1:1" x14ac:dyDescent="0.2">
      <c r="A4619" t="s">
        <v>102</v>
      </c>
    </row>
    <row r="4620" spans="1:1" x14ac:dyDescent="0.2">
      <c r="A4620" t="s">
        <v>102</v>
      </c>
    </row>
    <row r="4621" spans="1:1" x14ac:dyDescent="0.2">
      <c r="A4621" t="s">
        <v>102</v>
      </c>
    </row>
    <row r="4622" spans="1:1" x14ac:dyDescent="0.2">
      <c r="A4622" t="s">
        <v>102</v>
      </c>
    </row>
    <row r="4623" spans="1:1" x14ac:dyDescent="0.2">
      <c r="A4623" t="s">
        <v>102</v>
      </c>
    </row>
    <row r="4624" spans="1:1" x14ac:dyDescent="0.2">
      <c r="A4624" t="s">
        <v>102</v>
      </c>
    </row>
    <row r="4625" spans="1:1" x14ac:dyDescent="0.2">
      <c r="A4625" t="s">
        <v>102</v>
      </c>
    </row>
    <row r="4626" spans="1:1" x14ac:dyDescent="0.2">
      <c r="A4626" t="s">
        <v>102</v>
      </c>
    </row>
    <row r="4627" spans="1:1" x14ac:dyDescent="0.2">
      <c r="A4627" t="s">
        <v>102</v>
      </c>
    </row>
    <row r="4628" spans="1:1" x14ac:dyDescent="0.2">
      <c r="A4628" t="s">
        <v>102</v>
      </c>
    </row>
    <row r="4629" spans="1:1" x14ac:dyDescent="0.2">
      <c r="A4629" t="s">
        <v>102</v>
      </c>
    </row>
    <row r="4630" spans="1:1" x14ac:dyDescent="0.2">
      <c r="A4630" t="s">
        <v>102</v>
      </c>
    </row>
    <row r="4631" spans="1:1" x14ac:dyDescent="0.2">
      <c r="A4631" t="s">
        <v>102</v>
      </c>
    </row>
    <row r="4632" spans="1:1" x14ac:dyDescent="0.2">
      <c r="A4632" t="s">
        <v>102</v>
      </c>
    </row>
    <row r="4633" spans="1:1" x14ac:dyDescent="0.2">
      <c r="A4633" t="s">
        <v>102</v>
      </c>
    </row>
    <row r="4634" spans="1:1" x14ac:dyDescent="0.2">
      <c r="A4634" t="s">
        <v>102</v>
      </c>
    </row>
    <row r="4635" spans="1:1" x14ac:dyDescent="0.2">
      <c r="A4635" t="s">
        <v>102</v>
      </c>
    </row>
    <row r="4636" spans="1:1" x14ac:dyDescent="0.2">
      <c r="A4636" t="s">
        <v>102</v>
      </c>
    </row>
    <row r="4637" spans="1:1" x14ac:dyDescent="0.2">
      <c r="A4637" t="s">
        <v>102</v>
      </c>
    </row>
    <row r="4638" spans="1:1" x14ac:dyDescent="0.2">
      <c r="A4638" t="s">
        <v>102</v>
      </c>
    </row>
    <row r="4639" spans="1:1" x14ac:dyDescent="0.2">
      <c r="A4639" t="s">
        <v>102</v>
      </c>
    </row>
    <row r="4640" spans="1:1" x14ac:dyDescent="0.2">
      <c r="A4640" t="s">
        <v>102</v>
      </c>
    </row>
    <row r="4641" spans="1:1" x14ac:dyDescent="0.2">
      <c r="A4641" t="s">
        <v>102</v>
      </c>
    </row>
    <row r="4642" spans="1:1" x14ac:dyDescent="0.2">
      <c r="A4642" t="s">
        <v>102</v>
      </c>
    </row>
    <row r="4643" spans="1:1" x14ac:dyDescent="0.2">
      <c r="A4643" t="s">
        <v>102</v>
      </c>
    </row>
    <row r="4644" spans="1:1" x14ac:dyDescent="0.2">
      <c r="A4644" t="s">
        <v>102</v>
      </c>
    </row>
    <row r="4645" spans="1:1" x14ac:dyDescent="0.2">
      <c r="A4645" t="s">
        <v>102</v>
      </c>
    </row>
    <row r="4646" spans="1:1" x14ac:dyDescent="0.2">
      <c r="A4646" t="s">
        <v>102</v>
      </c>
    </row>
    <row r="4647" spans="1:1" x14ac:dyDescent="0.2">
      <c r="A4647" t="s">
        <v>102</v>
      </c>
    </row>
    <row r="4648" spans="1:1" x14ac:dyDescent="0.2">
      <c r="A4648" t="s">
        <v>102</v>
      </c>
    </row>
    <row r="4649" spans="1:1" x14ac:dyDescent="0.2">
      <c r="A4649" t="s">
        <v>102</v>
      </c>
    </row>
    <row r="4650" spans="1:1" x14ac:dyDescent="0.2">
      <c r="A4650" t="s">
        <v>102</v>
      </c>
    </row>
    <row r="4651" spans="1:1" x14ac:dyDescent="0.2">
      <c r="A4651" t="s">
        <v>102</v>
      </c>
    </row>
    <row r="4652" spans="1:1" x14ac:dyDescent="0.2">
      <c r="A4652" t="s">
        <v>102</v>
      </c>
    </row>
    <row r="4653" spans="1:1" x14ac:dyDescent="0.2">
      <c r="A4653" t="s">
        <v>102</v>
      </c>
    </row>
    <row r="4654" spans="1:1" x14ac:dyDescent="0.2">
      <c r="A4654" t="s">
        <v>102</v>
      </c>
    </row>
    <row r="4655" spans="1:1" x14ac:dyDescent="0.2">
      <c r="A4655" t="s">
        <v>102</v>
      </c>
    </row>
    <row r="4656" spans="1:1" x14ac:dyDescent="0.2">
      <c r="A4656" t="s">
        <v>102</v>
      </c>
    </row>
    <row r="4657" spans="1:1" x14ac:dyDescent="0.2">
      <c r="A4657" t="s">
        <v>102</v>
      </c>
    </row>
    <row r="4658" spans="1:1" x14ac:dyDescent="0.2">
      <c r="A4658" t="s">
        <v>102</v>
      </c>
    </row>
    <row r="4659" spans="1:1" x14ac:dyDescent="0.2">
      <c r="A4659" t="s">
        <v>102</v>
      </c>
    </row>
    <row r="4660" spans="1:1" x14ac:dyDescent="0.2">
      <c r="A4660" t="s">
        <v>102</v>
      </c>
    </row>
    <row r="4661" spans="1:1" x14ac:dyDescent="0.2">
      <c r="A4661" t="s">
        <v>102</v>
      </c>
    </row>
    <row r="4662" spans="1:1" x14ac:dyDescent="0.2">
      <c r="A4662" t="s">
        <v>102</v>
      </c>
    </row>
    <row r="4663" spans="1:1" x14ac:dyDescent="0.2">
      <c r="A4663" t="s">
        <v>102</v>
      </c>
    </row>
    <row r="4664" spans="1:1" x14ac:dyDescent="0.2">
      <c r="A4664" t="s">
        <v>102</v>
      </c>
    </row>
    <row r="4665" spans="1:1" x14ac:dyDescent="0.2">
      <c r="A4665" t="s">
        <v>102</v>
      </c>
    </row>
    <row r="4666" spans="1:1" x14ac:dyDescent="0.2">
      <c r="A4666" t="s">
        <v>102</v>
      </c>
    </row>
    <row r="4667" spans="1:1" x14ac:dyDescent="0.2">
      <c r="A4667" t="s">
        <v>102</v>
      </c>
    </row>
    <row r="4668" spans="1:1" x14ac:dyDescent="0.2">
      <c r="A4668" t="s">
        <v>102</v>
      </c>
    </row>
    <row r="4669" spans="1:1" x14ac:dyDescent="0.2">
      <c r="A4669" t="s">
        <v>102</v>
      </c>
    </row>
    <row r="4670" spans="1:1" x14ac:dyDescent="0.2">
      <c r="A4670" t="s">
        <v>102</v>
      </c>
    </row>
    <row r="4671" spans="1:1" x14ac:dyDescent="0.2">
      <c r="A4671" t="s">
        <v>102</v>
      </c>
    </row>
    <row r="4672" spans="1:1" x14ac:dyDescent="0.2">
      <c r="A4672" t="s">
        <v>102</v>
      </c>
    </row>
    <row r="4673" spans="1:1" x14ac:dyDescent="0.2">
      <c r="A4673" t="s">
        <v>102</v>
      </c>
    </row>
    <row r="4674" spans="1:1" x14ac:dyDescent="0.2">
      <c r="A4674" t="s">
        <v>102</v>
      </c>
    </row>
    <row r="4675" spans="1:1" x14ac:dyDescent="0.2">
      <c r="A4675" t="s">
        <v>102</v>
      </c>
    </row>
    <row r="4676" spans="1:1" x14ac:dyDescent="0.2">
      <c r="A4676" t="s">
        <v>102</v>
      </c>
    </row>
    <row r="4677" spans="1:1" x14ac:dyDescent="0.2">
      <c r="A4677" t="s">
        <v>102</v>
      </c>
    </row>
    <row r="4678" spans="1:1" x14ac:dyDescent="0.2">
      <c r="A4678" t="s">
        <v>102</v>
      </c>
    </row>
    <row r="4679" spans="1:1" x14ac:dyDescent="0.2">
      <c r="A4679" t="s">
        <v>102</v>
      </c>
    </row>
    <row r="4680" spans="1:1" x14ac:dyDescent="0.2">
      <c r="A4680" t="s">
        <v>102</v>
      </c>
    </row>
    <row r="4681" spans="1:1" x14ac:dyDescent="0.2">
      <c r="A4681" t="s">
        <v>102</v>
      </c>
    </row>
    <row r="4682" spans="1:1" x14ac:dyDescent="0.2">
      <c r="A4682" t="s">
        <v>102</v>
      </c>
    </row>
    <row r="4683" spans="1:1" x14ac:dyDescent="0.2">
      <c r="A4683" t="s">
        <v>102</v>
      </c>
    </row>
    <row r="4684" spans="1:1" x14ac:dyDescent="0.2">
      <c r="A4684" t="s">
        <v>102</v>
      </c>
    </row>
    <row r="4685" spans="1:1" x14ac:dyDescent="0.2">
      <c r="A4685" t="s">
        <v>102</v>
      </c>
    </row>
    <row r="4686" spans="1:1" x14ac:dyDescent="0.2">
      <c r="A4686" t="s">
        <v>102</v>
      </c>
    </row>
    <row r="4687" spans="1:1" x14ac:dyDescent="0.2">
      <c r="A4687" t="s">
        <v>102</v>
      </c>
    </row>
    <row r="4688" spans="1:1" x14ac:dyDescent="0.2">
      <c r="A4688" t="s">
        <v>102</v>
      </c>
    </row>
    <row r="4689" spans="1:1" x14ac:dyDescent="0.2">
      <c r="A4689" t="s">
        <v>102</v>
      </c>
    </row>
    <row r="4690" spans="1:1" x14ac:dyDescent="0.2">
      <c r="A4690" t="s">
        <v>102</v>
      </c>
    </row>
    <row r="4691" spans="1:1" x14ac:dyDescent="0.2">
      <c r="A4691" t="s">
        <v>102</v>
      </c>
    </row>
    <row r="4692" spans="1:1" x14ac:dyDescent="0.2">
      <c r="A4692" t="s">
        <v>102</v>
      </c>
    </row>
    <row r="4693" spans="1:1" x14ac:dyDescent="0.2">
      <c r="A4693" t="s">
        <v>102</v>
      </c>
    </row>
    <row r="4694" spans="1:1" x14ac:dyDescent="0.2">
      <c r="A4694" t="s">
        <v>102</v>
      </c>
    </row>
    <row r="4695" spans="1:1" x14ac:dyDescent="0.2">
      <c r="A4695" t="s">
        <v>102</v>
      </c>
    </row>
    <row r="4696" spans="1:1" x14ac:dyDescent="0.2">
      <c r="A4696" t="s">
        <v>102</v>
      </c>
    </row>
    <row r="4697" spans="1:1" x14ac:dyDescent="0.2">
      <c r="A4697" t="s">
        <v>102</v>
      </c>
    </row>
    <row r="4698" spans="1:1" x14ac:dyDescent="0.2">
      <c r="A4698" t="s">
        <v>102</v>
      </c>
    </row>
    <row r="4699" spans="1:1" x14ac:dyDescent="0.2">
      <c r="A4699" t="s">
        <v>102</v>
      </c>
    </row>
    <row r="4700" spans="1:1" x14ac:dyDescent="0.2">
      <c r="A4700" t="s">
        <v>102</v>
      </c>
    </row>
    <row r="4701" spans="1:1" x14ac:dyDescent="0.2">
      <c r="A4701" t="s">
        <v>102</v>
      </c>
    </row>
    <row r="4702" spans="1:1" x14ac:dyDescent="0.2">
      <c r="A4702" t="s">
        <v>102</v>
      </c>
    </row>
    <row r="4703" spans="1:1" x14ac:dyDescent="0.2">
      <c r="A4703" t="s">
        <v>102</v>
      </c>
    </row>
    <row r="4704" spans="1:1" x14ac:dyDescent="0.2">
      <c r="A4704" t="s">
        <v>102</v>
      </c>
    </row>
    <row r="4705" spans="1:1" x14ac:dyDescent="0.2">
      <c r="A4705" t="s">
        <v>102</v>
      </c>
    </row>
    <row r="4706" spans="1:1" x14ac:dyDescent="0.2">
      <c r="A4706" t="s">
        <v>102</v>
      </c>
    </row>
    <row r="4707" spans="1:1" x14ac:dyDescent="0.2">
      <c r="A4707" t="s">
        <v>102</v>
      </c>
    </row>
    <row r="4708" spans="1:1" x14ac:dyDescent="0.2">
      <c r="A4708" t="s">
        <v>102</v>
      </c>
    </row>
    <row r="4709" spans="1:1" x14ac:dyDescent="0.2">
      <c r="A4709" t="s">
        <v>102</v>
      </c>
    </row>
    <row r="4710" spans="1:1" x14ac:dyDescent="0.2">
      <c r="A4710" t="s">
        <v>102</v>
      </c>
    </row>
    <row r="4711" spans="1:1" x14ac:dyDescent="0.2">
      <c r="A4711" t="s">
        <v>102</v>
      </c>
    </row>
    <row r="4712" spans="1:1" x14ac:dyDescent="0.2">
      <c r="A4712" t="s">
        <v>102</v>
      </c>
    </row>
    <row r="4713" spans="1:1" x14ac:dyDescent="0.2">
      <c r="A4713" t="s">
        <v>102</v>
      </c>
    </row>
    <row r="4714" spans="1:1" x14ac:dyDescent="0.2">
      <c r="A4714" t="s">
        <v>102</v>
      </c>
    </row>
    <row r="4715" spans="1:1" x14ac:dyDescent="0.2">
      <c r="A4715" t="s">
        <v>102</v>
      </c>
    </row>
    <row r="4716" spans="1:1" x14ac:dyDescent="0.2">
      <c r="A4716" t="s">
        <v>102</v>
      </c>
    </row>
    <row r="4717" spans="1:1" x14ac:dyDescent="0.2">
      <c r="A4717" t="s">
        <v>102</v>
      </c>
    </row>
    <row r="4718" spans="1:1" x14ac:dyDescent="0.2">
      <c r="A4718" t="s">
        <v>102</v>
      </c>
    </row>
    <row r="4719" spans="1:1" x14ac:dyDescent="0.2">
      <c r="A4719" t="s">
        <v>102</v>
      </c>
    </row>
    <row r="4720" spans="1:1" x14ac:dyDescent="0.2">
      <c r="A4720" t="s">
        <v>102</v>
      </c>
    </row>
    <row r="4721" spans="1:1" x14ac:dyDescent="0.2">
      <c r="A4721" t="s">
        <v>102</v>
      </c>
    </row>
    <row r="4722" spans="1:1" x14ac:dyDescent="0.2">
      <c r="A4722" t="s">
        <v>102</v>
      </c>
    </row>
    <row r="4723" spans="1:1" x14ac:dyDescent="0.2">
      <c r="A4723" t="s">
        <v>102</v>
      </c>
    </row>
    <row r="4724" spans="1:1" x14ac:dyDescent="0.2">
      <c r="A4724" t="s">
        <v>102</v>
      </c>
    </row>
    <row r="4725" spans="1:1" x14ac:dyDescent="0.2">
      <c r="A4725" t="s">
        <v>102</v>
      </c>
    </row>
    <row r="4726" spans="1:1" x14ac:dyDescent="0.2">
      <c r="A4726" t="s">
        <v>102</v>
      </c>
    </row>
    <row r="4727" spans="1:1" x14ac:dyDescent="0.2">
      <c r="A4727" t="s">
        <v>102</v>
      </c>
    </row>
    <row r="4728" spans="1:1" x14ac:dyDescent="0.2">
      <c r="A4728" t="s">
        <v>102</v>
      </c>
    </row>
    <row r="4729" spans="1:1" x14ac:dyDescent="0.2">
      <c r="A4729" t="s">
        <v>102</v>
      </c>
    </row>
    <row r="4730" spans="1:1" x14ac:dyDescent="0.2">
      <c r="A4730" t="s">
        <v>102</v>
      </c>
    </row>
    <row r="4731" spans="1:1" x14ac:dyDescent="0.2">
      <c r="A4731" t="s">
        <v>102</v>
      </c>
    </row>
    <row r="4732" spans="1:1" x14ac:dyDescent="0.2">
      <c r="A4732" t="s">
        <v>102</v>
      </c>
    </row>
    <row r="4733" spans="1:1" x14ac:dyDescent="0.2">
      <c r="A4733" t="s">
        <v>102</v>
      </c>
    </row>
    <row r="4734" spans="1:1" x14ac:dyDescent="0.2">
      <c r="A4734" t="s">
        <v>102</v>
      </c>
    </row>
    <row r="4735" spans="1:1" x14ac:dyDescent="0.2">
      <c r="A4735" t="s">
        <v>102</v>
      </c>
    </row>
    <row r="4736" spans="1:1" x14ac:dyDescent="0.2">
      <c r="A4736" t="s">
        <v>102</v>
      </c>
    </row>
    <row r="4737" spans="1:1" x14ac:dyDescent="0.2">
      <c r="A4737" t="s">
        <v>102</v>
      </c>
    </row>
    <row r="4738" spans="1:1" x14ac:dyDescent="0.2">
      <c r="A4738" t="s">
        <v>102</v>
      </c>
    </row>
    <row r="4739" spans="1:1" x14ac:dyDescent="0.2">
      <c r="A4739" t="s">
        <v>102</v>
      </c>
    </row>
    <row r="4740" spans="1:1" x14ac:dyDescent="0.2">
      <c r="A4740" t="s">
        <v>102</v>
      </c>
    </row>
    <row r="4741" spans="1:1" x14ac:dyDescent="0.2">
      <c r="A4741" t="s">
        <v>102</v>
      </c>
    </row>
    <row r="4742" spans="1:1" x14ac:dyDescent="0.2">
      <c r="A4742" t="s">
        <v>102</v>
      </c>
    </row>
    <row r="4743" spans="1:1" x14ac:dyDescent="0.2">
      <c r="A4743" t="s">
        <v>102</v>
      </c>
    </row>
    <row r="4744" spans="1:1" x14ac:dyDescent="0.2">
      <c r="A4744" t="s">
        <v>102</v>
      </c>
    </row>
    <row r="4745" spans="1:1" x14ac:dyDescent="0.2">
      <c r="A4745" t="s">
        <v>102</v>
      </c>
    </row>
    <row r="4746" spans="1:1" x14ac:dyDescent="0.2">
      <c r="A4746" t="s">
        <v>102</v>
      </c>
    </row>
    <row r="4747" spans="1:1" x14ac:dyDescent="0.2">
      <c r="A4747" t="s">
        <v>102</v>
      </c>
    </row>
    <row r="4748" spans="1:1" x14ac:dyDescent="0.2">
      <c r="A4748" t="s">
        <v>102</v>
      </c>
    </row>
    <row r="4749" spans="1:1" x14ac:dyDescent="0.2">
      <c r="A4749" t="s">
        <v>102</v>
      </c>
    </row>
    <row r="4750" spans="1:1" x14ac:dyDescent="0.2">
      <c r="A4750" t="s">
        <v>102</v>
      </c>
    </row>
    <row r="4751" spans="1:1" x14ac:dyDescent="0.2">
      <c r="A4751" t="s">
        <v>102</v>
      </c>
    </row>
    <row r="4752" spans="1:1" x14ac:dyDescent="0.2">
      <c r="A4752" t="s">
        <v>102</v>
      </c>
    </row>
    <row r="4753" spans="1:1" x14ac:dyDescent="0.2">
      <c r="A4753" t="s">
        <v>102</v>
      </c>
    </row>
    <row r="4754" spans="1:1" x14ac:dyDescent="0.2">
      <c r="A4754" t="s">
        <v>102</v>
      </c>
    </row>
    <row r="4755" spans="1:1" x14ac:dyDescent="0.2">
      <c r="A4755" t="s">
        <v>102</v>
      </c>
    </row>
    <row r="4756" spans="1:1" x14ac:dyDescent="0.2">
      <c r="A4756" t="s">
        <v>102</v>
      </c>
    </row>
    <row r="4757" spans="1:1" x14ac:dyDescent="0.2">
      <c r="A4757" t="s">
        <v>102</v>
      </c>
    </row>
    <row r="4758" spans="1:1" x14ac:dyDescent="0.2">
      <c r="A4758" t="s">
        <v>102</v>
      </c>
    </row>
    <row r="4759" spans="1:1" x14ac:dyDescent="0.2">
      <c r="A4759" t="s">
        <v>102</v>
      </c>
    </row>
    <row r="4760" spans="1:1" x14ac:dyDescent="0.2">
      <c r="A4760" t="s">
        <v>102</v>
      </c>
    </row>
    <row r="4761" spans="1:1" x14ac:dyDescent="0.2">
      <c r="A4761" t="s">
        <v>102</v>
      </c>
    </row>
    <row r="4762" spans="1:1" x14ac:dyDescent="0.2">
      <c r="A4762" t="s">
        <v>102</v>
      </c>
    </row>
    <row r="4763" spans="1:1" x14ac:dyDescent="0.2">
      <c r="A4763" t="s">
        <v>102</v>
      </c>
    </row>
    <row r="4764" spans="1:1" x14ac:dyDescent="0.2">
      <c r="A4764" t="s">
        <v>102</v>
      </c>
    </row>
    <row r="4765" spans="1:1" x14ac:dyDescent="0.2">
      <c r="A4765" t="s">
        <v>102</v>
      </c>
    </row>
    <row r="4766" spans="1:1" x14ac:dyDescent="0.2">
      <c r="A4766" t="s">
        <v>102</v>
      </c>
    </row>
    <row r="4767" spans="1:1" x14ac:dyDescent="0.2">
      <c r="A4767" t="s">
        <v>102</v>
      </c>
    </row>
    <row r="4768" spans="1:1" x14ac:dyDescent="0.2">
      <c r="A4768" t="s">
        <v>102</v>
      </c>
    </row>
    <row r="4769" spans="1:1" x14ac:dyDescent="0.2">
      <c r="A4769" t="s">
        <v>102</v>
      </c>
    </row>
    <row r="4770" spans="1:1" x14ac:dyDescent="0.2">
      <c r="A4770" t="s">
        <v>102</v>
      </c>
    </row>
    <row r="4771" spans="1:1" x14ac:dyDescent="0.2">
      <c r="A4771" t="s">
        <v>102</v>
      </c>
    </row>
    <row r="4772" spans="1:1" x14ac:dyDescent="0.2">
      <c r="A4772" t="s">
        <v>102</v>
      </c>
    </row>
    <row r="4773" spans="1:1" x14ac:dyDescent="0.2">
      <c r="A4773" t="s">
        <v>102</v>
      </c>
    </row>
    <row r="4774" spans="1:1" x14ac:dyDescent="0.2">
      <c r="A4774" t="s">
        <v>102</v>
      </c>
    </row>
    <row r="4775" spans="1:1" x14ac:dyDescent="0.2">
      <c r="A4775" t="s">
        <v>102</v>
      </c>
    </row>
    <row r="4776" spans="1:1" x14ac:dyDescent="0.2">
      <c r="A4776" t="s">
        <v>102</v>
      </c>
    </row>
    <row r="4777" spans="1:1" x14ac:dyDescent="0.2">
      <c r="A4777" t="s">
        <v>102</v>
      </c>
    </row>
    <row r="4778" spans="1:1" x14ac:dyDescent="0.2">
      <c r="A4778" t="s">
        <v>102</v>
      </c>
    </row>
    <row r="4779" spans="1:1" x14ac:dyDescent="0.2">
      <c r="A4779" t="s">
        <v>102</v>
      </c>
    </row>
    <row r="4780" spans="1:1" x14ac:dyDescent="0.2">
      <c r="A4780" t="s">
        <v>102</v>
      </c>
    </row>
    <row r="4781" spans="1:1" x14ac:dyDescent="0.2">
      <c r="A4781" t="s">
        <v>102</v>
      </c>
    </row>
    <row r="4782" spans="1:1" x14ac:dyDescent="0.2">
      <c r="A4782" t="s">
        <v>102</v>
      </c>
    </row>
    <row r="4783" spans="1:1" x14ac:dyDescent="0.2">
      <c r="A4783" t="s">
        <v>102</v>
      </c>
    </row>
    <row r="4784" spans="1:1" x14ac:dyDescent="0.2">
      <c r="A4784" t="s">
        <v>102</v>
      </c>
    </row>
    <row r="4785" spans="1:1" x14ac:dyDescent="0.2">
      <c r="A4785" t="s">
        <v>102</v>
      </c>
    </row>
    <row r="4786" spans="1:1" x14ac:dyDescent="0.2">
      <c r="A4786" t="s">
        <v>102</v>
      </c>
    </row>
    <row r="4787" spans="1:1" x14ac:dyDescent="0.2">
      <c r="A4787" t="s">
        <v>102</v>
      </c>
    </row>
    <row r="4788" spans="1:1" x14ac:dyDescent="0.2">
      <c r="A4788" t="s">
        <v>102</v>
      </c>
    </row>
    <row r="4789" spans="1:1" x14ac:dyDescent="0.2">
      <c r="A4789" t="s">
        <v>102</v>
      </c>
    </row>
    <row r="4790" spans="1:1" x14ac:dyDescent="0.2">
      <c r="A4790" t="s">
        <v>102</v>
      </c>
    </row>
    <row r="4791" spans="1:1" x14ac:dyDescent="0.2">
      <c r="A4791" t="s">
        <v>102</v>
      </c>
    </row>
    <row r="4792" spans="1:1" x14ac:dyDescent="0.2">
      <c r="A4792" t="s">
        <v>102</v>
      </c>
    </row>
    <row r="4793" spans="1:1" x14ac:dyDescent="0.2">
      <c r="A4793" t="s">
        <v>102</v>
      </c>
    </row>
    <row r="4794" spans="1:1" x14ac:dyDescent="0.2">
      <c r="A4794" t="s">
        <v>102</v>
      </c>
    </row>
    <row r="4795" spans="1:1" x14ac:dyDescent="0.2">
      <c r="A4795" t="s">
        <v>102</v>
      </c>
    </row>
    <row r="4796" spans="1:1" x14ac:dyDescent="0.2">
      <c r="A4796" t="s">
        <v>102</v>
      </c>
    </row>
    <row r="4797" spans="1:1" x14ac:dyDescent="0.2">
      <c r="A4797" t="s">
        <v>102</v>
      </c>
    </row>
    <row r="4798" spans="1:1" x14ac:dyDescent="0.2">
      <c r="A4798" t="s">
        <v>102</v>
      </c>
    </row>
    <row r="4799" spans="1:1" x14ac:dyDescent="0.2">
      <c r="A4799" t="s">
        <v>102</v>
      </c>
    </row>
    <row r="4800" spans="1:1" x14ac:dyDescent="0.2">
      <c r="A4800" t="s">
        <v>102</v>
      </c>
    </row>
    <row r="4801" spans="1:1" x14ac:dyDescent="0.2">
      <c r="A4801" t="s">
        <v>102</v>
      </c>
    </row>
    <row r="4802" spans="1:1" x14ac:dyDescent="0.2">
      <c r="A4802" t="s">
        <v>102</v>
      </c>
    </row>
    <row r="4803" spans="1:1" x14ac:dyDescent="0.2">
      <c r="A4803" t="s">
        <v>102</v>
      </c>
    </row>
    <row r="4804" spans="1:1" x14ac:dyDescent="0.2">
      <c r="A4804" t="s">
        <v>102</v>
      </c>
    </row>
    <row r="4805" spans="1:1" x14ac:dyDescent="0.2">
      <c r="A4805" t="s">
        <v>102</v>
      </c>
    </row>
    <row r="4806" spans="1:1" x14ac:dyDescent="0.2">
      <c r="A4806" t="s">
        <v>102</v>
      </c>
    </row>
    <row r="4807" spans="1:1" x14ac:dyDescent="0.2">
      <c r="A4807" t="s">
        <v>102</v>
      </c>
    </row>
    <row r="4808" spans="1:1" x14ac:dyDescent="0.2">
      <c r="A4808" t="s">
        <v>102</v>
      </c>
    </row>
    <row r="4809" spans="1:1" x14ac:dyDescent="0.2">
      <c r="A4809" t="s">
        <v>102</v>
      </c>
    </row>
    <row r="4810" spans="1:1" x14ac:dyDescent="0.2">
      <c r="A4810" t="s">
        <v>102</v>
      </c>
    </row>
    <row r="4811" spans="1:1" x14ac:dyDescent="0.2">
      <c r="A4811" t="s">
        <v>102</v>
      </c>
    </row>
    <row r="4812" spans="1:1" x14ac:dyDescent="0.2">
      <c r="A4812" t="s">
        <v>102</v>
      </c>
    </row>
    <row r="4813" spans="1:1" x14ac:dyDescent="0.2">
      <c r="A4813" t="s">
        <v>102</v>
      </c>
    </row>
    <row r="4814" spans="1:1" x14ac:dyDescent="0.2">
      <c r="A4814" t="s">
        <v>102</v>
      </c>
    </row>
    <row r="4815" spans="1:1" x14ac:dyDescent="0.2">
      <c r="A4815" t="s">
        <v>102</v>
      </c>
    </row>
    <row r="4816" spans="1:1" x14ac:dyDescent="0.2">
      <c r="A4816" t="s">
        <v>102</v>
      </c>
    </row>
    <row r="4817" spans="1:1" x14ac:dyDescent="0.2">
      <c r="A4817" t="s">
        <v>102</v>
      </c>
    </row>
    <row r="4818" spans="1:1" x14ac:dyDescent="0.2">
      <c r="A4818" t="s">
        <v>102</v>
      </c>
    </row>
    <row r="4819" spans="1:1" x14ac:dyDescent="0.2">
      <c r="A4819" t="s">
        <v>102</v>
      </c>
    </row>
    <row r="4820" spans="1:1" x14ac:dyDescent="0.2">
      <c r="A4820" t="s">
        <v>102</v>
      </c>
    </row>
    <row r="4821" spans="1:1" x14ac:dyDescent="0.2">
      <c r="A4821" t="s">
        <v>102</v>
      </c>
    </row>
    <row r="4822" spans="1:1" x14ac:dyDescent="0.2">
      <c r="A4822" t="s">
        <v>102</v>
      </c>
    </row>
    <row r="4823" spans="1:1" x14ac:dyDescent="0.2">
      <c r="A4823" t="s">
        <v>102</v>
      </c>
    </row>
    <row r="4824" spans="1:1" x14ac:dyDescent="0.2">
      <c r="A4824" t="s">
        <v>102</v>
      </c>
    </row>
    <row r="4825" spans="1:1" x14ac:dyDescent="0.2">
      <c r="A4825" t="s">
        <v>102</v>
      </c>
    </row>
    <row r="4826" spans="1:1" x14ac:dyDescent="0.2">
      <c r="A4826" t="s">
        <v>102</v>
      </c>
    </row>
    <row r="4827" spans="1:1" x14ac:dyDescent="0.2">
      <c r="A4827" t="s">
        <v>102</v>
      </c>
    </row>
    <row r="4828" spans="1:1" x14ac:dyDescent="0.2">
      <c r="A4828" t="s">
        <v>102</v>
      </c>
    </row>
    <row r="4829" spans="1:1" x14ac:dyDescent="0.2">
      <c r="A4829" t="s">
        <v>102</v>
      </c>
    </row>
    <row r="4830" spans="1:1" x14ac:dyDescent="0.2">
      <c r="A4830" t="s">
        <v>102</v>
      </c>
    </row>
    <row r="4831" spans="1:1" x14ac:dyDescent="0.2">
      <c r="A4831" t="s">
        <v>102</v>
      </c>
    </row>
    <row r="4832" spans="1:1" x14ac:dyDescent="0.2">
      <c r="A4832" t="s">
        <v>102</v>
      </c>
    </row>
    <row r="4833" spans="1:1" x14ac:dyDescent="0.2">
      <c r="A4833" t="s">
        <v>102</v>
      </c>
    </row>
    <row r="4834" spans="1:1" x14ac:dyDescent="0.2">
      <c r="A4834" t="s">
        <v>102</v>
      </c>
    </row>
    <row r="4835" spans="1:1" x14ac:dyDescent="0.2">
      <c r="A4835" t="s">
        <v>102</v>
      </c>
    </row>
    <row r="4836" spans="1:1" x14ac:dyDescent="0.2">
      <c r="A4836" t="s">
        <v>102</v>
      </c>
    </row>
    <row r="4837" spans="1:1" x14ac:dyDescent="0.2">
      <c r="A4837" t="s">
        <v>102</v>
      </c>
    </row>
    <row r="4838" spans="1:1" x14ac:dyDescent="0.2">
      <c r="A4838" t="s">
        <v>102</v>
      </c>
    </row>
    <row r="4839" spans="1:1" x14ac:dyDescent="0.2">
      <c r="A4839" t="s">
        <v>102</v>
      </c>
    </row>
    <row r="4840" spans="1:1" x14ac:dyDescent="0.2">
      <c r="A4840" t="s">
        <v>102</v>
      </c>
    </row>
    <row r="4841" spans="1:1" x14ac:dyDescent="0.2">
      <c r="A4841" t="s">
        <v>102</v>
      </c>
    </row>
    <row r="4842" spans="1:1" x14ac:dyDescent="0.2">
      <c r="A4842" t="s">
        <v>102</v>
      </c>
    </row>
    <row r="4843" spans="1:1" x14ac:dyDescent="0.2">
      <c r="A4843" t="s">
        <v>102</v>
      </c>
    </row>
    <row r="4844" spans="1:1" x14ac:dyDescent="0.2">
      <c r="A4844" t="s">
        <v>102</v>
      </c>
    </row>
    <row r="4845" spans="1:1" x14ac:dyDescent="0.2">
      <c r="A4845" t="s">
        <v>102</v>
      </c>
    </row>
    <row r="4846" spans="1:1" x14ac:dyDescent="0.2">
      <c r="A4846" t="s">
        <v>102</v>
      </c>
    </row>
    <row r="4847" spans="1:1" x14ac:dyDescent="0.2">
      <c r="A4847" t="s">
        <v>102</v>
      </c>
    </row>
    <row r="4848" spans="1:1" x14ac:dyDescent="0.2">
      <c r="A4848" t="s">
        <v>102</v>
      </c>
    </row>
    <row r="4849" spans="1:1" x14ac:dyDescent="0.2">
      <c r="A4849" t="s">
        <v>102</v>
      </c>
    </row>
    <row r="4850" spans="1:1" x14ac:dyDescent="0.2">
      <c r="A4850" t="s">
        <v>102</v>
      </c>
    </row>
    <row r="4851" spans="1:1" x14ac:dyDescent="0.2">
      <c r="A4851" t="s">
        <v>102</v>
      </c>
    </row>
    <row r="4852" spans="1:1" x14ac:dyDescent="0.2">
      <c r="A4852" t="s">
        <v>102</v>
      </c>
    </row>
    <row r="4853" spans="1:1" x14ac:dyDescent="0.2">
      <c r="A4853" t="s">
        <v>102</v>
      </c>
    </row>
    <row r="4854" spans="1:1" x14ac:dyDescent="0.2">
      <c r="A4854" t="s">
        <v>102</v>
      </c>
    </row>
    <row r="4855" spans="1:1" x14ac:dyDescent="0.2">
      <c r="A4855" t="s">
        <v>102</v>
      </c>
    </row>
    <row r="4856" spans="1:1" x14ac:dyDescent="0.2">
      <c r="A4856" t="s">
        <v>102</v>
      </c>
    </row>
    <row r="4857" spans="1:1" x14ac:dyDescent="0.2">
      <c r="A4857" t="s">
        <v>102</v>
      </c>
    </row>
    <row r="4858" spans="1:1" x14ac:dyDescent="0.2">
      <c r="A4858" t="s">
        <v>102</v>
      </c>
    </row>
    <row r="4859" spans="1:1" x14ac:dyDescent="0.2">
      <c r="A4859" t="s">
        <v>102</v>
      </c>
    </row>
    <row r="4860" spans="1:1" x14ac:dyDescent="0.2">
      <c r="A4860" t="s">
        <v>102</v>
      </c>
    </row>
    <row r="4861" spans="1:1" x14ac:dyDescent="0.2">
      <c r="A4861" t="s">
        <v>102</v>
      </c>
    </row>
    <row r="4862" spans="1:1" x14ac:dyDescent="0.2">
      <c r="A4862" t="s">
        <v>102</v>
      </c>
    </row>
    <row r="4863" spans="1:1" x14ac:dyDescent="0.2">
      <c r="A4863" t="s">
        <v>102</v>
      </c>
    </row>
    <row r="4864" spans="1:1" x14ac:dyDescent="0.2">
      <c r="A4864" t="s">
        <v>102</v>
      </c>
    </row>
    <row r="4865" spans="1:1" x14ac:dyDescent="0.2">
      <c r="A4865" t="s">
        <v>102</v>
      </c>
    </row>
    <row r="4866" spans="1:1" x14ac:dyDescent="0.2">
      <c r="A4866" t="s">
        <v>102</v>
      </c>
    </row>
    <row r="4867" spans="1:1" x14ac:dyDescent="0.2">
      <c r="A4867" t="s">
        <v>102</v>
      </c>
    </row>
    <row r="4868" spans="1:1" x14ac:dyDescent="0.2">
      <c r="A4868" t="s">
        <v>102</v>
      </c>
    </row>
    <row r="4869" spans="1:1" x14ac:dyDescent="0.2">
      <c r="A4869" t="s">
        <v>102</v>
      </c>
    </row>
    <row r="4870" spans="1:1" x14ac:dyDescent="0.2">
      <c r="A4870" t="s">
        <v>102</v>
      </c>
    </row>
    <row r="4871" spans="1:1" x14ac:dyDescent="0.2">
      <c r="A4871" t="s">
        <v>102</v>
      </c>
    </row>
    <row r="4872" spans="1:1" x14ac:dyDescent="0.2">
      <c r="A4872" t="s">
        <v>102</v>
      </c>
    </row>
    <row r="4873" spans="1:1" x14ac:dyDescent="0.2">
      <c r="A4873" t="s">
        <v>102</v>
      </c>
    </row>
    <row r="4874" spans="1:1" x14ac:dyDescent="0.2">
      <c r="A4874" t="s">
        <v>102</v>
      </c>
    </row>
    <row r="4875" spans="1:1" x14ac:dyDescent="0.2">
      <c r="A4875" t="s">
        <v>102</v>
      </c>
    </row>
    <row r="4876" spans="1:1" x14ac:dyDescent="0.2">
      <c r="A4876" t="s">
        <v>102</v>
      </c>
    </row>
    <row r="4877" spans="1:1" x14ac:dyDescent="0.2">
      <c r="A4877" t="s">
        <v>102</v>
      </c>
    </row>
    <row r="4878" spans="1:1" x14ac:dyDescent="0.2">
      <c r="A4878" t="s">
        <v>102</v>
      </c>
    </row>
    <row r="4879" spans="1:1" x14ac:dyDescent="0.2">
      <c r="A4879" t="s">
        <v>102</v>
      </c>
    </row>
    <row r="4880" spans="1:1" x14ac:dyDescent="0.2">
      <c r="A4880" t="s">
        <v>102</v>
      </c>
    </row>
    <row r="4881" spans="1:1" x14ac:dyDescent="0.2">
      <c r="A4881" t="s">
        <v>102</v>
      </c>
    </row>
    <row r="4882" spans="1:1" x14ac:dyDescent="0.2">
      <c r="A4882" t="s">
        <v>102</v>
      </c>
    </row>
    <row r="4883" spans="1:1" x14ac:dyDescent="0.2">
      <c r="A4883" t="s">
        <v>102</v>
      </c>
    </row>
    <row r="4884" spans="1:1" x14ac:dyDescent="0.2">
      <c r="A4884" t="s">
        <v>102</v>
      </c>
    </row>
    <row r="4885" spans="1:1" x14ac:dyDescent="0.2">
      <c r="A4885" t="s">
        <v>102</v>
      </c>
    </row>
    <row r="4886" spans="1:1" x14ac:dyDescent="0.2">
      <c r="A4886" t="s">
        <v>102</v>
      </c>
    </row>
    <row r="4887" spans="1:1" x14ac:dyDescent="0.2">
      <c r="A4887" t="s">
        <v>102</v>
      </c>
    </row>
    <row r="4888" spans="1:1" x14ac:dyDescent="0.2">
      <c r="A4888" t="s">
        <v>102</v>
      </c>
    </row>
    <row r="4889" spans="1:1" x14ac:dyDescent="0.2">
      <c r="A4889" t="s">
        <v>102</v>
      </c>
    </row>
    <row r="4890" spans="1:1" x14ac:dyDescent="0.2">
      <c r="A4890" t="s">
        <v>102</v>
      </c>
    </row>
    <row r="4891" spans="1:1" x14ac:dyDescent="0.2">
      <c r="A4891" t="s">
        <v>102</v>
      </c>
    </row>
    <row r="4892" spans="1:1" x14ac:dyDescent="0.2">
      <c r="A4892" t="s">
        <v>102</v>
      </c>
    </row>
    <row r="4893" spans="1:1" x14ac:dyDescent="0.2">
      <c r="A4893" t="s">
        <v>102</v>
      </c>
    </row>
    <row r="4894" spans="1:1" x14ac:dyDescent="0.2">
      <c r="A4894" t="s">
        <v>102</v>
      </c>
    </row>
    <row r="4895" spans="1:1" x14ac:dyDescent="0.2">
      <c r="A4895" t="s">
        <v>102</v>
      </c>
    </row>
    <row r="4896" spans="1:1" x14ac:dyDescent="0.2">
      <c r="A4896" t="s">
        <v>102</v>
      </c>
    </row>
    <row r="4897" spans="1:1" x14ac:dyDescent="0.2">
      <c r="A4897" t="s">
        <v>102</v>
      </c>
    </row>
    <row r="4898" spans="1:1" x14ac:dyDescent="0.2">
      <c r="A4898" t="s">
        <v>102</v>
      </c>
    </row>
    <row r="4899" spans="1:1" x14ac:dyDescent="0.2">
      <c r="A4899" t="s">
        <v>102</v>
      </c>
    </row>
    <row r="4900" spans="1:1" x14ac:dyDescent="0.2">
      <c r="A4900" t="s">
        <v>102</v>
      </c>
    </row>
    <row r="4901" spans="1:1" x14ac:dyDescent="0.2">
      <c r="A4901" t="s">
        <v>102</v>
      </c>
    </row>
    <row r="4902" spans="1:1" x14ac:dyDescent="0.2">
      <c r="A4902" t="s">
        <v>102</v>
      </c>
    </row>
    <row r="4903" spans="1:1" x14ac:dyDescent="0.2">
      <c r="A4903" t="s">
        <v>102</v>
      </c>
    </row>
    <row r="4904" spans="1:1" x14ac:dyDescent="0.2">
      <c r="A4904" t="s">
        <v>102</v>
      </c>
    </row>
    <row r="4905" spans="1:1" x14ac:dyDescent="0.2">
      <c r="A4905" t="s">
        <v>102</v>
      </c>
    </row>
    <row r="4906" spans="1:1" x14ac:dyDescent="0.2">
      <c r="A4906" t="s">
        <v>102</v>
      </c>
    </row>
    <row r="4907" spans="1:1" x14ac:dyDescent="0.2">
      <c r="A4907" t="s">
        <v>102</v>
      </c>
    </row>
    <row r="4908" spans="1:1" x14ac:dyDescent="0.2">
      <c r="A4908" t="s">
        <v>102</v>
      </c>
    </row>
    <row r="4909" spans="1:1" x14ac:dyDescent="0.2">
      <c r="A4909" t="s">
        <v>102</v>
      </c>
    </row>
    <row r="4910" spans="1:1" x14ac:dyDescent="0.2">
      <c r="A4910" t="s">
        <v>102</v>
      </c>
    </row>
    <row r="4911" spans="1:1" x14ac:dyDescent="0.2">
      <c r="A4911" t="s">
        <v>102</v>
      </c>
    </row>
    <row r="4912" spans="1:1" x14ac:dyDescent="0.2">
      <c r="A4912" t="s">
        <v>102</v>
      </c>
    </row>
    <row r="4913" spans="1:1" x14ac:dyDescent="0.2">
      <c r="A4913" t="s">
        <v>102</v>
      </c>
    </row>
    <row r="4914" spans="1:1" x14ac:dyDescent="0.2">
      <c r="A4914" t="s">
        <v>102</v>
      </c>
    </row>
    <row r="4915" spans="1:1" x14ac:dyDescent="0.2">
      <c r="A4915" t="s">
        <v>102</v>
      </c>
    </row>
    <row r="4916" spans="1:1" x14ac:dyDescent="0.2">
      <c r="A4916" t="s">
        <v>102</v>
      </c>
    </row>
    <row r="4917" spans="1:1" x14ac:dyDescent="0.2">
      <c r="A4917" t="s">
        <v>102</v>
      </c>
    </row>
    <row r="4918" spans="1:1" x14ac:dyDescent="0.2">
      <c r="A4918" t="s">
        <v>102</v>
      </c>
    </row>
    <row r="4919" spans="1:1" x14ac:dyDescent="0.2">
      <c r="A4919" t="s">
        <v>102</v>
      </c>
    </row>
    <row r="4920" spans="1:1" x14ac:dyDescent="0.2">
      <c r="A4920" t="s">
        <v>102</v>
      </c>
    </row>
    <row r="4921" spans="1:1" x14ac:dyDescent="0.2">
      <c r="A4921" t="s">
        <v>102</v>
      </c>
    </row>
    <row r="4922" spans="1:1" x14ac:dyDescent="0.2">
      <c r="A4922" t="s">
        <v>102</v>
      </c>
    </row>
    <row r="4923" spans="1:1" x14ac:dyDescent="0.2">
      <c r="A4923" t="s">
        <v>102</v>
      </c>
    </row>
    <row r="4924" spans="1:1" x14ac:dyDescent="0.2">
      <c r="A4924" t="s">
        <v>102</v>
      </c>
    </row>
    <row r="4925" spans="1:1" x14ac:dyDescent="0.2">
      <c r="A4925" t="s">
        <v>102</v>
      </c>
    </row>
    <row r="4926" spans="1:1" x14ac:dyDescent="0.2">
      <c r="A4926" t="s">
        <v>102</v>
      </c>
    </row>
    <row r="4927" spans="1:1" x14ac:dyDescent="0.2">
      <c r="A4927" t="s">
        <v>102</v>
      </c>
    </row>
    <row r="4928" spans="1:1" x14ac:dyDescent="0.2">
      <c r="A4928" t="s">
        <v>102</v>
      </c>
    </row>
    <row r="4929" spans="1:1" x14ac:dyDescent="0.2">
      <c r="A4929" t="s">
        <v>102</v>
      </c>
    </row>
    <row r="4930" spans="1:1" x14ac:dyDescent="0.2">
      <c r="A4930" t="s">
        <v>102</v>
      </c>
    </row>
    <row r="4931" spans="1:1" x14ac:dyDescent="0.2">
      <c r="A4931" t="s">
        <v>102</v>
      </c>
    </row>
    <row r="4932" spans="1:1" x14ac:dyDescent="0.2">
      <c r="A4932" t="s">
        <v>102</v>
      </c>
    </row>
    <row r="4933" spans="1:1" x14ac:dyDescent="0.2">
      <c r="A4933" t="s">
        <v>102</v>
      </c>
    </row>
    <row r="4934" spans="1:1" x14ac:dyDescent="0.2">
      <c r="A4934" t="s">
        <v>102</v>
      </c>
    </row>
    <row r="4935" spans="1:1" x14ac:dyDescent="0.2">
      <c r="A4935" t="s">
        <v>102</v>
      </c>
    </row>
    <row r="4936" spans="1:1" x14ac:dyDescent="0.2">
      <c r="A4936" t="s">
        <v>102</v>
      </c>
    </row>
    <row r="4937" spans="1:1" x14ac:dyDescent="0.2">
      <c r="A4937" t="s">
        <v>102</v>
      </c>
    </row>
    <row r="4938" spans="1:1" x14ac:dyDescent="0.2">
      <c r="A4938" t="s">
        <v>102</v>
      </c>
    </row>
    <row r="4939" spans="1:1" x14ac:dyDescent="0.2">
      <c r="A4939" t="s">
        <v>102</v>
      </c>
    </row>
    <row r="4940" spans="1:1" x14ac:dyDescent="0.2">
      <c r="A4940" t="s">
        <v>102</v>
      </c>
    </row>
    <row r="4941" spans="1:1" x14ac:dyDescent="0.2">
      <c r="A4941" t="s">
        <v>102</v>
      </c>
    </row>
    <row r="4942" spans="1:1" x14ac:dyDescent="0.2">
      <c r="A4942" t="s">
        <v>102</v>
      </c>
    </row>
    <row r="4943" spans="1:1" x14ac:dyDescent="0.2">
      <c r="A4943" t="s">
        <v>102</v>
      </c>
    </row>
    <row r="4944" spans="1:1" x14ac:dyDescent="0.2">
      <c r="A4944" t="s">
        <v>102</v>
      </c>
    </row>
    <row r="4945" spans="1:1" x14ac:dyDescent="0.2">
      <c r="A4945" t="s">
        <v>102</v>
      </c>
    </row>
    <row r="4946" spans="1:1" x14ac:dyDescent="0.2">
      <c r="A4946" t="s">
        <v>102</v>
      </c>
    </row>
    <row r="4947" spans="1:1" x14ac:dyDescent="0.2">
      <c r="A4947" t="s">
        <v>102</v>
      </c>
    </row>
    <row r="4948" spans="1:1" x14ac:dyDescent="0.2">
      <c r="A4948" t="s">
        <v>102</v>
      </c>
    </row>
    <row r="4949" spans="1:1" x14ac:dyDescent="0.2">
      <c r="A4949" t="s">
        <v>102</v>
      </c>
    </row>
    <row r="4950" spans="1:1" x14ac:dyDescent="0.2">
      <c r="A4950" t="s">
        <v>102</v>
      </c>
    </row>
    <row r="4951" spans="1:1" x14ac:dyDescent="0.2">
      <c r="A4951" t="s">
        <v>102</v>
      </c>
    </row>
    <row r="4952" spans="1:1" x14ac:dyDescent="0.2">
      <c r="A4952" t="s">
        <v>102</v>
      </c>
    </row>
    <row r="4953" spans="1:1" x14ac:dyDescent="0.2">
      <c r="A4953" t="s">
        <v>102</v>
      </c>
    </row>
    <row r="4954" spans="1:1" x14ac:dyDescent="0.2">
      <c r="A4954" t="s">
        <v>102</v>
      </c>
    </row>
    <row r="4955" spans="1:1" x14ac:dyDescent="0.2">
      <c r="A4955" t="s">
        <v>102</v>
      </c>
    </row>
    <row r="4956" spans="1:1" x14ac:dyDescent="0.2">
      <c r="A4956" t="s">
        <v>102</v>
      </c>
    </row>
    <row r="4957" spans="1:1" x14ac:dyDescent="0.2">
      <c r="A4957" t="s">
        <v>102</v>
      </c>
    </row>
    <row r="4958" spans="1:1" x14ac:dyDescent="0.2">
      <c r="A4958" t="s">
        <v>102</v>
      </c>
    </row>
    <row r="4959" spans="1:1" x14ac:dyDescent="0.2">
      <c r="A4959" t="s">
        <v>102</v>
      </c>
    </row>
    <row r="4960" spans="1:1" x14ac:dyDescent="0.2">
      <c r="A4960" t="s">
        <v>102</v>
      </c>
    </row>
    <row r="4961" spans="1:1" x14ac:dyDescent="0.2">
      <c r="A4961" t="s">
        <v>102</v>
      </c>
    </row>
    <row r="4962" spans="1:1" x14ac:dyDescent="0.2">
      <c r="A4962" t="s">
        <v>102</v>
      </c>
    </row>
    <row r="4963" spans="1:1" x14ac:dyDescent="0.2">
      <c r="A4963" t="s">
        <v>102</v>
      </c>
    </row>
    <row r="4964" spans="1:1" x14ac:dyDescent="0.2">
      <c r="A4964" t="s">
        <v>102</v>
      </c>
    </row>
    <row r="4965" spans="1:1" x14ac:dyDescent="0.2">
      <c r="A4965" t="s">
        <v>102</v>
      </c>
    </row>
    <row r="4966" spans="1:1" x14ac:dyDescent="0.2">
      <c r="A4966" t="s">
        <v>102</v>
      </c>
    </row>
    <row r="4967" spans="1:1" x14ac:dyDescent="0.2">
      <c r="A4967" t="s">
        <v>102</v>
      </c>
    </row>
    <row r="4968" spans="1:1" x14ac:dyDescent="0.2">
      <c r="A4968" t="s">
        <v>102</v>
      </c>
    </row>
    <row r="4969" spans="1:1" x14ac:dyDescent="0.2">
      <c r="A4969" t="s">
        <v>102</v>
      </c>
    </row>
    <row r="4970" spans="1:1" x14ac:dyDescent="0.2">
      <c r="A4970" t="s">
        <v>102</v>
      </c>
    </row>
    <row r="4971" spans="1:1" x14ac:dyDescent="0.2">
      <c r="A4971" t="s">
        <v>102</v>
      </c>
    </row>
    <row r="4972" spans="1:1" x14ac:dyDescent="0.2">
      <c r="A4972" t="s">
        <v>102</v>
      </c>
    </row>
    <row r="4973" spans="1:1" x14ac:dyDescent="0.2">
      <c r="A4973" t="s">
        <v>102</v>
      </c>
    </row>
    <row r="4974" spans="1:1" x14ac:dyDescent="0.2">
      <c r="A4974" t="s">
        <v>102</v>
      </c>
    </row>
    <row r="4975" spans="1:1" x14ac:dyDescent="0.2">
      <c r="A4975" t="s">
        <v>102</v>
      </c>
    </row>
    <row r="4976" spans="1:1" x14ac:dyDescent="0.2">
      <c r="A4976" t="s">
        <v>102</v>
      </c>
    </row>
    <row r="4977" spans="1:1" x14ac:dyDescent="0.2">
      <c r="A4977" t="s">
        <v>102</v>
      </c>
    </row>
    <row r="4978" spans="1:1" x14ac:dyDescent="0.2">
      <c r="A4978" t="s">
        <v>102</v>
      </c>
    </row>
    <row r="4979" spans="1:1" x14ac:dyDescent="0.2">
      <c r="A4979" t="s">
        <v>102</v>
      </c>
    </row>
    <row r="4980" spans="1:1" x14ac:dyDescent="0.2">
      <c r="A4980" t="s">
        <v>102</v>
      </c>
    </row>
    <row r="4981" spans="1:1" x14ac:dyDescent="0.2">
      <c r="A4981" t="s">
        <v>102</v>
      </c>
    </row>
    <row r="4982" spans="1:1" x14ac:dyDescent="0.2">
      <c r="A4982" t="s">
        <v>102</v>
      </c>
    </row>
    <row r="4983" spans="1:1" x14ac:dyDescent="0.2">
      <c r="A4983" t="s">
        <v>102</v>
      </c>
    </row>
    <row r="4984" spans="1:1" x14ac:dyDescent="0.2">
      <c r="A4984" t="s">
        <v>102</v>
      </c>
    </row>
    <row r="4985" spans="1:1" x14ac:dyDescent="0.2">
      <c r="A4985" t="s">
        <v>102</v>
      </c>
    </row>
    <row r="4986" spans="1:1" x14ac:dyDescent="0.2">
      <c r="A4986" t="s">
        <v>102</v>
      </c>
    </row>
    <row r="4987" spans="1:1" x14ac:dyDescent="0.2">
      <c r="A4987" t="s">
        <v>102</v>
      </c>
    </row>
    <row r="4988" spans="1:1" x14ac:dyDescent="0.2">
      <c r="A4988" t="s">
        <v>102</v>
      </c>
    </row>
    <row r="4989" spans="1:1" x14ac:dyDescent="0.2">
      <c r="A4989" t="s">
        <v>102</v>
      </c>
    </row>
    <row r="4990" spans="1:1" x14ac:dyDescent="0.2">
      <c r="A4990" t="s">
        <v>102</v>
      </c>
    </row>
    <row r="4991" spans="1:1" x14ac:dyDescent="0.2">
      <c r="A4991" t="s">
        <v>102</v>
      </c>
    </row>
    <row r="4992" spans="1:1" x14ac:dyDescent="0.2">
      <c r="A4992" t="s">
        <v>102</v>
      </c>
    </row>
    <row r="4993" spans="1:1" x14ac:dyDescent="0.2">
      <c r="A4993" t="s">
        <v>102</v>
      </c>
    </row>
    <row r="4994" spans="1:1" x14ac:dyDescent="0.2">
      <c r="A4994" t="s">
        <v>102</v>
      </c>
    </row>
    <row r="4995" spans="1:1" x14ac:dyDescent="0.2">
      <c r="A4995" t="s">
        <v>102</v>
      </c>
    </row>
    <row r="4996" spans="1:1" x14ac:dyDescent="0.2">
      <c r="A4996" t="s">
        <v>102</v>
      </c>
    </row>
    <row r="4997" spans="1:1" x14ac:dyDescent="0.2">
      <c r="A4997" t="s">
        <v>102</v>
      </c>
    </row>
    <row r="4998" spans="1:1" x14ac:dyDescent="0.2">
      <c r="A4998" t="s">
        <v>102</v>
      </c>
    </row>
    <row r="4999" spans="1:1" x14ac:dyDescent="0.2">
      <c r="A4999" t="s">
        <v>102</v>
      </c>
    </row>
    <row r="5000" spans="1:1" x14ac:dyDescent="0.2">
      <c r="A5000" t="s">
        <v>102</v>
      </c>
    </row>
    <row r="5001" spans="1:1" x14ac:dyDescent="0.2">
      <c r="A5001" t="s">
        <v>102</v>
      </c>
    </row>
    <row r="5002" spans="1:1" x14ac:dyDescent="0.2">
      <c r="A5002" t="s">
        <v>102</v>
      </c>
    </row>
    <row r="5003" spans="1:1" x14ac:dyDescent="0.2">
      <c r="A5003" t="s">
        <v>102</v>
      </c>
    </row>
    <row r="5004" spans="1:1" x14ac:dyDescent="0.2">
      <c r="A5004" t="s">
        <v>102</v>
      </c>
    </row>
    <row r="5005" spans="1:1" x14ac:dyDescent="0.2">
      <c r="A5005" t="s">
        <v>102</v>
      </c>
    </row>
    <row r="5006" spans="1:1" x14ac:dyDescent="0.2">
      <c r="A5006" t="s">
        <v>102</v>
      </c>
    </row>
    <row r="5007" spans="1:1" x14ac:dyDescent="0.2">
      <c r="A5007" t="s">
        <v>102</v>
      </c>
    </row>
    <row r="5008" spans="1:1" x14ac:dyDescent="0.2">
      <c r="A5008" t="s">
        <v>102</v>
      </c>
    </row>
    <row r="5009" spans="1:1" x14ac:dyDescent="0.2">
      <c r="A5009" t="s">
        <v>102</v>
      </c>
    </row>
    <row r="5010" spans="1:1" x14ac:dyDescent="0.2">
      <c r="A5010" t="s">
        <v>102</v>
      </c>
    </row>
    <row r="5011" spans="1:1" x14ac:dyDescent="0.2">
      <c r="A5011" t="s">
        <v>102</v>
      </c>
    </row>
    <row r="5012" spans="1:1" x14ac:dyDescent="0.2">
      <c r="A5012" t="s">
        <v>102</v>
      </c>
    </row>
    <row r="5013" spans="1:1" x14ac:dyDescent="0.2">
      <c r="A5013" t="s">
        <v>102</v>
      </c>
    </row>
    <row r="5014" spans="1:1" x14ac:dyDescent="0.2">
      <c r="A5014" t="s">
        <v>102</v>
      </c>
    </row>
    <row r="5015" spans="1:1" x14ac:dyDescent="0.2">
      <c r="A5015" t="s">
        <v>102</v>
      </c>
    </row>
    <row r="5016" spans="1:1" x14ac:dyDescent="0.2">
      <c r="A5016" t="s">
        <v>102</v>
      </c>
    </row>
    <row r="5017" spans="1:1" x14ac:dyDescent="0.2">
      <c r="A5017" t="s">
        <v>102</v>
      </c>
    </row>
    <row r="5018" spans="1:1" x14ac:dyDescent="0.2">
      <c r="A5018" t="s">
        <v>102</v>
      </c>
    </row>
    <row r="5019" spans="1:1" x14ac:dyDescent="0.2">
      <c r="A5019" t="s">
        <v>102</v>
      </c>
    </row>
    <row r="5020" spans="1:1" x14ac:dyDescent="0.2">
      <c r="A5020" t="s">
        <v>102</v>
      </c>
    </row>
    <row r="5021" spans="1:1" x14ac:dyDescent="0.2">
      <c r="A5021" t="s">
        <v>102</v>
      </c>
    </row>
    <row r="5022" spans="1:1" x14ac:dyDescent="0.2">
      <c r="A5022" t="s">
        <v>102</v>
      </c>
    </row>
    <row r="5023" spans="1:1" x14ac:dyDescent="0.2">
      <c r="A5023" t="s">
        <v>102</v>
      </c>
    </row>
    <row r="5024" spans="1:1" x14ac:dyDescent="0.2">
      <c r="A5024" t="s">
        <v>102</v>
      </c>
    </row>
    <row r="5025" spans="1:1" x14ac:dyDescent="0.2">
      <c r="A5025" t="s">
        <v>102</v>
      </c>
    </row>
    <row r="5026" spans="1:1" x14ac:dyDescent="0.2">
      <c r="A5026" t="s">
        <v>102</v>
      </c>
    </row>
    <row r="5027" spans="1:1" x14ac:dyDescent="0.2">
      <c r="A5027" t="s">
        <v>102</v>
      </c>
    </row>
    <row r="5028" spans="1:1" x14ac:dyDescent="0.2">
      <c r="A5028" t="s">
        <v>102</v>
      </c>
    </row>
    <row r="5029" spans="1:1" x14ac:dyDescent="0.2">
      <c r="A5029" t="s">
        <v>102</v>
      </c>
    </row>
    <row r="5030" spans="1:1" x14ac:dyDescent="0.2">
      <c r="A5030" t="s">
        <v>102</v>
      </c>
    </row>
    <row r="5031" spans="1:1" x14ac:dyDescent="0.2">
      <c r="A5031" t="s">
        <v>102</v>
      </c>
    </row>
    <row r="5032" spans="1:1" x14ac:dyDescent="0.2">
      <c r="A5032" t="s">
        <v>102</v>
      </c>
    </row>
    <row r="5033" spans="1:1" x14ac:dyDescent="0.2">
      <c r="A5033" t="s">
        <v>102</v>
      </c>
    </row>
    <row r="5034" spans="1:1" x14ac:dyDescent="0.2">
      <c r="A5034" t="s">
        <v>102</v>
      </c>
    </row>
    <row r="5035" spans="1:1" x14ac:dyDescent="0.2">
      <c r="A5035" t="s">
        <v>102</v>
      </c>
    </row>
    <row r="5036" spans="1:1" x14ac:dyDescent="0.2">
      <c r="A5036" t="s">
        <v>102</v>
      </c>
    </row>
    <row r="5037" spans="1:1" x14ac:dyDescent="0.2">
      <c r="A5037" t="s">
        <v>102</v>
      </c>
    </row>
    <row r="5038" spans="1:1" x14ac:dyDescent="0.2">
      <c r="A5038" t="s">
        <v>102</v>
      </c>
    </row>
    <row r="5039" spans="1:1" x14ac:dyDescent="0.2">
      <c r="A5039" t="s">
        <v>102</v>
      </c>
    </row>
    <row r="5040" spans="1:1" x14ac:dyDescent="0.2">
      <c r="A5040" t="s">
        <v>102</v>
      </c>
    </row>
    <row r="5041" spans="1:1" x14ac:dyDescent="0.2">
      <c r="A5041" t="s">
        <v>102</v>
      </c>
    </row>
    <row r="5042" spans="1:1" x14ac:dyDescent="0.2">
      <c r="A5042" t="s">
        <v>102</v>
      </c>
    </row>
    <row r="5043" spans="1:1" x14ac:dyDescent="0.2">
      <c r="A5043" t="s">
        <v>102</v>
      </c>
    </row>
    <row r="5044" spans="1:1" x14ac:dyDescent="0.2">
      <c r="A5044" t="s">
        <v>102</v>
      </c>
    </row>
    <row r="5045" spans="1:1" x14ac:dyDescent="0.2">
      <c r="A5045" t="s">
        <v>102</v>
      </c>
    </row>
    <row r="5046" spans="1:1" x14ac:dyDescent="0.2">
      <c r="A5046" t="s">
        <v>102</v>
      </c>
    </row>
    <row r="5047" spans="1:1" x14ac:dyDescent="0.2">
      <c r="A5047" t="s">
        <v>102</v>
      </c>
    </row>
    <row r="5048" spans="1:1" x14ac:dyDescent="0.2">
      <c r="A5048" t="s">
        <v>102</v>
      </c>
    </row>
    <row r="5049" spans="1:1" x14ac:dyDescent="0.2">
      <c r="A5049" t="s">
        <v>102</v>
      </c>
    </row>
    <row r="5050" spans="1:1" x14ac:dyDescent="0.2">
      <c r="A5050" t="s">
        <v>102</v>
      </c>
    </row>
    <row r="5051" spans="1:1" x14ac:dyDescent="0.2">
      <c r="A5051" t="s">
        <v>102</v>
      </c>
    </row>
    <row r="5052" spans="1:1" x14ac:dyDescent="0.2">
      <c r="A5052" t="s">
        <v>102</v>
      </c>
    </row>
    <row r="5053" spans="1:1" x14ac:dyDescent="0.2">
      <c r="A5053" t="s">
        <v>102</v>
      </c>
    </row>
    <row r="5054" spans="1:1" x14ac:dyDescent="0.2">
      <c r="A5054" t="s">
        <v>102</v>
      </c>
    </row>
    <row r="5055" spans="1:1" x14ac:dyDescent="0.2">
      <c r="A5055" t="s">
        <v>102</v>
      </c>
    </row>
    <row r="5056" spans="1:1" x14ac:dyDescent="0.2">
      <c r="A5056" t="s">
        <v>102</v>
      </c>
    </row>
    <row r="5057" spans="1:1" x14ac:dyDescent="0.2">
      <c r="A5057" t="s">
        <v>102</v>
      </c>
    </row>
    <row r="5058" spans="1:1" x14ac:dyDescent="0.2">
      <c r="A5058" t="s">
        <v>102</v>
      </c>
    </row>
    <row r="5059" spans="1:1" x14ac:dyDescent="0.2">
      <c r="A5059" t="s">
        <v>102</v>
      </c>
    </row>
    <row r="5060" spans="1:1" x14ac:dyDescent="0.2">
      <c r="A5060" t="s">
        <v>102</v>
      </c>
    </row>
    <row r="5061" spans="1:1" x14ac:dyDescent="0.2">
      <c r="A5061" t="s">
        <v>102</v>
      </c>
    </row>
    <row r="5062" spans="1:1" x14ac:dyDescent="0.2">
      <c r="A5062" t="s">
        <v>102</v>
      </c>
    </row>
    <row r="5063" spans="1:1" x14ac:dyDescent="0.2">
      <c r="A5063" t="s">
        <v>102</v>
      </c>
    </row>
    <row r="5064" spans="1:1" x14ac:dyDescent="0.2">
      <c r="A5064" t="s">
        <v>102</v>
      </c>
    </row>
    <row r="5065" spans="1:1" x14ac:dyDescent="0.2">
      <c r="A5065" t="s">
        <v>102</v>
      </c>
    </row>
    <row r="5066" spans="1:1" x14ac:dyDescent="0.2">
      <c r="A5066" t="s">
        <v>102</v>
      </c>
    </row>
    <row r="5067" spans="1:1" x14ac:dyDescent="0.2">
      <c r="A5067" t="s">
        <v>102</v>
      </c>
    </row>
    <row r="5068" spans="1:1" x14ac:dyDescent="0.2">
      <c r="A5068" t="s">
        <v>102</v>
      </c>
    </row>
    <row r="5069" spans="1:1" x14ac:dyDescent="0.2">
      <c r="A5069" t="s">
        <v>102</v>
      </c>
    </row>
    <row r="5070" spans="1:1" x14ac:dyDescent="0.2">
      <c r="A5070" t="s">
        <v>102</v>
      </c>
    </row>
    <row r="5071" spans="1:1" x14ac:dyDescent="0.2">
      <c r="A5071" t="s">
        <v>102</v>
      </c>
    </row>
    <row r="5072" spans="1:1" x14ac:dyDescent="0.2">
      <c r="A5072" t="s">
        <v>102</v>
      </c>
    </row>
    <row r="5073" spans="1:1" x14ac:dyDescent="0.2">
      <c r="A5073" t="s">
        <v>102</v>
      </c>
    </row>
    <row r="5074" spans="1:1" x14ac:dyDescent="0.2">
      <c r="A5074" t="s">
        <v>102</v>
      </c>
    </row>
    <row r="5075" spans="1:1" x14ac:dyDescent="0.2">
      <c r="A5075" t="s">
        <v>102</v>
      </c>
    </row>
    <row r="5076" spans="1:1" x14ac:dyDescent="0.2">
      <c r="A5076" t="s">
        <v>102</v>
      </c>
    </row>
    <row r="5077" spans="1:1" x14ac:dyDescent="0.2">
      <c r="A5077" t="s">
        <v>102</v>
      </c>
    </row>
    <row r="5078" spans="1:1" x14ac:dyDescent="0.2">
      <c r="A5078" t="s">
        <v>102</v>
      </c>
    </row>
    <row r="5079" spans="1:1" x14ac:dyDescent="0.2">
      <c r="A5079" t="s">
        <v>102</v>
      </c>
    </row>
    <row r="5080" spans="1:1" x14ac:dyDescent="0.2">
      <c r="A5080" t="s">
        <v>102</v>
      </c>
    </row>
    <row r="5081" spans="1:1" x14ac:dyDescent="0.2">
      <c r="A5081" t="s">
        <v>102</v>
      </c>
    </row>
    <row r="5082" spans="1:1" x14ac:dyDescent="0.2">
      <c r="A5082" t="s">
        <v>102</v>
      </c>
    </row>
    <row r="5083" spans="1:1" x14ac:dyDescent="0.2">
      <c r="A5083" t="s">
        <v>102</v>
      </c>
    </row>
    <row r="5084" spans="1:1" x14ac:dyDescent="0.2">
      <c r="A5084" t="s">
        <v>102</v>
      </c>
    </row>
    <row r="5085" spans="1:1" x14ac:dyDescent="0.2">
      <c r="A5085" t="s">
        <v>102</v>
      </c>
    </row>
    <row r="5086" spans="1:1" x14ac:dyDescent="0.2">
      <c r="A5086" t="s">
        <v>102</v>
      </c>
    </row>
    <row r="5087" spans="1:1" x14ac:dyDescent="0.2">
      <c r="A5087" t="s">
        <v>102</v>
      </c>
    </row>
    <row r="5088" spans="1:1" x14ac:dyDescent="0.2">
      <c r="A5088" t="s">
        <v>102</v>
      </c>
    </row>
    <row r="5089" spans="1:1" x14ac:dyDescent="0.2">
      <c r="A5089" t="s">
        <v>102</v>
      </c>
    </row>
    <row r="5090" spans="1:1" x14ac:dyDescent="0.2">
      <c r="A5090" t="s">
        <v>102</v>
      </c>
    </row>
    <row r="5091" spans="1:1" x14ac:dyDescent="0.2">
      <c r="A5091" t="s">
        <v>102</v>
      </c>
    </row>
    <row r="5092" spans="1:1" x14ac:dyDescent="0.2">
      <c r="A5092" t="s">
        <v>102</v>
      </c>
    </row>
    <row r="5093" spans="1:1" x14ac:dyDescent="0.2">
      <c r="A5093" t="s">
        <v>102</v>
      </c>
    </row>
    <row r="5094" spans="1:1" x14ac:dyDescent="0.2">
      <c r="A5094" t="s">
        <v>102</v>
      </c>
    </row>
    <row r="5095" spans="1:1" x14ac:dyDescent="0.2">
      <c r="A5095" t="s">
        <v>102</v>
      </c>
    </row>
    <row r="5096" spans="1:1" x14ac:dyDescent="0.2">
      <c r="A5096" t="s">
        <v>102</v>
      </c>
    </row>
    <row r="5097" spans="1:1" x14ac:dyDescent="0.2">
      <c r="A5097" t="s">
        <v>102</v>
      </c>
    </row>
    <row r="5098" spans="1:1" x14ac:dyDescent="0.2">
      <c r="A5098" t="s">
        <v>102</v>
      </c>
    </row>
    <row r="5099" spans="1:1" x14ac:dyDescent="0.2">
      <c r="A5099" t="s">
        <v>102</v>
      </c>
    </row>
    <row r="5100" spans="1:1" x14ac:dyDescent="0.2">
      <c r="A5100" t="s">
        <v>102</v>
      </c>
    </row>
    <row r="5101" spans="1:1" x14ac:dyDescent="0.2">
      <c r="A5101" t="s">
        <v>102</v>
      </c>
    </row>
    <row r="5102" spans="1:1" x14ac:dyDescent="0.2">
      <c r="A5102" t="s">
        <v>102</v>
      </c>
    </row>
    <row r="5103" spans="1:1" x14ac:dyDescent="0.2">
      <c r="A5103" t="s">
        <v>102</v>
      </c>
    </row>
    <row r="5104" spans="1:1" x14ac:dyDescent="0.2">
      <c r="A5104" t="s">
        <v>102</v>
      </c>
    </row>
    <row r="5105" spans="1:1" x14ac:dyDescent="0.2">
      <c r="A5105" t="s">
        <v>102</v>
      </c>
    </row>
    <row r="5106" spans="1:1" x14ac:dyDescent="0.2">
      <c r="A5106" t="s">
        <v>102</v>
      </c>
    </row>
    <row r="5107" spans="1:1" x14ac:dyDescent="0.2">
      <c r="A5107" t="s">
        <v>102</v>
      </c>
    </row>
    <row r="5108" spans="1:1" x14ac:dyDescent="0.2">
      <c r="A5108" t="s">
        <v>102</v>
      </c>
    </row>
    <row r="5109" spans="1:1" x14ac:dyDescent="0.2">
      <c r="A5109" t="s">
        <v>102</v>
      </c>
    </row>
    <row r="5110" spans="1:1" x14ac:dyDescent="0.2">
      <c r="A5110" t="s">
        <v>102</v>
      </c>
    </row>
    <row r="5111" spans="1:1" x14ac:dyDescent="0.2">
      <c r="A5111" t="s">
        <v>102</v>
      </c>
    </row>
    <row r="5112" spans="1:1" x14ac:dyDescent="0.2">
      <c r="A5112" t="s">
        <v>102</v>
      </c>
    </row>
    <row r="5113" spans="1:1" x14ac:dyDescent="0.2">
      <c r="A5113" t="s">
        <v>102</v>
      </c>
    </row>
    <row r="5114" spans="1:1" x14ac:dyDescent="0.2">
      <c r="A5114" t="s">
        <v>102</v>
      </c>
    </row>
    <row r="5115" spans="1:1" x14ac:dyDescent="0.2">
      <c r="A5115" t="s">
        <v>102</v>
      </c>
    </row>
    <row r="5116" spans="1:1" x14ac:dyDescent="0.2">
      <c r="A5116" t="s">
        <v>102</v>
      </c>
    </row>
    <row r="5117" spans="1:1" x14ac:dyDescent="0.2">
      <c r="A5117" t="s">
        <v>102</v>
      </c>
    </row>
    <row r="5118" spans="1:1" x14ac:dyDescent="0.2">
      <c r="A5118" t="s">
        <v>102</v>
      </c>
    </row>
    <row r="5119" spans="1:1" x14ac:dyDescent="0.2">
      <c r="A5119" t="s">
        <v>102</v>
      </c>
    </row>
    <row r="5120" spans="1:1" x14ac:dyDescent="0.2">
      <c r="A5120" t="s">
        <v>102</v>
      </c>
    </row>
    <row r="5121" spans="1:1" x14ac:dyDescent="0.2">
      <c r="A5121" t="s">
        <v>102</v>
      </c>
    </row>
    <row r="5122" spans="1:1" x14ac:dyDescent="0.2">
      <c r="A5122" t="s">
        <v>102</v>
      </c>
    </row>
    <row r="5123" spans="1:1" x14ac:dyDescent="0.2">
      <c r="A5123" t="s">
        <v>102</v>
      </c>
    </row>
    <row r="5124" spans="1:1" x14ac:dyDescent="0.2">
      <c r="A5124" t="s">
        <v>102</v>
      </c>
    </row>
    <row r="5125" spans="1:1" x14ac:dyDescent="0.2">
      <c r="A5125" t="s">
        <v>102</v>
      </c>
    </row>
    <row r="5126" spans="1:1" x14ac:dyDescent="0.2">
      <c r="A5126" t="s">
        <v>102</v>
      </c>
    </row>
    <row r="5127" spans="1:1" x14ac:dyDescent="0.2">
      <c r="A5127" t="s">
        <v>102</v>
      </c>
    </row>
    <row r="5128" spans="1:1" x14ac:dyDescent="0.2">
      <c r="A5128" t="s">
        <v>102</v>
      </c>
    </row>
    <row r="5129" spans="1:1" x14ac:dyDescent="0.2">
      <c r="A5129" t="s">
        <v>102</v>
      </c>
    </row>
    <row r="5130" spans="1:1" x14ac:dyDescent="0.2">
      <c r="A5130" t="s">
        <v>102</v>
      </c>
    </row>
    <row r="5131" spans="1:1" x14ac:dyDescent="0.2">
      <c r="A5131" t="s">
        <v>102</v>
      </c>
    </row>
    <row r="5132" spans="1:1" x14ac:dyDescent="0.2">
      <c r="A5132" t="s">
        <v>102</v>
      </c>
    </row>
    <row r="5133" spans="1:1" x14ac:dyDescent="0.2">
      <c r="A5133" t="s">
        <v>102</v>
      </c>
    </row>
    <row r="5134" spans="1:1" x14ac:dyDescent="0.2">
      <c r="A5134" t="s">
        <v>102</v>
      </c>
    </row>
    <row r="5135" spans="1:1" x14ac:dyDescent="0.2">
      <c r="A5135" t="s">
        <v>102</v>
      </c>
    </row>
    <row r="5136" spans="1:1" x14ac:dyDescent="0.2">
      <c r="A5136" t="s">
        <v>102</v>
      </c>
    </row>
    <row r="5137" spans="1:1" x14ac:dyDescent="0.2">
      <c r="A5137" t="s">
        <v>102</v>
      </c>
    </row>
    <row r="5138" spans="1:1" x14ac:dyDescent="0.2">
      <c r="A5138" t="s">
        <v>102</v>
      </c>
    </row>
    <row r="5139" spans="1:1" x14ac:dyDescent="0.2">
      <c r="A5139" t="s">
        <v>102</v>
      </c>
    </row>
    <row r="5140" spans="1:1" x14ac:dyDescent="0.2">
      <c r="A5140" t="s">
        <v>102</v>
      </c>
    </row>
    <row r="5141" spans="1:1" x14ac:dyDescent="0.2">
      <c r="A5141" t="s">
        <v>102</v>
      </c>
    </row>
    <row r="5142" spans="1:1" x14ac:dyDescent="0.2">
      <c r="A5142" t="s">
        <v>102</v>
      </c>
    </row>
    <row r="5143" spans="1:1" x14ac:dyDescent="0.2">
      <c r="A5143" t="s">
        <v>102</v>
      </c>
    </row>
    <row r="5144" spans="1:1" x14ac:dyDescent="0.2">
      <c r="A5144" t="s">
        <v>102</v>
      </c>
    </row>
    <row r="5145" spans="1:1" x14ac:dyDescent="0.2">
      <c r="A5145" t="s">
        <v>102</v>
      </c>
    </row>
    <row r="5146" spans="1:1" x14ac:dyDescent="0.2">
      <c r="A5146" t="s">
        <v>102</v>
      </c>
    </row>
    <row r="5147" spans="1:1" x14ac:dyDescent="0.2">
      <c r="A5147" t="s">
        <v>102</v>
      </c>
    </row>
    <row r="5148" spans="1:1" x14ac:dyDescent="0.2">
      <c r="A5148" t="s">
        <v>102</v>
      </c>
    </row>
    <row r="5149" spans="1:1" x14ac:dyDescent="0.2">
      <c r="A5149" t="s">
        <v>102</v>
      </c>
    </row>
    <row r="5150" spans="1:1" x14ac:dyDescent="0.2">
      <c r="A5150" t="s">
        <v>102</v>
      </c>
    </row>
    <row r="5151" spans="1:1" x14ac:dyDescent="0.2">
      <c r="A5151" t="s">
        <v>102</v>
      </c>
    </row>
    <row r="5152" spans="1:1" x14ac:dyDescent="0.2">
      <c r="A5152" t="s">
        <v>102</v>
      </c>
    </row>
    <row r="5153" spans="1:1" x14ac:dyDescent="0.2">
      <c r="A5153" t="s">
        <v>102</v>
      </c>
    </row>
    <row r="5154" spans="1:1" x14ac:dyDescent="0.2">
      <c r="A5154" t="s">
        <v>102</v>
      </c>
    </row>
    <row r="5155" spans="1:1" x14ac:dyDescent="0.2">
      <c r="A5155" t="s">
        <v>102</v>
      </c>
    </row>
    <row r="5156" spans="1:1" x14ac:dyDescent="0.2">
      <c r="A5156" t="s">
        <v>102</v>
      </c>
    </row>
    <row r="5157" spans="1:1" x14ac:dyDescent="0.2">
      <c r="A5157" t="s">
        <v>102</v>
      </c>
    </row>
    <row r="5158" spans="1:1" x14ac:dyDescent="0.2">
      <c r="A5158" t="s">
        <v>102</v>
      </c>
    </row>
    <row r="5159" spans="1:1" x14ac:dyDescent="0.2">
      <c r="A5159" t="s">
        <v>102</v>
      </c>
    </row>
    <row r="5160" spans="1:1" x14ac:dyDescent="0.2">
      <c r="A5160" t="s">
        <v>102</v>
      </c>
    </row>
    <row r="5161" spans="1:1" x14ac:dyDescent="0.2">
      <c r="A5161" t="s">
        <v>102</v>
      </c>
    </row>
    <row r="5162" spans="1:1" x14ac:dyDescent="0.2">
      <c r="A5162" t="s">
        <v>102</v>
      </c>
    </row>
    <row r="5163" spans="1:1" x14ac:dyDescent="0.2">
      <c r="A5163" t="s">
        <v>102</v>
      </c>
    </row>
    <row r="5164" spans="1:1" x14ac:dyDescent="0.2">
      <c r="A5164" t="s">
        <v>102</v>
      </c>
    </row>
    <row r="5165" spans="1:1" x14ac:dyDescent="0.2">
      <c r="A5165" t="s">
        <v>102</v>
      </c>
    </row>
    <row r="5166" spans="1:1" x14ac:dyDescent="0.2">
      <c r="A5166" t="s">
        <v>102</v>
      </c>
    </row>
    <row r="5167" spans="1:1" x14ac:dyDescent="0.2">
      <c r="A5167" t="s">
        <v>102</v>
      </c>
    </row>
    <row r="5168" spans="1:1" x14ac:dyDescent="0.2">
      <c r="A5168" t="s">
        <v>102</v>
      </c>
    </row>
    <row r="5169" spans="1:1" x14ac:dyDescent="0.2">
      <c r="A5169" t="s">
        <v>102</v>
      </c>
    </row>
    <row r="5170" spans="1:1" x14ac:dyDescent="0.2">
      <c r="A5170" t="s">
        <v>102</v>
      </c>
    </row>
    <row r="5171" spans="1:1" x14ac:dyDescent="0.2">
      <c r="A5171" t="s">
        <v>102</v>
      </c>
    </row>
    <row r="5172" spans="1:1" x14ac:dyDescent="0.2">
      <c r="A5172" t="s">
        <v>102</v>
      </c>
    </row>
    <row r="5173" spans="1:1" x14ac:dyDescent="0.2">
      <c r="A5173" t="s">
        <v>102</v>
      </c>
    </row>
    <row r="5174" spans="1:1" x14ac:dyDescent="0.2">
      <c r="A5174" t="s">
        <v>102</v>
      </c>
    </row>
    <row r="5175" spans="1:1" x14ac:dyDescent="0.2">
      <c r="A5175" t="s">
        <v>102</v>
      </c>
    </row>
    <row r="5176" spans="1:1" x14ac:dyDescent="0.2">
      <c r="A5176" t="s">
        <v>102</v>
      </c>
    </row>
    <row r="5177" spans="1:1" x14ac:dyDescent="0.2">
      <c r="A5177" t="s">
        <v>102</v>
      </c>
    </row>
    <row r="5178" spans="1:1" x14ac:dyDescent="0.2">
      <c r="A5178" t="s">
        <v>102</v>
      </c>
    </row>
    <row r="5179" spans="1:1" x14ac:dyDescent="0.2">
      <c r="A5179" t="s">
        <v>102</v>
      </c>
    </row>
    <row r="5180" spans="1:1" x14ac:dyDescent="0.2">
      <c r="A5180" t="s">
        <v>102</v>
      </c>
    </row>
    <row r="5181" spans="1:1" x14ac:dyDescent="0.2">
      <c r="A5181" t="s">
        <v>102</v>
      </c>
    </row>
    <row r="5182" spans="1:1" x14ac:dyDescent="0.2">
      <c r="A5182" t="s">
        <v>102</v>
      </c>
    </row>
    <row r="5183" spans="1:1" x14ac:dyDescent="0.2">
      <c r="A5183" t="s">
        <v>102</v>
      </c>
    </row>
    <row r="5184" spans="1:1" x14ac:dyDescent="0.2">
      <c r="A5184" t="s">
        <v>102</v>
      </c>
    </row>
    <row r="5185" spans="1:1" x14ac:dyDescent="0.2">
      <c r="A5185" t="s">
        <v>102</v>
      </c>
    </row>
    <row r="5186" spans="1:1" x14ac:dyDescent="0.2">
      <c r="A5186" t="s">
        <v>102</v>
      </c>
    </row>
    <row r="5187" spans="1:1" x14ac:dyDescent="0.2">
      <c r="A5187" t="s">
        <v>102</v>
      </c>
    </row>
    <row r="5188" spans="1:1" x14ac:dyDescent="0.2">
      <c r="A5188" t="s">
        <v>102</v>
      </c>
    </row>
    <row r="5189" spans="1:1" x14ac:dyDescent="0.2">
      <c r="A5189" t="s">
        <v>102</v>
      </c>
    </row>
    <row r="5190" spans="1:1" x14ac:dyDescent="0.2">
      <c r="A5190" t="s">
        <v>102</v>
      </c>
    </row>
    <row r="5191" spans="1:1" x14ac:dyDescent="0.2">
      <c r="A5191" t="s">
        <v>102</v>
      </c>
    </row>
    <row r="5192" spans="1:1" x14ac:dyDescent="0.2">
      <c r="A5192" t="s">
        <v>102</v>
      </c>
    </row>
    <row r="5193" spans="1:1" x14ac:dyDescent="0.2">
      <c r="A5193" t="s">
        <v>102</v>
      </c>
    </row>
    <row r="5194" spans="1:1" x14ac:dyDescent="0.2">
      <c r="A5194" t="s">
        <v>102</v>
      </c>
    </row>
    <row r="5195" spans="1:1" x14ac:dyDescent="0.2">
      <c r="A5195" t="s">
        <v>102</v>
      </c>
    </row>
    <row r="5196" spans="1:1" x14ac:dyDescent="0.2">
      <c r="A5196" t="s">
        <v>102</v>
      </c>
    </row>
    <row r="5197" spans="1:1" x14ac:dyDescent="0.2">
      <c r="A5197" t="s">
        <v>102</v>
      </c>
    </row>
    <row r="5198" spans="1:1" x14ac:dyDescent="0.2">
      <c r="A5198" t="s">
        <v>102</v>
      </c>
    </row>
    <row r="5199" spans="1:1" x14ac:dyDescent="0.2">
      <c r="A5199" t="s">
        <v>102</v>
      </c>
    </row>
    <row r="5200" spans="1:1" x14ac:dyDescent="0.2">
      <c r="A5200" t="s">
        <v>102</v>
      </c>
    </row>
    <row r="5201" spans="1:1" x14ac:dyDescent="0.2">
      <c r="A5201" t="s">
        <v>102</v>
      </c>
    </row>
    <row r="5202" spans="1:1" x14ac:dyDescent="0.2">
      <c r="A5202" t="s">
        <v>102</v>
      </c>
    </row>
    <row r="5203" spans="1:1" x14ac:dyDescent="0.2">
      <c r="A5203" t="s">
        <v>102</v>
      </c>
    </row>
    <row r="5204" spans="1:1" x14ac:dyDescent="0.2">
      <c r="A5204" t="s">
        <v>102</v>
      </c>
    </row>
    <row r="5205" spans="1:1" x14ac:dyDescent="0.2">
      <c r="A5205" t="s">
        <v>102</v>
      </c>
    </row>
    <row r="5206" spans="1:1" x14ac:dyDescent="0.2">
      <c r="A5206" t="s">
        <v>102</v>
      </c>
    </row>
    <row r="5207" spans="1:1" x14ac:dyDescent="0.2">
      <c r="A5207" t="s">
        <v>102</v>
      </c>
    </row>
    <row r="5208" spans="1:1" x14ac:dyDescent="0.2">
      <c r="A5208" t="s">
        <v>102</v>
      </c>
    </row>
    <row r="5209" spans="1:1" x14ac:dyDescent="0.2">
      <c r="A5209" t="s">
        <v>102</v>
      </c>
    </row>
    <row r="5210" spans="1:1" x14ac:dyDescent="0.2">
      <c r="A5210" t="s">
        <v>102</v>
      </c>
    </row>
    <row r="5211" spans="1:1" x14ac:dyDescent="0.2">
      <c r="A5211" t="s">
        <v>102</v>
      </c>
    </row>
    <row r="5212" spans="1:1" x14ac:dyDescent="0.2">
      <c r="A5212" t="s">
        <v>102</v>
      </c>
    </row>
    <row r="5213" spans="1:1" x14ac:dyDescent="0.2">
      <c r="A5213" t="s">
        <v>102</v>
      </c>
    </row>
    <row r="5214" spans="1:1" x14ac:dyDescent="0.2">
      <c r="A5214" t="s">
        <v>102</v>
      </c>
    </row>
    <row r="5215" spans="1:1" x14ac:dyDescent="0.2">
      <c r="A5215" t="s">
        <v>102</v>
      </c>
    </row>
    <row r="5216" spans="1:1" x14ac:dyDescent="0.2">
      <c r="A5216" t="s">
        <v>102</v>
      </c>
    </row>
    <row r="5217" spans="1:1" x14ac:dyDescent="0.2">
      <c r="A5217" t="s">
        <v>102</v>
      </c>
    </row>
    <row r="5218" spans="1:1" x14ac:dyDescent="0.2">
      <c r="A5218" t="s">
        <v>102</v>
      </c>
    </row>
    <row r="5219" spans="1:1" x14ac:dyDescent="0.2">
      <c r="A5219" t="s">
        <v>102</v>
      </c>
    </row>
    <row r="5220" spans="1:1" x14ac:dyDescent="0.2">
      <c r="A5220" t="s">
        <v>102</v>
      </c>
    </row>
    <row r="5221" spans="1:1" x14ac:dyDescent="0.2">
      <c r="A5221" t="s">
        <v>102</v>
      </c>
    </row>
    <row r="5222" spans="1:1" x14ac:dyDescent="0.2">
      <c r="A5222" t="s">
        <v>102</v>
      </c>
    </row>
    <row r="5223" spans="1:1" x14ac:dyDescent="0.2">
      <c r="A5223" t="s">
        <v>102</v>
      </c>
    </row>
    <row r="5224" spans="1:1" x14ac:dyDescent="0.2">
      <c r="A5224" t="s">
        <v>102</v>
      </c>
    </row>
    <row r="5225" spans="1:1" x14ac:dyDescent="0.2">
      <c r="A5225" t="s">
        <v>102</v>
      </c>
    </row>
    <row r="5226" spans="1:1" x14ac:dyDescent="0.2">
      <c r="A5226" t="s">
        <v>102</v>
      </c>
    </row>
    <row r="5227" spans="1:1" x14ac:dyDescent="0.2">
      <c r="A5227" t="s">
        <v>102</v>
      </c>
    </row>
    <row r="5228" spans="1:1" x14ac:dyDescent="0.2">
      <c r="A5228" t="s">
        <v>102</v>
      </c>
    </row>
    <row r="5229" spans="1:1" x14ac:dyDescent="0.2">
      <c r="A5229" t="s">
        <v>102</v>
      </c>
    </row>
    <row r="5230" spans="1:1" x14ac:dyDescent="0.2">
      <c r="A5230" t="s">
        <v>102</v>
      </c>
    </row>
    <row r="5231" spans="1:1" x14ac:dyDescent="0.2">
      <c r="A5231" t="s">
        <v>102</v>
      </c>
    </row>
    <row r="5232" spans="1:1" x14ac:dyDescent="0.2">
      <c r="A5232" t="s">
        <v>102</v>
      </c>
    </row>
    <row r="5233" spans="1:1" x14ac:dyDescent="0.2">
      <c r="A5233" t="s">
        <v>102</v>
      </c>
    </row>
    <row r="5234" spans="1:1" x14ac:dyDescent="0.2">
      <c r="A5234" t="s">
        <v>102</v>
      </c>
    </row>
    <row r="5235" spans="1:1" x14ac:dyDescent="0.2">
      <c r="A5235" t="s">
        <v>102</v>
      </c>
    </row>
    <row r="5236" spans="1:1" x14ac:dyDescent="0.2">
      <c r="A5236" t="s">
        <v>102</v>
      </c>
    </row>
    <row r="5237" spans="1:1" x14ac:dyDescent="0.2">
      <c r="A5237" t="s">
        <v>102</v>
      </c>
    </row>
    <row r="5238" spans="1:1" x14ac:dyDescent="0.2">
      <c r="A5238" t="s">
        <v>102</v>
      </c>
    </row>
    <row r="5239" spans="1:1" x14ac:dyDescent="0.2">
      <c r="A5239" t="s">
        <v>102</v>
      </c>
    </row>
    <row r="5240" spans="1:1" x14ac:dyDescent="0.2">
      <c r="A5240" t="s">
        <v>102</v>
      </c>
    </row>
    <row r="5241" spans="1:1" x14ac:dyDescent="0.2">
      <c r="A5241" t="s">
        <v>102</v>
      </c>
    </row>
    <row r="5242" spans="1:1" x14ac:dyDescent="0.2">
      <c r="A5242" t="s">
        <v>102</v>
      </c>
    </row>
    <row r="5243" spans="1:1" x14ac:dyDescent="0.2">
      <c r="A5243" t="s">
        <v>102</v>
      </c>
    </row>
    <row r="5244" spans="1:1" x14ac:dyDescent="0.2">
      <c r="A5244" t="s">
        <v>102</v>
      </c>
    </row>
    <row r="5245" spans="1:1" x14ac:dyDescent="0.2">
      <c r="A5245" t="s">
        <v>102</v>
      </c>
    </row>
    <row r="5246" spans="1:1" x14ac:dyDescent="0.2">
      <c r="A5246" t="s">
        <v>102</v>
      </c>
    </row>
    <row r="5247" spans="1:1" x14ac:dyDescent="0.2">
      <c r="A5247" t="s">
        <v>102</v>
      </c>
    </row>
    <row r="5248" spans="1:1" x14ac:dyDescent="0.2">
      <c r="A5248" t="s">
        <v>102</v>
      </c>
    </row>
    <row r="5249" spans="1:1" x14ac:dyDescent="0.2">
      <c r="A5249" t="s">
        <v>102</v>
      </c>
    </row>
    <row r="5250" spans="1:1" x14ac:dyDescent="0.2">
      <c r="A5250" t="s">
        <v>102</v>
      </c>
    </row>
    <row r="5251" spans="1:1" x14ac:dyDescent="0.2">
      <c r="A5251" t="s">
        <v>102</v>
      </c>
    </row>
    <row r="5252" spans="1:1" x14ac:dyDescent="0.2">
      <c r="A5252" t="s">
        <v>102</v>
      </c>
    </row>
    <row r="5253" spans="1:1" x14ac:dyDescent="0.2">
      <c r="A5253" t="s">
        <v>102</v>
      </c>
    </row>
    <row r="5254" spans="1:1" x14ac:dyDescent="0.2">
      <c r="A5254" t="s">
        <v>102</v>
      </c>
    </row>
    <row r="5255" spans="1:1" x14ac:dyDescent="0.2">
      <c r="A5255" t="s">
        <v>102</v>
      </c>
    </row>
    <row r="5256" spans="1:1" x14ac:dyDescent="0.2">
      <c r="A5256" t="s">
        <v>102</v>
      </c>
    </row>
    <row r="5257" spans="1:1" x14ac:dyDescent="0.2">
      <c r="A5257" t="s">
        <v>102</v>
      </c>
    </row>
    <row r="5258" spans="1:1" x14ac:dyDescent="0.2">
      <c r="A5258" t="s">
        <v>102</v>
      </c>
    </row>
    <row r="5259" spans="1:1" x14ac:dyDescent="0.2">
      <c r="A5259" t="s">
        <v>102</v>
      </c>
    </row>
    <row r="5260" spans="1:1" x14ac:dyDescent="0.2">
      <c r="A5260" t="s">
        <v>102</v>
      </c>
    </row>
    <row r="5261" spans="1:1" x14ac:dyDescent="0.2">
      <c r="A5261" t="s">
        <v>102</v>
      </c>
    </row>
    <row r="5262" spans="1:1" x14ac:dyDescent="0.2">
      <c r="A5262" t="s">
        <v>102</v>
      </c>
    </row>
    <row r="5263" spans="1:1" x14ac:dyDescent="0.2">
      <c r="A5263" t="s">
        <v>102</v>
      </c>
    </row>
    <row r="5264" spans="1:1" x14ac:dyDescent="0.2">
      <c r="A5264" t="s">
        <v>102</v>
      </c>
    </row>
    <row r="5265" spans="1:1" x14ac:dyDescent="0.2">
      <c r="A5265" t="s">
        <v>102</v>
      </c>
    </row>
    <row r="5266" spans="1:1" x14ac:dyDescent="0.2">
      <c r="A5266" t="s">
        <v>102</v>
      </c>
    </row>
    <row r="5267" spans="1:1" x14ac:dyDescent="0.2">
      <c r="A5267" t="s">
        <v>102</v>
      </c>
    </row>
    <row r="5268" spans="1:1" x14ac:dyDescent="0.2">
      <c r="A5268" t="s">
        <v>102</v>
      </c>
    </row>
    <row r="5269" spans="1:1" x14ac:dyDescent="0.2">
      <c r="A5269" t="s">
        <v>102</v>
      </c>
    </row>
    <row r="5270" spans="1:1" x14ac:dyDescent="0.2">
      <c r="A5270" t="s">
        <v>102</v>
      </c>
    </row>
    <row r="5271" spans="1:1" x14ac:dyDescent="0.2">
      <c r="A5271" t="s">
        <v>102</v>
      </c>
    </row>
    <row r="5272" spans="1:1" x14ac:dyDescent="0.2">
      <c r="A5272" t="s">
        <v>102</v>
      </c>
    </row>
    <row r="5273" spans="1:1" x14ac:dyDescent="0.2">
      <c r="A5273" t="s">
        <v>102</v>
      </c>
    </row>
    <row r="5274" spans="1:1" x14ac:dyDescent="0.2">
      <c r="A5274" t="s">
        <v>102</v>
      </c>
    </row>
    <row r="5275" spans="1:1" x14ac:dyDescent="0.2">
      <c r="A5275" t="s">
        <v>102</v>
      </c>
    </row>
    <row r="5276" spans="1:1" x14ac:dyDescent="0.2">
      <c r="A5276" t="s">
        <v>102</v>
      </c>
    </row>
    <row r="5277" spans="1:1" x14ac:dyDescent="0.2">
      <c r="A5277" t="s">
        <v>102</v>
      </c>
    </row>
    <row r="5278" spans="1:1" x14ac:dyDescent="0.2">
      <c r="A5278" t="s">
        <v>102</v>
      </c>
    </row>
    <row r="5279" spans="1:1" x14ac:dyDescent="0.2">
      <c r="A5279" t="s">
        <v>102</v>
      </c>
    </row>
    <row r="5280" spans="1:1" x14ac:dyDescent="0.2">
      <c r="A5280" t="s">
        <v>102</v>
      </c>
    </row>
    <row r="5281" spans="1:1" x14ac:dyDescent="0.2">
      <c r="A5281" t="s">
        <v>102</v>
      </c>
    </row>
    <row r="5282" spans="1:1" x14ac:dyDescent="0.2">
      <c r="A5282" t="s">
        <v>102</v>
      </c>
    </row>
    <row r="5283" spans="1:1" x14ac:dyDescent="0.2">
      <c r="A5283" t="s">
        <v>102</v>
      </c>
    </row>
    <row r="5284" spans="1:1" x14ac:dyDescent="0.2">
      <c r="A5284" t="s">
        <v>102</v>
      </c>
    </row>
    <row r="5285" spans="1:1" x14ac:dyDescent="0.2">
      <c r="A5285" t="s">
        <v>102</v>
      </c>
    </row>
    <row r="5286" spans="1:1" x14ac:dyDescent="0.2">
      <c r="A5286" t="s">
        <v>102</v>
      </c>
    </row>
    <row r="5287" spans="1:1" x14ac:dyDescent="0.2">
      <c r="A5287" t="s">
        <v>102</v>
      </c>
    </row>
    <row r="5288" spans="1:1" x14ac:dyDescent="0.2">
      <c r="A5288" t="s">
        <v>102</v>
      </c>
    </row>
    <row r="5289" spans="1:1" x14ac:dyDescent="0.2">
      <c r="A5289" t="s">
        <v>102</v>
      </c>
    </row>
    <row r="5290" spans="1:1" x14ac:dyDescent="0.2">
      <c r="A5290" t="s">
        <v>102</v>
      </c>
    </row>
    <row r="5291" spans="1:1" x14ac:dyDescent="0.2">
      <c r="A5291" t="s">
        <v>102</v>
      </c>
    </row>
    <row r="5292" spans="1:1" x14ac:dyDescent="0.2">
      <c r="A5292" t="s">
        <v>102</v>
      </c>
    </row>
    <row r="5293" spans="1:1" x14ac:dyDescent="0.2">
      <c r="A5293" t="s">
        <v>102</v>
      </c>
    </row>
    <row r="5294" spans="1:1" x14ac:dyDescent="0.2">
      <c r="A5294" t="s">
        <v>102</v>
      </c>
    </row>
    <row r="5295" spans="1:1" x14ac:dyDescent="0.2">
      <c r="A5295" t="s">
        <v>102</v>
      </c>
    </row>
    <row r="5296" spans="1:1" x14ac:dyDescent="0.2">
      <c r="A5296" t="s">
        <v>102</v>
      </c>
    </row>
    <row r="5297" spans="1:1" x14ac:dyDescent="0.2">
      <c r="A5297" t="s">
        <v>102</v>
      </c>
    </row>
    <row r="5298" spans="1:1" x14ac:dyDescent="0.2">
      <c r="A5298" t="s">
        <v>102</v>
      </c>
    </row>
    <row r="5299" spans="1:1" x14ac:dyDescent="0.2">
      <c r="A5299" t="s">
        <v>102</v>
      </c>
    </row>
    <row r="5300" spans="1:1" x14ac:dyDescent="0.2">
      <c r="A5300" t="s">
        <v>102</v>
      </c>
    </row>
    <row r="5301" spans="1:1" x14ac:dyDescent="0.2">
      <c r="A5301" t="s">
        <v>102</v>
      </c>
    </row>
    <row r="5302" spans="1:1" x14ac:dyDescent="0.2">
      <c r="A5302" t="s">
        <v>102</v>
      </c>
    </row>
    <row r="5303" spans="1:1" x14ac:dyDescent="0.2">
      <c r="A5303" t="s">
        <v>102</v>
      </c>
    </row>
    <row r="5304" spans="1:1" x14ac:dyDescent="0.2">
      <c r="A5304" t="s">
        <v>102</v>
      </c>
    </row>
    <row r="5305" spans="1:1" x14ac:dyDescent="0.2">
      <c r="A5305" t="s">
        <v>102</v>
      </c>
    </row>
    <row r="5306" spans="1:1" x14ac:dyDescent="0.2">
      <c r="A5306" t="s">
        <v>102</v>
      </c>
    </row>
    <row r="5307" spans="1:1" x14ac:dyDescent="0.2">
      <c r="A5307" t="s">
        <v>102</v>
      </c>
    </row>
    <row r="5308" spans="1:1" x14ac:dyDescent="0.2">
      <c r="A5308" t="s">
        <v>102</v>
      </c>
    </row>
    <row r="5309" spans="1:1" x14ac:dyDescent="0.2">
      <c r="A5309" t="s">
        <v>102</v>
      </c>
    </row>
    <row r="5310" spans="1:1" x14ac:dyDescent="0.2">
      <c r="A5310" t="s">
        <v>102</v>
      </c>
    </row>
    <row r="5311" spans="1:1" x14ac:dyDescent="0.2">
      <c r="A5311" t="s">
        <v>102</v>
      </c>
    </row>
    <row r="5312" spans="1:1" x14ac:dyDescent="0.2">
      <c r="A5312" t="s">
        <v>102</v>
      </c>
    </row>
    <row r="5313" spans="1:1" x14ac:dyDescent="0.2">
      <c r="A5313" t="s">
        <v>102</v>
      </c>
    </row>
    <row r="5314" spans="1:1" x14ac:dyDescent="0.2">
      <c r="A5314" t="s">
        <v>102</v>
      </c>
    </row>
    <row r="5315" spans="1:1" x14ac:dyDescent="0.2">
      <c r="A5315" t="s">
        <v>102</v>
      </c>
    </row>
    <row r="5316" spans="1:1" x14ac:dyDescent="0.2">
      <c r="A5316" t="s">
        <v>102</v>
      </c>
    </row>
    <row r="5317" spans="1:1" x14ac:dyDescent="0.2">
      <c r="A5317" t="s">
        <v>102</v>
      </c>
    </row>
    <row r="5318" spans="1:1" x14ac:dyDescent="0.2">
      <c r="A5318" t="s">
        <v>102</v>
      </c>
    </row>
    <row r="5319" spans="1:1" x14ac:dyDescent="0.2">
      <c r="A5319" t="s">
        <v>102</v>
      </c>
    </row>
    <row r="5320" spans="1:1" x14ac:dyDescent="0.2">
      <c r="A5320" t="s">
        <v>102</v>
      </c>
    </row>
    <row r="5321" spans="1:1" x14ac:dyDescent="0.2">
      <c r="A5321" t="s">
        <v>102</v>
      </c>
    </row>
    <row r="5322" spans="1:1" x14ac:dyDescent="0.2">
      <c r="A5322" t="s">
        <v>102</v>
      </c>
    </row>
    <row r="5323" spans="1:1" x14ac:dyDescent="0.2">
      <c r="A5323" t="s">
        <v>102</v>
      </c>
    </row>
    <row r="5324" spans="1:1" x14ac:dyDescent="0.2">
      <c r="A5324" t="s">
        <v>102</v>
      </c>
    </row>
    <row r="5325" spans="1:1" x14ac:dyDescent="0.2">
      <c r="A5325" t="s">
        <v>102</v>
      </c>
    </row>
    <row r="5326" spans="1:1" x14ac:dyDescent="0.2">
      <c r="A5326" t="s">
        <v>102</v>
      </c>
    </row>
    <row r="5327" spans="1:1" x14ac:dyDescent="0.2">
      <c r="A5327" t="s">
        <v>102</v>
      </c>
    </row>
    <row r="5328" spans="1:1" x14ac:dyDescent="0.2">
      <c r="A5328" t="s">
        <v>102</v>
      </c>
    </row>
    <row r="5329" spans="1:1" x14ac:dyDescent="0.2">
      <c r="A5329" t="s">
        <v>102</v>
      </c>
    </row>
    <row r="5330" spans="1:1" x14ac:dyDescent="0.2">
      <c r="A5330" t="s">
        <v>102</v>
      </c>
    </row>
    <row r="5331" spans="1:1" x14ac:dyDescent="0.2">
      <c r="A5331" t="s">
        <v>102</v>
      </c>
    </row>
    <row r="5332" spans="1:1" x14ac:dyDescent="0.2">
      <c r="A5332" t="s">
        <v>102</v>
      </c>
    </row>
    <row r="5333" spans="1:1" x14ac:dyDescent="0.2">
      <c r="A5333" t="s">
        <v>102</v>
      </c>
    </row>
    <row r="5334" spans="1:1" x14ac:dyDescent="0.2">
      <c r="A5334" t="s">
        <v>102</v>
      </c>
    </row>
    <row r="5335" spans="1:1" x14ac:dyDescent="0.2">
      <c r="A5335" t="s">
        <v>102</v>
      </c>
    </row>
    <row r="5336" spans="1:1" x14ac:dyDescent="0.2">
      <c r="A5336" t="s">
        <v>102</v>
      </c>
    </row>
    <row r="5337" spans="1:1" x14ac:dyDescent="0.2">
      <c r="A5337" t="s">
        <v>102</v>
      </c>
    </row>
    <row r="5338" spans="1:1" x14ac:dyDescent="0.2">
      <c r="A5338" t="s">
        <v>102</v>
      </c>
    </row>
    <row r="5339" spans="1:1" x14ac:dyDescent="0.2">
      <c r="A5339" t="s">
        <v>102</v>
      </c>
    </row>
    <row r="5340" spans="1:1" x14ac:dyDescent="0.2">
      <c r="A5340" t="s">
        <v>102</v>
      </c>
    </row>
    <row r="5341" spans="1:1" x14ac:dyDescent="0.2">
      <c r="A5341" t="s">
        <v>102</v>
      </c>
    </row>
    <row r="5342" spans="1:1" x14ac:dyDescent="0.2">
      <c r="A5342" t="s">
        <v>102</v>
      </c>
    </row>
    <row r="5343" spans="1:1" x14ac:dyDescent="0.2">
      <c r="A5343" t="s">
        <v>102</v>
      </c>
    </row>
    <row r="5344" spans="1:1" x14ac:dyDescent="0.2">
      <c r="A5344" t="s">
        <v>102</v>
      </c>
    </row>
    <row r="5345" spans="1:1" x14ac:dyDescent="0.2">
      <c r="A5345" t="s">
        <v>102</v>
      </c>
    </row>
    <row r="5346" spans="1:1" x14ac:dyDescent="0.2">
      <c r="A5346" t="s">
        <v>102</v>
      </c>
    </row>
    <row r="5347" spans="1:1" x14ac:dyDescent="0.2">
      <c r="A5347" t="s">
        <v>102</v>
      </c>
    </row>
    <row r="5348" spans="1:1" x14ac:dyDescent="0.2">
      <c r="A5348" t="s">
        <v>102</v>
      </c>
    </row>
    <row r="5349" spans="1:1" x14ac:dyDescent="0.2">
      <c r="A5349" t="s">
        <v>102</v>
      </c>
    </row>
    <row r="5350" spans="1:1" x14ac:dyDescent="0.2">
      <c r="A5350" t="s">
        <v>102</v>
      </c>
    </row>
    <row r="5351" spans="1:1" x14ac:dyDescent="0.2">
      <c r="A5351" t="s">
        <v>102</v>
      </c>
    </row>
    <row r="5352" spans="1:1" x14ac:dyDescent="0.2">
      <c r="A5352" t="s">
        <v>102</v>
      </c>
    </row>
    <row r="5353" spans="1:1" x14ac:dyDescent="0.2">
      <c r="A5353" t="s">
        <v>102</v>
      </c>
    </row>
    <row r="5354" spans="1:1" x14ac:dyDescent="0.2">
      <c r="A5354" t="s">
        <v>102</v>
      </c>
    </row>
    <row r="5355" spans="1:1" x14ac:dyDescent="0.2">
      <c r="A5355" t="s">
        <v>102</v>
      </c>
    </row>
    <row r="5356" spans="1:1" x14ac:dyDescent="0.2">
      <c r="A5356" t="s">
        <v>102</v>
      </c>
    </row>
    <row r="5357" spans="1:1" x14ac:dyDescent="0.2">
      <c r="A5357" t="s">
        <v>102</v>
      </c>
    </row>
    <row r="5358" spans="1:1" x14ac:dyDescent="0.2">
      <c r="A5358" t="s">
        <v>102</v>
      </c>
    </row>
    <row r="5359" spans="1:1" x14ac:dyDescent="0.2">
      <c r="A5359" t="s">
        <v>102</v>
      </c>
    </row>
    <row r="5360" spans="1:1" x14ac:dyDescent="0.2">
      <c r="A5360" t="s">
        <v>102</v>
      </c>
    </row>
    <row r="5361" spans="1:1" x14ac:dyDescent="0.2">
      <c r="A5361" t="s">
        <v>102</v>
      </c>
    </row>
    <row r="5362" spans="1:1" x14ac:dyDescent="0.2">
      <c r="A5362" t="s">
        <v>102</v>
      </c>
    </row>
    <row r="5363" spans="1:1" x14ac:dyDescent="0.2">
      <c r="A5363" t="s">
        <v>102</v>
      </c>
    </row>
    <row r="5364" spans="1:1" x14ac:dyDescent="0.2">
      <c r="A5364" t="s">
        <v>102</v>
      </c>
    </row>
    <row r="5365" spans="1:1" x14ac:dyDescent="0.2">
      <c r="A5365" t="s">
        <v>102</v>
      </c>
    </row>
    <row r="5366" spans="1:1" x14ac:dyDescent="0.2">
      <c r="A5366" t="s">
        <v>102</v>
      </c>
    </row>
    <row r="5367" spans="1:1" x14ac:dyDescent="0.2">
      <c r="A5367" t="s">
        <v>102</v>
      </c>
    </row>
    <row r="5368" spans="1:1" x14ac:dyDescent="0.2">
      <c r="A5368" t="s">
        <v>102</v>
      </c>
    </row>
    <row r="5369" spans="1:1" x14ac:dyDescent="0.2">
      <c r="A5369" t="s">
        <v>102</v>
      </c>
    </row>
    <row r="5370" spans="1:1" x14ac:dyDescent="0.2">
      <c r="A5370" t="s">
        <v>102</v>
      </c>
    </row>
    <row r="5371" spans="1:1" x14ac:dyDescent="0.2">
      <c r="A5371" t="s">
        <v>102</v>
      </c>
    </row>
    <row r="5372" spans="1:1" x14ac:dyDescent="0.2">
      <c r="A5372" t="s">
        <v>102</v>
      </c>
    </row>
    <row r="5373" spans="1:1" x14ac:dyDescent="0.2">
      <c r="A5373" t="s">
        <v>102</v>
      </c>
    </row>
    <row r="5374" spans="1:1" x14ac:dyDescent="0.2">
      <c r="A5374" t="s">
        <v>102</v>
      </c>
    </row>
    <row r="5375" spans="1:1" x14ac:dyDescent="0.2">
      <c r="A5375" t="s">
        <v>102</v>
      </c>
    </row>
    <row r="5376" spans="1:1" x14ac:dyDescent="0.2">
      <c r="A5376" t="s">
        <v>102</v>
      </c>
    </row>
    <row r="5377" spans="1:1" x14ac:dyDescent="0.2">
      <c r="A5377" t="s">
        <v>102</v>
      </c>
    </row>
    <row r="5378" spans="1:1" x14ac:dyDescent="0.2">
      <c r="A5378" t="s">
        <v>102</v>
      </c>
    </row>
    <row r="5379" spans="1:1" x14ac:dyDescent="0.2">
      <c r="A5379" t="s">
        <v>102</v>
      </c>
    </row>
    <row r="5380" spans="1:1" x14ac:dyDescent="0.2">
      <c r="A5380" t="s">
        <v>102</v>
      </c>
    </row>
    <row r="5381" spans="1:1" x14ac:dyDescent="0.2">
      <c r="A5381" t="s">
        <v>102</v>
      </c>
    </row>
    <row r="5382" spans="1:1" x14ac:dyDescent="0.2">
      <c r="A5382" t="s">
        <v>102</v>
      </c>
    </row>
    <row r="5383" spans="1:1" x14ac:dyDescent="0.2">
      <c r="A5383" t="s">
        <v>102</v>
      </c>
    </row>
    <row r="5384" spans="1:1" x14ac:dyDescent="0.2">
      <c r="A5384" t="s">
        <v>102</v>
      </c>
    </row>
    <row r="5385" spans="1:1" x14ac:dyDescent="0.2">
      <c r="A5385" t="s">
        <v>102</v>
      </c>
    </row>
    <row r="5386" spans="1:1" x14ac:dyDescent="0.2">
      <c r="A5386" t="s">
        <v>102</v>
      </c>
    </row>
    <row r="5387" spans="1:1" x14ac:dyDescent="0.2">
      <c r="A5387" t="s">
        <v>102</v>
      </c>
    </row>
    <row r="5388" spans="1:1" x14ac:dyDescent="0.2">
      <c r="A5388" t="s">
        <v>102</v>
      </c>
    </row>
    <row r="5389" spans="1:1" x14ac:dyDescent="0.2">
      <c r="A5389" t="s">
        <v>102</v>
      </c>
    </row>
    <row r="5390" spans="1:1" x14ac:dyDescent="0.2">
      <c r="A5390" t="s">
        <v>102</v>
      </c>
    </row>
    <row r="5391" spans="1:1" x14ac:dyDescent="0.2">
      <c r="A5391" t="s">
        <v>102</v>
      </c>
    </row>
    <row r="5392" spans="1:1" x14ac:dyDescent="0.2">
      <c r="A5392" t="s">
        <v>102</v>
      </c>
    </row>
    <row r="5393" spans="1:1" x14ac:dyDescent="0.2">
      <c r="A5393" t="s">
        <v>102</v>
      </c>
    </row>
    <row r="5394" spans="1:1" x14ac:dyDescent="0.2">
      <c r="A5394" t="s">
        <v>102</v>
      </c>
    </row>
    <row r="5395" spans="1:1" x14ac:dyDescent="0.2">
      <c r="A5395" t="s">
        <v>102</v>
      </c>
    </row>
    <row r="5396" spans="1:1" x14ac:dyDescent="0.2">
      <c r="A5396" t="s">
        <v>102</v>
      </c>
    </row>
    <row r="5397" spans="1:1" x14ac:dyDescent="0.2">
      <c r="A5397" t="s">
        <v>102</v>
      </c>
    </row>
    <row r="5398" spans="1:1" x14ac:dyDescent="0.2">
      <c r="A5398" t="s">
        <v>102</v>
      </c>
    </row>
    <row r="5399" spans="1:1" x14ac:dyDescent="0.2">
      <c r="A5399" t="s">
        <v>102</v>
      </c>
    </row>
    <row r="5400" spans="1:1" x14ac:dyDescent="0.2">
      <c r="A5400" t="s">
        <v>102</v>
      </c>
    </row>
    <row r="5401" spans="1:1" x14ac:dyDescent="0.2">
      <c r="A5401" t="s">
        <v>102</v>
      </c>
    </row>
    <row r="5402" spans="1:1" x14ac:dyDescent="0.2">
      <c r="A5402" t="s">
        <v>102</v>
      </c>
    </row>
    <row r="5403" spans="1:1" x14ac:dyDescent="0.2">
      <c r="A5403" t="s">
        <v>102</v>
      </c>
    </row>
    <row r="5404" spans="1:1" x14ac:dyDescent="0.2">
      <c r="A5404" t="s">
        <v>102</v>
      </c>
    </row>
    <row r="5405" spans="1:1" x14ac:dyDescent="0.2">
      <c r="A5405" t="s">
        <v>102</v>
      </c>
    </row>
    <row r="5406" spans="1:1" x14ac:dyDescent="0.2">
      <c r="A5406" t="s">
        <v>102</v>
      </c>
    </row>
    <row r="5407" spans="1:1" x14ac:dyDescent="0.2">
      <c r="A5407" t="s">
        <v>102</v>
      </c>
    </row>
    <row r="5408" spans="1:1" x14ac:dyDescent="0.2">
      <c r="A5408" t="s">
        <v>102</v>
      </c>
    </row>
    <row r="5409" spans="1:1" x14ac:dyDescent="0.2">
      <c r="A5409" t="s">
        <v>102</v>
      </c>
    </row>
    <row r="5410" spans="1:1" x14ac:dyDescent="0.2">
      <c r="A5410" t="s">
        <v>102</v>
      </c>
    </row>
    <row r="5411" spans="1:1" x14ac:dyDescent="0.2">
      <c r="A5411" t="s">
        <v>102</v>
      </c>
    </row>
    <row r="5412" spans="1:1" x14ac:dyDescent="0.2">
      <c r="A5412" t="s">
        <v>102</v>
      </c>
    </row>
    <row r="5413" spans="1:1" x14ac:dyDescent="0.2">
      <c r="A5413" t="s">
        <v>102</v>
      </c>
    </row>
    <row r="5414" spans="1:1" x14ac:dyDescent="0.2">
      <c r="A5414" t="s">
        <v>102</v>
      </c>
    </row>
    <row r="5415" spans="1:1" x14ac:dyDescent="0.2">
      <c r="A5415" t="s">
        <v>102</v>
      </c>
    </row>
    <row r="5416" spans="1:1" x14ac:dyDescent="0.2">
      <c r="A5416" t="s">
        <v>102</v>
      </c>
    </row>
    <row r="5417" spans="1:1" x14ac:dyDescent="0.2">
      <c r="A5417" t="s">
        <v>102</v>
      </c>
    </row>
    <row r="5418" spans="1:1" x14ac:dyDescent="0.2">
      <c r="A5418" t="s">
        <v>102</v>
      </c>
    </row>
    <row r="5419" spans="1:1" x14ac:dyDescent="0.2">
      <c r="A5419" t="s">
        <v>102</v>
      </c>
    </row>
    <row r="5420" spans="1:1" x14ac:dyDescent="0.2">
      <c r="A5420" t="s">
        <v>102</v>
      </c>
    </row>
    <row r="5421" spans="1:1" x14ac:dyDescent="0.2">
      <c r="A5421" t="s">
        <v>102</v>
      </c>
    </row>
    <row r="5422" spans="1:1" x14ac:dyDescent="0.2">
      <c r="A5422" t="s">
        <v>102</v>
      </c>
    </row>
    <row r="5423" spans="1:1" x14ac:dyDescent="0.2">
      <c r="A5423" t="s">
        <v>102</v>
      </c>
    </row>
    <row r="5424" spans="1:1" x14ac:dyDescent="0.2">
      <c r="A5424" t="s">
        <v>102</v>
      </c>
    </row>
    <row r="5425" spans="1:1" x14ac:dyDescent="0.2">
      <c r="A5425" t="s">
        <v>102</v>
      </c>
    </row>
    <row r="5426" spans="1:1" x14ac:dyDescent="0.2">
      <c r="A5426" t="s">
        <v>102</v>
      </c>
    </row>
    <row r="5427" spans="1:1" x14ac:dyDescent="0.2">
      <c r="A5427" t="s">
        <v>102</v>
      </c>
    </row>
    <row r="5428" spans="1:1" x14ac:dyDescent="0.2">
      <c r="A5428" t="s">
        <v>102</v>
      </c>
    </row>
    <row r="5429" spans="1:1" x14ac:dyDescent="0.2">
      <c r="A5429" t="s">
        <v>102</v>
      </c>
    </row>
    <row r="5430" spans="1:1" x14ac:dyDescent="0.2">
      <c r="A5430" t="s">
        <v>102</v>
      </c>
    </row>
    <row r="5431" spans="1:1" x14ac:dyDescent="0.2">
      <c r="A5431" t="s">
        <v>102</v>
      </c>
    </row>
    <row r="5432" spans="1:1" x14ac:dyDescent="0.2">
      <c r="A5432" t="s">
        <v>102</v>
      </c>
    </row>
    <row r="5433" spans="1:1" x14ac:dyDescent="0.2">
      <c r="A5433" t="s">
        <v>102</v>
      </c>
    </row>
    <row r="5434" spans="1:1" x14ac:dyDescent="0.2">
      <c r="A5434" t="s">
        <v>102</v>
      </c>
    </row>
    <row r="5435" spans="1:1" x14ac:dyDescent="0.2">
      <c r="A5435" t="s">
        <v>102</v>
      </c>
    </row>
    <row r="5436" spans="1:1" x14ac:dyDescent="0.2">
      <c r="A5436" t="s">
        <v>102</v>
      </c>
    </row>
    <row r="5437" spans="1:1" x14ac:dyDescent="0.2">
      <c r="A5437" t="s">
        <v>102</v>
      </c>
    </row>
    <row r="5438" spans="1:1" x14ac:dyDescent="0.2">
      <c r="A5438" t="s">
        <v>102</v>
      </c>
    </row>
    <row r="5439" spans="1:1" x14ac:dyDescent="0.2">
      <c r="A5439" t="s">
        <v>102</v>
      </c>
    </row>
    <row r="5440" spans="1:1" x14ac:dyDescent="0.2">
      <c r="A5440" t="s">
        <v>102</v>
      </c>
    </row>
    <row r="5441" spans="1:1" x14ac:dyDescent="0.2">
      <c r="A5441" t="s">
        <v>102</v>
      </c>
    </row>
    <row r="5442" spans="1:1" x14ac:dyDescent="0.2">
      <c r="A5442" t="s">
        <v>102</v>
      </c>
    </row>
    <row r="5443" spans="1:1" x14ac:dyDescent="0.2">
      <c r="A5443" t="s">
        <v>102</v>
      </c>
    </row>
    <row r="5444" spans="1:1" x14ac:dyDescent="0.2">
      <c r="A5444" t="s">
        <v>102</v>
      </c>
    </row>
    <row r="5445" spans="1:1" x14ac:dyDescent="0.2">
      <c r="A5445" t="s">
        <v>102</v>
      </c>
    </row>
    <row r="5446" spans="1:1" x14ac:dyDescent="0.2">
      <c r="A5446" t="s">
        <v>102</v>
      </c>
    </row>
    <row r="5447" spans="1:1" x14ac:dyDescent="0.2">
      <c r="A5447" t="s">
        <v>102</v>
      </c>
    </row>
    <row r="5448" spans="1:1" x14ac:dyDescent="0.2">
      <c r="A5448" t="s">
        <v>102</v>
      </c>
    </row>
    <row r="5449" spans="1:1" x14ac:dyDescent="0.2">
      <c r="A5449" t="s">
        <v>102</v>
      </c>
    </row>
    <row r="5450" spans="1:1" x14ac:dyDescent="0.2">
      <c r="A5450" t="s">
        <v>102</v>
      </c>
    </row>
    <row r="5451" spans="1:1" x14ac:dyDescent="0.2">
      <c r="A5451" t="s">
        <v>102</v>
      </c>
    </row>
    <row r="5452" spans="1:1" x14ac:dyDescent="0.2">
      <c r="A5452" t="s">
        <v>102</v>
      </c>
    </row>
    <row r="5453" spans="1:1" x14ac:dyDescent="0.2">
      <c r="A5453" t="s">
        <v>102</v>
      </c>
    </row>
    <row r="5454" spans="1:1" x14ac:dyDescent="0.2">
      <c r="A5454" t="s">
        <v>102</v>
      </c>
    </row>
    <row r="5455" spans="1:1" x14ac:dyDescent="0.2">
      <c r="A5455" t="s">
        <v>102</v>
      </c>
    </row>
    <row r="5456" spans="1:1" x14ac:dyDescent="0.2">
      <c r="A5456" t="s">
        <v>102</v>
      </c>
    </row>
    <row r="5457" spans="1:1" x14ac:dyDescent="0.2">
      <c r="A5457" t="s">
        <v>102</v>
      </c>
    </row>
    <row r="5458" spans="1:1" x14ac:dyDescent="0.2">
      <c r="A5458" t="s">
        <v>102</v>
      </c>
    </row>
    <row r="5459" spans="1:1" x14ac:dyDescent="0.2">
      <c r="A5459" t="s">
        <v>102</v>
      </c>
    </row>
    <row r="5460" spans="1:1" x14ac:dyDescent="0.2">
      <c r="A5460" t="s">
        <v>102</v>
      </c>
    </row>
    <row r="5461" spans="1:1" x14ac:dyDescent="0.2">
      <c r="A5461" t="s">
        <v>102</v>
      </c>
    </row>
    <row r="5462" spans="1:1" x14ac:dyDescent="0.2">
      <c r="A5462" t="s">
        <v>102</v>
      </c>
    </row>
    <row r="5463" spans="1:1" x14ac:dyDescent="0.2">
      <c r="A5463" t="s">
        <v>102</v>
      </c>
    </row>
    <row r="5464" spans="1:1" x14ac:dyDescent="0.2">
      <c r="A5464" t="s">
        <v>102</v>
      </c>
    </row>
    <row r="5465" spans="1:1" x14ac:dyDescent="0.2">
      <c r="A5465" t="s">
        <v>102</v>
      </c>
    </row>
    <row r="5466" spans="1:1" x14ac:dyDescent="0.2">
      <c r="A5466" t="s">
        <v>102</v>
      </c>
    </row>
    <row r="5467" spans="1:1" x14ac:dyDescent="0.2">
      <c r="A5467" t="s">
        <v>102</v>
      </c>
    </row>
    <row r="5468" spans="1:1" x14ac:dyDescent="0.2">
      <c r="A5468" t="s">
        <v>102</v>
      </c>
    </row>
    <row r="5469" spans="1:1" x14ac:dyDescent="0.2">
      <c r="A5469" t="s">
        <v>102</v>
      </c>
    </row>
    <row r="5470" spans="1:1" x14ac:dyDescent="0.2">
      <c r="A5470" t="s">
        <v>102</v>
      </c>
    </row>
    <row r="5471" spans="1:1" x14ac:dyDescent="0.2">
      <c r="A5471" t="s">
        <v>102</v>
      </c>
    </row>
    <row r="5472" spans="1:1" x14ac:dyDescent="0.2">
      <c r="A5472" t="s">
        <v>102</v>
      </c>
    </row>
    <row r="5473" spans="1:1" x14ac:dyDescent="0.2">
      <c r="A5473" t="s">
        <v>102</v>
      </c>
    </row>
    <row r="5474" spans="1:1" x14ac:dyDescent="0.2">
      <c r="A5474" t="s">
        <v>102</v>
      </c>
    </row>
    <row r="5475" spans="1:1" x14ac:dyDescent="0.2">
      <c r="A5475" t="s">
        <v>102</v>
      </c>
    </row>
    <row r="5476" spans="1:1" x14ac:dyDescent="0.2">
      <c r="A5476" t="s">
        <v>102</v>
      </c>
    </row>
    <row r="5477" spans="1:1" x14ac:dyDescent="0.2">
      <c r="A5477" t="s">
        <v>102</v>
      </c>
    </row>
    <row r="5478" spans="1:1" x14ac:dyDescent="0.2">
      <c r="A5478" t="s">
        <v>102</v>
      </c>
    </row>
    <row r="5479" spans="1:1" x14ac:dyDescent="0.2">
      <c r="A5479" t="s">
        <v>102</v>
      </c>
    </row>
    <row r="5480" spans="1:1" x14ac:dyDescent="0.2">
      <c r="A5480" t="s">
        <v>102</v>
      </c>
    </row>
    <row r="5481" spans="1:1" x14ac:dyDescent="0.2">
      <c r="A5481" t="s">
        <v>102</v>
      </c>
    </row>
    <row r="5482" spans="1:1" x14ac:dyDescent="0.2">
      <c r="A5482" t="s">
        <v>102</v>
      </c>
    </row>
    <row r="5483" spans="1:1" x14ac:dyDescent="0.2">
      <c r="A5483" t="s">
        <v>102</v>
      </c>
    </row>
    <row r="5484" spans="1:1" x14ac:dyDescent="0.2">
      <c r="A5484" t="s">
        <v>102</v>
      </c>
    </row>
    <row r="5485" spans="1:1" x14ac:dyDescent="0.2">
      <c r="A5485" t="s">
        <v>102</v>
      </c>
    </row>
    <row r="5486" spans="1:1" x14ac:dyDescent="0.2">
      <c r="A5486" t="s">
        <v>102</v>
      </c>
    </row>
    <row r="5487" spans="1:1" x14ac:dyDescent="0.2">
      <c r="A5487" t="s">
        <v>102</v>
      </c>
    </row>
    <row r="5488" spans="1:1" x14ac:dyDescent="0.2">
      <c r="A5488" t="s">
        <v>102</v>
      </c>
    </row>
    <row r="5489" spans="1:1" x14ac:dyDescent="0.2">
      <c r="A5489" t="s">
        <v>102</v>
      </c>
    </row>
    <row r="5490" spans="1:1" x14ac:dyDescent="0.2">
      <c r="A5490" t="s">
        <v>102</v>
      </c>
    </row>
    <row r="5491" spans="1:1" x14ac:dyDescent="0.2">
      <c r="A5491" t="s">
        <v>102</v>
      </c>
    </row>
    <row r="5492" spans="1:1" x14ac:dyDescent="0.2">
      <c r="A5492" t="s">
        <v>102</v>
      </c>
    </row>
    <row r="5493" spans="1:1" x14ac:dyDescent="0.2">
      <c r="A5493" t="s">
        <v>102</v>
      </c>
    </row>
    <row r="5494" spans="1:1" x14ac:dyDescent="0.2">
      <c r="A5494" t="s">
        <v>102</v>
      </c>
    </row>
    <row r="5495" spans="1:1" x14ac:dyDescent="0.2">
      <c r="A5495" t="s">
        <v>102</v>
      </c>
    </row>
    <row r="5496" spans="1:1" x14ac:dyDescent="0.2">
      <c r="A5496" t="s">
        <v>102</v>
      </c>
    </row>
    <row r="5497" spans="1:1" x14ac:dyDescent="0.2">
      <c r="A5497" t="s">
        <v>102</v>
      </c>
    </row>
    <row r="5498" spans="1:1" x14ac:dyDescent="0.2">
      <c r="A5498" t="s">
        <v>102</v>
      </c>
    </row>
    <row r="5499" spans="1:1" x14ac:dyDescent="0.2">
      <c r="A5499" t="s">
        <v>102</v>
      </c>
    </row>
    <row r="5500" spans="1:1" x14ac:dyDescent="0.2">
      <c r="A5500" t="s">
        <v>102</v>
      </c>
    </row>
    <row r="5501" spans="1:1" x14ac:dyDescent="0.2">
      <c r="A5501" t="s">
        <v>102</v>
      </c>
    </row>
    <row r="5502" spans="1:1" x14ac:dyDescent="0.2">
      <c r="A5502" t="s">
        <v>102</v>
      </c>
    </row>
    <row r="5503" spans="1:1" x14ac:dyDescent="0.2">
      <c r="A5503" t="s">
        <v>102</v>
      </c>
    </row>
    <row r="5504" spans="1:1" x14ac:dyDescent="0.2">
      <c r="A5504" t="s">
        <v>102</v>
      </c>
    </row>
    <row r="5505" spans="1:1" x14ac:dyDescent="0.2">
      <c r="A5505" t="s">
        <v>102</v>
      </c>
    </row>
    <row r="5506" spans="1:1" x14ac:dyDescent="0.2">
      <c r="A5506" t="s">
        <v>102</v>
      </c>
    </row>
    <row r="5507" spans="1:1" x14ac:dyDescent="0.2">
      <c r="A5507" t="s">
        <v>102</v>
      </c>
    </row>
    <row r="5508" spans="1:1" x14ac:dyDescent="0.2">
      <c r="A5508" t="s">
        <v>102</v>
      </c>
    </row>
    <row r="5509" spans="1:1" x14ac:dyDescent="0.2">
      <c r="A5509" t="s">
        <v>102</v>
      </c>
    </row>
    <row r="5510" spans="1:1" x14ac:dyDescent="0.2">
      <c r="A5510" t="s">
        <v>102</v>
      </c>
    </row>
    <row r="5511" spans="1:1" x14ac:dyDescent="0.2">
      <c r="A5511" t="s">
        <v>102</v>
      </c>
    </row>
    <row r="5512" spans="1:1" x14ac:dyDescent="0.2">
      <c r="A5512" t="s">
        <v>102</v>
      </c>
    </row>
    <row r="5513" spans="1:1" x14ac:dyDescent="0.2">
      <c r="A5513" t="s">
        <v>102</v>
      </c>
    </row>
    <row r="5514" spans="1:1" x14ac:dyDescent="0.2">
      <c r="A5514" t="s">
        <v>102</v>
      </c>
    </row>
    <row r="5515" spans="1:1" x14ac:dyDescent="0.2">
      <c r="A5515" t="s">
        <v>102</v>
      </c>
    </row>
    <row r="5516" spans="1:1" x14ac:dyDescent="0.2">
      <c r="A5516" t="s">
        <v>102</v>
      </c>
    </row>
    <row r="5517" spans="1:1" x14ac:dyDescent="0.2">
      <c r="A5517" t="s">
        <v>102</v>
      </c>
    </row>
    <row r="5518" spans="1:1" x14ac:dyDescent="0.2">
      <c r="A5518" t="s">
        <v>102</v>
      </c>
    </row>
    <row r="5519" spans="1:1" x14ac:dyDescent="0.2">
      <c r="A5519" t="s">
        <v>102</v>
      </c>
    </row>
    <row r="5520" spans="1:1" x14ac:dyDescent="0.2">
      <c r="A5520" t="s">
        <v>102</v>
      </c>
    </row>
    <row r="5521" spans="1:1" x14ac:dyDescent="0.2">
      <c r="A5521" t="s">
        <v>102</v>
      </c>
    </row>
    <row r="5522" spans="1:1" x14ac:dyDescent="0.2">
      <c r="A5522" t="s">
        <v>102</v>
      </c>
    </row>
    <row r="5523" spans="1:1" x14ac:dyDescent="0.2">
      <c r="A5523" t="s">
        <v>102</v>
      </c>
    </row>
    <row r="5524" spans="1:1" x14ac:dyDescent="0.2">
      <c r="A5524" t="s">
        <v>102</v>
      </c>
    </row>
    <row r="5525" spans="1:1" x14ac:dyDescent="0.2">
      <c r="A5525" t="s">
        <v>102</v>
      </c>
    </row>
    <row r="5526" spans="1:1" x14ac:dyDescent="0.2">
      <c r="A5526" t="s">
        <v>102</v>
      </c>
    </row>
    <row r="5527" spans="1:1" x14ac:dyDescent="0.2">
      <c r="A5527" t="s">
        <v>102</v>
      </c>
    </row>
    <row r="5528" spans="1:1" x14ac:dyDescent="0.2">
      <c r="A5528" t="s">
        <v>102</v>
      </c>
    </row>
    <row r="5529" spans="1:1" x14ac:dyDescent="0.2">
      <c r="A5529" t="s">
        <v>102</v>
      </c>
    </row>
    <row r="5530" spans="1:1" x14ac:dyDescent="0.2">
      <c r="A5530" t="s">
        <v>102</v>
      </c>
    </row>
    <row r="5531" spans="1:1" x14ac:dyDescent="0.2">
      <c r="A5531" t="s">
        <v>102</v>
      </c>
    </row>
    <row r="5532" spans="1:1" x14ac:dyDescent="0.2">
      <c r="A5532" t="s">
        <v>102</v>
      </c>
    </row>
    <row r="5533" spans="1:1" x14ac:dyDescent="0.2">
      <c r="A5533" t="s">
        <v>102</v>
      </c>
    </row>
    <row r="5534" spans="1:1" x14ac:dyDescent="0.2">
      <c r="A5534" t="s">
        <v>102</v>
      </c>
    </row>
    <row r="5535" spans="1:1" x14ac:dyDescent="0.2">
      <c r="A5535" t="s">
        <v>102</v>
      </c>
    </row>
    <row r="5536" spans="1:1" x14ac:dyDescent="0.2">
      <c r="A5536" t="s">
        <v>102</v>
      </c>
    </row>
    <row r="5537" spans="1:1" x14ac:dyDescent="0.2">
      <c r="A5537" t="s">
        <v>102</v>
      </c>
    </row>
    <row r="5538" spans="1:1" x14ac:dyDescent="0.2">
      <c r="A5538" t="s">
        <v>102</v>
      </c>
    </row>
    <row r="5539" spans="1:1" x14ac:dyDescent="0.2">
      <c r="A5539" t="s">
        <v>102</v>
      </c>
    </row>
    <row r="5540" spans="1:1" x14ac:dyDescent="0.2">
      <c r="A5540" t="s">
        <v>102</v>
      </c>
    </row>
    <row r="5541" spans="1:1" x14ac:dyDescent="0.2">
      <c r="A5541" t="s">
        <v>102</v>
      </c>
    </row>
    <row r="5542" spans="1:1" x14ac:dyDescent="0.2">
      <c r="A5542" t="s">
        <v>102</v>
      </c>
    </row>
    <row r="5543" spans="1:1" x14ac:dyDescent="0.2">
      <c r="A5543" t="s">
        <v>102</v>
      </c>
    </row>
    <row r="5544" spans="1:1" x14ac:dyDescent="0.2">
      <c r="A5544" t="s">
        <v>102</v>
      </c>
    </row>
    <row r="5545" spans="1:1" x14ac:dyDescent="0.2">
      <c r="A5545" t="s">
        <v>102</v>
      </c>
    </row>
    <row r="5546" spans="1:1" x14ac:dyDescent="0.2">
      <c r="A5546" t="s">
        <v>102</v>
      </c>
    </row>
    <row r="5547" spans="1:1" x14ac:dyDescent="0.2">
      <c r="A5547" t="s">
        <v>102</v>
      </c>
    </row>
    <row r="5548" spans="1:1" x14ac:dyDescent="0.2">
      <c r="A5548" t="s">
        <v>102</v>
      </c>
    </row>
    <row r="5549" spans="1:1" x14ac:dyDescent="0.2">
      <c r="A5549" t="s">
        <v>102</v>
      </c>
    </row>
    <row r="5550" spans="1:1" x14ac:dyDescent="0.2">
      <c r="A5550" t="s">
        <v>102</v>
      </c>
    </row>
    <row r="5551" spans="1:1" x14ac:dyDescent="0.2">
      <c r="A5551" t="s">
        <v>102</v>
      </c>
    </row>
    <row r="5552" spans="1:1" x14ac:dyDescent="0.2">
      <c r="A5552" t="s">
        <v>102</v>
      </c>
    </row>
    <row r="5553" spans="1:1" x14ac:dyDescent="0.2">
      <c r="A5553" t="s">
        <v>102</v>
      </c>
    </row>
    <row r="5554" spans="1:1" x14ac:dyDescent="0.2">
      <c r="A5554" t="s">
        <v>102</v>
      </c>
    </row>
    <row r="5555" spans="1:1" x14ac:dyDescent="0.2">
      <c r="A5555" t="s">
        <v>102</v>
      </c>
    </row>
    <row r="5556" spans="1:1" x14ac:dyDescent="0.2">
      <c r="A5556" t="s">
        <v>102</v>
      </c>
    </row>
    <row r="5557" spans="1:1" x14ac:dyDescent="0.2">
      <c r="A5557" t="s">
        <v>102</v>
      </c>
    </row>
    <row r="5558" spans="1:1" x14ac:dyDescent="0.2">
      <c r="A5558" t="s">
        <v>102</v>
      </c>
    </row>
    <row r="5559" spans="1:1" x14ac:dyDescent="0.2">
      <c r="A5559" t="s">
        <v>102</v>
      </c>
    </row>
    <row r="5560" spans="1:1" x14ac:dyDescent="0.2">
      <c r="A5560" t="s">
        <v>102</v>
      </c>
    </row>
    <row r="5561" spans="1:1" x14ac:dyDescent="0.2">
      <c r="A5561" t="s">
        <v>102</v>
      </c>
    </row>
    <row r="5562" spans="1:1" x14ac:dyDescent="0.2">
      <c r="A5562" t="s">
        <v>102</v>
      </c>
    </row>
    <row r="5563" spans="1:1" x14ac:dyDescent="0.2">
      <c r="A5563" t="s">
        <v>102</v>
      </c>
    </row>
    <row r="5564" spans="1:1" x14ac:dyDescent="0.2">
      <c r="A5564" t="s">
        <v>102</v>
      </c>
    </row>
    <row r="5565" spans="1:1" x14ac:dyDescent="0.2">
      <c r="A5565" t="s">
        <v>102</v>
      </c>
    </row>
    <row r="5566" spans="1:1" x14ac:dyDescent="0.2">
      <c r="A5566" t="s">
        <v>102</v>
      </c>
    </row>
    <row r="5567" spans="1:1" x14ac:dyDescent="0.2">
      <c r="A5567" t="s">
        <v>102</v>
      </c>
    </row>
    <row r="5568" spans="1:1" x14ac:dyDescent="0.2">
      <c r="A5568" t="s">
        <v>102</v>
      </c>
    </row>
    <row r="5569" spans="1:1" x14ac:dyDescent="0.2">
      <c r="A5569" t="s">
        <v>102</v>
      </c>
    </row>
    <row r="5570" spans="1:1" x14ac:dyDescent="0.2">
      <c r="A5570" t="s">
        <v>102</v>
      </c>
    </row>
    <row r="5571" spans="1:1" x14ac:dyDescent="0.2">
      <c r="A5571" t="s">
        <v>102</v>
      </c>
    </row>
    <row r="5572" spans="1:1" x14ac:dyDescent="0.2">
      <c r="A5572" t="s">
        <v>102</v>
      </c>
    </row>
    <row r="5573" spans="1:1" x14ac:dyDescent="0.2">
      <c r="A5573" t="s">
        <v>102</v>
      </c>
    </row>
    <row r="5574" spans="1:1" x14ac:dyDescent="0.2">
      <c r="A5574" t="s">
        <v>102</v>
      </c>
    </row>
    <row r="5575" spans="1:1" x14ac:dyDescent="0.2">
      <c r="A5575" t="s">
        <v>102</v>
      </c>
    </row>
    <row r="5576" spans="1:1" x14ac:dyDescent="0.2">
      <c r="A5576" t="s">
        <v>102</v>
      </c>
    </row>
    <row r="5577" spans="1:1" x14ac:dyDescent="0.2">
      <c r="A5577" t="s">
        <v>102</v>
      </c>
    </row>
    <row r="5578" spans="1:1" x14ac:dyDescent="0.2">
      <c r="A5578" t="s">
        <v>102</v>
      </c>
    </row>
    <row r="5579" spans="1:1" x14ac:dyDescent="0.2">
      <c r="A5579" t="s">
        <v>102</v>
      </c>
    </row>
    <row r="5580" spans="1:1" x14ac:dyDescent="0.2">
      <c r="A5580" t="s">
        <v>102</v>
      </c>
    </row>
    <row r="5581" spans="1:1" x14ac:dyDescent="0.2">
      <c r="A5581" t="s">
        <v>102</v>
      </c>
    </row>
    <row r="5582" spans="1:1" x14ac:dyDescent="0.2">
      <c r="A5582" t="s">
        <v>102</v>
      </c>
    </row>
    <row r="5583" spans="1:1" x14ac:dyDescent="0.2">
      <c r="A5583" t="s">
        <v>102</v>
      </c>
    </row>
    <row r="5584" spans="1:1" x14ac:dyDescent="0.2">
      <c r="A5584" t="s">
        <v>102</v>
      </c>
    </row>
    <row r="5585" spans="1:1" x14ac:dyDescent="0.2">
      <c r="A5585" t="s">
        <v>102</v>
      </c>
    </row>
    <row r="5586" spans="1:1" x14ac:dyDescent="0.2">
      <c r="A5586" t="s">
        <v>102</v>
      </c>
    </row>
    <row r="5587" spans="1:1" x14ac:dyDescent="0.2">
      <c r="A5587" t="s">
        <v>102</v>
      </c>
    </row>
    <row r="5588" spans="1:1" x14ac:dyDescent="0.2">
      <c r="A5588" t="s">
        <v>102</v>
      </c>
    </row>
    <row r="5589" spans="1:1" x14ac:dyDescent="0.2">
      <c r="A5589" t="s">
        <v>102</v>
      </c>
    </row>
    <row r="5590" spans="1:1" x14ac:dyDescent="0.2">
      <c r="A5590" t="s">
        <v>102</v>
      </c>
    </row>
    <row r="5591" spans="1:1" x14ac:dyDescent="0.2">
      <c r="A5591" t="s">
        <v>102</v>
      </c>
    </row>
    <row r="5592" spans="1:1" x14ac:dyDescent="0.2">
      <c r="A5592" t="s">
        <v>102</v>
      </c>
    </row>
    <row r="5593" spans="1:1" x14ac:dyDescent="0.2">
      <c r="A5593" t="s">
        <v>102</v>
      </c>
    </row>
    <row r="5594" spans="1:1" x14ac:dyDescent="0.2">
      <c r="A5594" t="s">
        <v>102</v>
      </c>
    </row>
    <row r="5595" spans="1:1" x14ac:dyDescent="0.2">
      <c r="A5595" t="s">
        <v>102</v>
      </c>
    </row>
    <row r="5596" spans="1:1" x14ac:dyDescent="0.2">
      <c r="A5596" t="s">
        <v>102</v>
      </c>
    </row>
    <row r="5597" spans="1:1" x14ac:dyDescent="0.2">
      <c r="A5597" t="s">
        <v>102</v>
      </c>
    </row>
    <row r="5598" spans="1:1" x14ac:dyDescent="0.2">
      <c r="A5598" t="s">
        <v>102</v>
      </c>
    </row>
    <row r="5599" spans="1:1" x14ac:dyDescent="0.2">
      <c r="A5599" t="s">
        <v>102</v>
      </c>
    </row>
    <row r="5600" spans="1:1" x14ac:dyDescent="0.2">
      <c r="A5600" t="s">
        <v>102</v>
      </c>
    </row>
    <row r="5601" spans="1:1" x14ac:dyDescent="0.2">
      <c r="A5601" t="s">
        <v>102</v>
      </c>
    </row>
    <row r="5602" spans="1:1" x14ac:dyDescent="0.2">
      <c r="A5602" t="s">
        <v>102</v>
      </c>
    </row>
    <row r="5603" spans="1:1" x14ac:dyDescent="0.2">
      <c r="A5603" t="s">
        <v>102</v>
      </c>
    </row>
    <row r="5604" spans="1:1" x14ac:dyDescent="0.2">
      <c r="A5604" t="s">
        <v>102</v>
      </c>
    </row>
    <row r="5605" spans="1:1" x14ac:dyDescent="0.2">
      <c r="A5605" t="s">
        <v>102</v>
      </c>
    </row>
    <row r="5606" spans="1:1" x14ac:dyDescent="0.2">
      <c r="A5606" t="s">
        <v>102</v>
      </c>
    </row>
    <row r="5607" spans="1:1" x14ac:dyDescent="0.2">
      <c r="A5607" t="s">
        <v>102</v>
      </c>
    </row>
    <row r="5608" spans="1:1" x14ac:dyDescent="0.2">
      <c r="A5608" t="s">
        <v>102</v>
      </c>
    </row>
    <row r="5609" spans="1:1" x14ac:dyDescent="0.2">
      <c r="A5609" t="s">
        <v>102</v>
      </c>
    </row>
    <row r="5610" spans="1:1" x14ac:dyDescent="0.2">
      <c r="A5610" t="s">
        <v>102</v>
      </c>
    </row>
    <row r="5611" spans="1:1" x14ac:dyDescent="0.2">
      <c r="A5611" t="s">
        <v>102</v>
      </c>
    </row>
    <row r="5612" spans="1:1" x14ac:dyDescent="0.2">
      <c r="A5612" t="s">
        <v>102</v>
      </c>
    </row>
    <row r="5613" spans="1:1" x14ac:dyDescent="0.2">
      <c r="A5613" t="s">
        <v>102</v>
      </c>
    </row>
    <row r="5614" spans="1:1" x14ac:dyDescent="0.2">
      <c r="A5614" t="s">
        <v>102</v>
      </c>
    </row>
    <row r="5615" spans="1:1" x14ac:dyDescent="0.2">
      <c r="A5615" t="s">
        <v>102</v>
      </c>
    </row>
    <row r="5616" spans="1:1" x14ac:dyDescent="0.2">
      <c r="A5616" t="s">
        <v>102</v>
      </c>
    </row>
    <row r="5617" spans="1:1" x14ac:dyDescent="0.2">
      <c r="A5617" t="s">
        <v>102</v>
      </c>
    </row>
    <row r="5618" spans="1:1" x14ac:dyDescent="0.2">
      <c r="A5618" t="s">
        <v>102</v>
      </c>
    </row>
    <row r="5619" spans="1:1" x14ac:dyDescent="0.2">
      <c r="A5619" t="s">
        <v>102</v>
      </c>
    </row>
    <row r="5620" spans="1:1" x14ac:dyDescent="0.2">
      <c r="A5620" t="s">
        <v>102</v>
      </c>
    </row>
    <row r="5621" spans="1:1" x14ac:dyDescent="0.2">
      <c r="A5621" t="s">
        <v>102</v>
      </c>
    </row>
    <row r="5622" spans="1:1" x14ac:dyDescent="0.2">
      <c r="A5622" t="s">
        <v>102</v>
      </c>
    </row>
    <row r="5623" spans="1:1" x14ac:dyDescent="0.2">
      <c r="A5623" t="s">
        <v>102</v>
      </c>
    </row>
    <row r="5624" spans="1:1" x14ac:dyDescent="0.2">
      <c r="A5624" t="s">
        <v>102</v>
      </c>
    </row>
    <row r="5625" spans="1:1" x14ac:dyDescent="0.2">
      <c r="A5625" t="s">
        <v>102</v>
      </c>
    </row>
    <row r="5626" spans="1:1" x14ac:dyDescent="0.2">
      <c r="A5626" t="s">
        <v>102</v>
      </c>
    </row>
    <row r="5627" spans="1:1" x14ac:dyDescent="0.2">
      <c r="A5627" t="s">
        <v>102</v>
      </c>
    </row>
    <row r="5628" spans="1:1" x14ac:dyDescent="0.2">
      <c r="A5628" t="s">
        <v>102</v>
      </c>
    </row>
    <row r="5629" spans="1:1" x14ac:dyDescent="0.2">
      <c r="A5629" t="s">
        <v>102</v>
      </c>
    </row>
    <row r="5630" spans="1:1" x14ac:dyDescent="0.2">
      <c r="A5630" t="s">
        <v>102</v>
      </c>
    </row>
    <row r="5631" spans="1:1" x14ac:dyDescent="0.2">
      <c r="A5631" t="s">
        <v>102</v>
      </c>
    </row>
    <row r="5632" spans="1:1" x14ac:dyDescent="0.2">
      <c r="A5632" t="s">
        <v>102</v>
      </c>
    </row>
    <row r="5633" spans="1:1" x14ac:dyDescent="0.2">
      <c r="A5633" t="s">
        <v>102</v>
      </c>
    </row>
    <row r="5634" spans="1:1" x14ac:dyDescent="0.2">
      <c r="A5634" t="s">
        <v>102</v>
      </c>
    </row>
    <row r="5635" spans="1:1" x14ac:dyDescent="0.2">
      <c r="A5635" t="s">
        <v>102</v>
      </c>
    </row>
    <row r="5636" spans="1:1" x14ac:dyDescent="0.2">
      <c r="A5636" t="s">
        <v>102</v>
      </c>
    </row>
    <row r="5637" spans="1:1" x14ac:dyDescent="0.2">
      <c r="A5637" t="s">
        <v>102</v>
      </c>
    </row>
    <row r="5638" spans="1:1" x14ac:dyDescent="0.2">
      <c r="A5638" t="s">
        <v>102</v>
      </c>
    </row>
    <row r="5639" spans="1:1" x14ac:dyDescent="0.2">
      <c r="A5639" t="s">
        <v>102</v>
      </c>
    </row>
    <row r="5640" spans="1:1" x14ac:dyDescent="0.2">
      <c r="A5640" t="s">
        <v>102</v>
      </c>
    </row>
    <row r="5641" spans="1:1" x14ac:dyDescent="0.2">
      <c r="A5641" t="s">
        <v>102</v>
      </c>
    </row>
    <row r="5642" spans="1:1" x14ac:dyDescent="0.2">
      <c r="A5642" t="s">
        <v>102</v>
      </c>
    </row>
    <row r="5643" spans="1:1" x14ac:dyDescent="0.2">
      <c r="A5643" t="s">
        <v>102</v>
      </c>
    </row>
    <row r="5644" spans="1:1" x14ac:dyDescent="0.2">
      <c r="A5644" t="s">
        <v>102</v>
      </c>
    </row>
    <row r="5645" spans="1:1" x14ac:dyDescent="0.2">
      <c r="A5645" t="s">
        <v>102</v>
      </c>
    </row>
    <row r="5646" spans="1:1" x14ac:dyDescent="0.2">
      <c r="A5646" t="s">
        <v>102</v>
      </c>
    </row>
    <row r="5647" spans="1:1" x14ac:dyDescent="0.2">
      <c r="A5647" t="s">
        <v>102</v>
      </c>
    </row>
    <row r="5648" spans="1:1" x14ac:dyDescent="0.2">
      <c r="A5648" t="s">
        <v>102</v>
      </c>
    </row>
    <row r="5649" spans="1:1" x14ac:dyDescent="0.2">
      <c r="A5649" t="s">
        <v>102</v>
      </c>
    </row>
    <row r="5650" spans="1:1" x14ac:dyDescent="0.2">
      <c r="A5650" t="s">
        <v>102</v>
      </c>
    </row>
    <row r="5651" spans="1:1" x14ac:dyDescent="0.2">
      <c r="A5651" t="s">
        <v>102</v>
      </c>
    </row>
    <row r="5652" spans="1:1" x14ac:dyDescent="0.2">
      <c r="A5652" t="s">
        <v>102</v>
      </c>
    </row>
    <row r="5653" spans="1:1" x14ac:dyDescent="0.2">
      <c r="A5653" t="s">
        <v>102</v>
      </c>
    </row>
    <row r="5654" spans="1:1" x14ac:dyDescent="0.2">
      <c r="A5654" t="s">
        <v>102</v>
      </c>
    </row>
    <row r="5655" spans="1:1" x14ac:dyDescent="0.2">
      <c r="A5655" t="s">
        <v>102</v>
      </c>
    </row>
    <row r="5656" spans="1:1" x14ac:dyDescent="0.2">
      <c r="A5656" t="s">
        <v>102</v>
      </c>
    </row>
    <row r="5657" spans="1:1" x14ac:dyDescent="0.2">
      <c r="A5657" t="s">
        <v>102</v>
      </c>
    </row>
    <row r="5658" spans="1:1" x14ac:dyDescent="0.2">
      <c r="A5658" t="s">
        <v>102</v>
      </c>
    </row>
    <row r="5659" spans="1:1" x14ac:dyDescent="0.2">
      <c r="A5659" t="s">
        <v>102</v>
      </c>
    </row>
    <row r="5660" spans="1:1" x14ac:dyDescent="0.2">
      <c r="A5660" t="s">
        <v>102</v>
      </c>
    </row>
    <row r="5661" spans="1:1" x14ac:dyDescent="0.2">
      <c r="A5661" t="s">
        <v>102</v>
      </c>
    </row>
    <row r="5662" spans="1:1" x14ac:dyDescent="0.2">
      <c r="A5662" t="s">
        <v>102</v>
      </c>
    </row>
    <row r="5663" spans="1:1" x14ac:dyDescent="0.2">
      <c r="A5663" t="s">
        <v>102</v>
      </c>
    </row>
    <row r="5664" spans="1:1" x14ac:dyDescent="0.2">
      <c r="A5664" t="s">
        <v>102</v>
      </c>
    </row>
    <row r="5665" spans="1:1" x14ac:dyDescent="0.2">
      <c r="A5665" t="s">
        <v>102</v>
      </c>
    </row>
    <row r="5666" spans="1:1" x14ac:dyDescent="0.2">
      <c r="A5666" t="s">
        <v>102</v>
      </c>
    </row>
    <row r="5667" spans="1:1" x14ac:dyDescent="0.2">
      <c r="A5667" t="s">
        <v>102</v>
      </c>
    </row>
    <row r="5668" spans="1:1" x14ac:dyDescent="0.2">
      <c r="A5668" t="s">
        <v>102</v>
      </c>
    </row>
    <row r="5669" spans="1:1" x14ac:dyDescent="0.2">
      <c r="A5669" t="s">
        <v>102</v>
      </c>
    </row>
    <row r="5670" spans="1:1" x14ac:dyDescent="0.2">
      <c r="A5670" t="s">
        <v>102</v>
      </c>
    </row>
    <row r="5671" spans="1:1" x14ac:dyDescent="0.2">
      <c r="A5671" t="s">
        <v>102</v>
      </c>
    </row>
    <row r="5672" spans="1:1" x14ac:dyDescent="0.2">
      <c r="A5672" t="s">
        <v>102</v>
      </c>
    </row>
    <row r="5673" spans="1:1" x14ac:dyDescent="0.2">
      <c r="A5673" t="s">
        <v>102</v>
      </c>
    </row>
    <row r="5674" spans="1:1" x14ac:dyDescent="0.2">
      <c r="A5674" t="s">
        <v>102</v>
      </c>
    </row>
    <row r="5675" spans="1:1" x14ac:dyDescent="0.2">
      <c r="A5675" t="s">
        <v>102</v>
      </c>
    </row>
    <row r="5676" spans="1:1" x14ac:dyDescent="0.2">
      <c r="A5676" t="s">
        <v>102</v>
      </c>
    </row>
    <row r="5677" spans="1:1" x14ac:dyDescent="0.2">
      <c r="A5677" t="s">
        <v>102</v>
      </c>
    </row>
    <row r="5678" spans="1:1" x14ac:dyDescent="0.2">
      <c r="A5678" t="s">
        <v>102</v>
      </c>
    </row>
    <row r="5679" spans="1:1" x14ac:dyDescent="0.2">
      <c r="A5679" t="s">
        <v>102</v>
      </c>
    </row>
    <row r="5680" spans="1:1" x14ac:dyDescent="0.2">
      <c r="A5680" t="s">
        <v>102</v>
      </c>
    </row>
    <row r="5681" spans="1:1" x14ac:dyDescent="0.2">
      <c r="A5681" t="s">
        <v>102</v>
      </c>
    </row>
    <row r="5682" spans="1:1" x14ac:dyDescent="0.2">
      <c r="A5682" t="s">
        <v>102</v>
      </c>
    </row>
    <row r="5683" spans="1:1" x14ac:dyDescent="0.2">
      <c r="A5683" t="s">
        <v>102</v>
      </c>
    </row>
    <row r="5684" spans="1:1" x14ac:dyDescent="0.2">
      <c r="A5684" t="s">
        <v>102</v>
      </c>
    </row>
    <row r="5685" spans="1:1" x14ac:dyDescent="0.2">
      <c r="A5685" t="s">
        <v>102</v>
      </c>
    </row>
    <row r="5686" spans="1:1" x14ac:dyDescent="0.2">
      <c r="A5686" t="s">
        <v>102</v>
      </c>
    </row>
    <row r="5687" spans="1:1" x14ac:dyDescent="0.2">
      <c r="A5687" t="s">
        <v>102</v>
      </c>
    </row>
    <row r="5688" spans="1:1" x14ac:dyDescent="0.2">
      <c r="A5688" t="s">
        <v>102</v>
      </c>
    </row>
    <row r="5689" spans="1:1" x14ac:dyDescent="0.2">
      <c r="A5689" t="s">
        <v>102</v>
      </c>
    </row>
    <row r="5690" spans="1:1" x14ac:dyDescent="0.2">
      <c r="A5690" t="s">
        <v>102</v>
      </c>
    </row>
    <row r="5691" spans="1:1" x14ac:dyDescent="0.2">
      <c r="A5691" t="s">
        <v>102</v>
      </c>
    </row>
    <row r="5692" spans="1:1" x14ac:dyDescent="0.2">
      <c r="A5692" t="s">
        <v>102</v>
      </c>
    </row>
    <row r="5693" spans="1:1" x14ac:dyDescent="0.2">
      <c r="A5693" t="s">
        <v>102</v>
      </c>
    </row>
    <row r="5694" spans="1:1" x14ac:dyDescent="0.2">
      <c r="A5694" t="s">
        <v>102</v>
      </c>
    </row>
    <row r="5695" spans="1:1" x14ac:dyDescent="0.2">
      <c r="A5695" t="s">
        <v>102</v>
      </c>
    </row>
    <row r="5696" spans="1:1" x14ac:dyDescent="0.2">
      <c r="A5696" t="s">
        <v>102</v>
      </c>
    </row>
    <row r="5697" spans="1:1" x14ac:dyDescent="0.2">
      <c r="A5697" t="s">
        <v>102</v>
      </c>
    </row>
    <row r="5698" spans="1:1" x14ac:dyDescent="0.2">
      <c r="A5698" t="s">
        <v>102</v>
      </c>
    </row>
    <row r="5699" spans="1:1" x14ac:dyDescent="0.2">
      <c r="A5699" t="s">
        <v>102</v>
      </c>
    </row>
    <row r="5700" spans="1:1" x14ac:dyDescent="0.2">
      <c r="A5700" t="s">
        <v>102</v>
      </c>
    </row>
    <row r="5701" spans="1:1" x14ac:dyDescent="0.2">
      <c r="A5701" t="s">
        <v>102</v>
      </c>
    </row>
    <row r="5702" spans="1:1" x14ac:dyDescent="0.2">
      <c r="A5702" t="s">
        <v>102</v>
      </c>
    </row>
    <row r="5703" spans="1:1" x14ac:dyDescent="0.2">
      <c r="A5703" t="s">
        <v>102</v>
      </c>
    </row>
    <row r="5704" spans="1:1" x14ac:dyDescent="0.2">
      <c r="A5704" t="s">
        <v>102</v>
      </c>
    </row>
    <row r="5705" spans="1:1" x14ac:dyDescent="0.2">
      <c r="A5705" t="s">
        <v>102</v>
      </c>
    </row>
    <row r="5706" spans="1:1" x14ac:dyDescent="0.2">
      <c r="A5706" t="s">
        <v>102</v>
      </c>
    </row>
    <row r="5707" spans="1:1" x14ac:dyDescent="0.2">
      <c r="A5707" t="s">
        <v>102</v>
      </c>
    </row>
    <row r="5708" spans="1:1" x14ac:dyDescent="0.2">
      <c r="A5708" t="s">
        <v>102</v>
      </c>
    </row>
    <row r="5709" spans="1:1" x14ac:dyDescent="0.2">
      <c r="A5709" t="s">
        <v>102</v>
      </c>
    </row>
    <row r="5710" spans="1:1" x14ac:dyDescent="0.2">
      <c r="A5710" t="s">
        <v>102</v>
      </c>
    </row>
    <row r="5711" spans="1:1" x14ac:dyDescent="0.2">
      <c r="A5711" t="s">
        <v>102</v>
      </c>
    </row>
    <row r="5712" spans="1:1" x14ac:dyDescent="0.2">
      <c r="A5712" t="s">
        <v>102</v>
      </c>
    </row>
    <row r="5713" spans="1:1" x14ac:dyDescent="0.2">
      <c r="A5713" t="s">
        <v>102</v>
      </c>
    </row>
    <row r="5714" spans="1:1" x14ac:dyDescent="0.2">
      <c r="A5714" t="s">
        <v>102</v>
      </c>
    </row>
    <row r="5715" spans="1:1" x14ac:dyDescent="0.2">
      <c r="A5715" t="s">
        <v>102</v>
      </c>
    </row>
    <row r="5716" spans="1:1" x14ac:dyDescent="0.2">
      <c r="A5716" t="s">
        <v>102</v>
      </c>
    </row>
    <row r="5717" spans="1:1" x14ac:dyDescent="0.2">
      <c r="A5717" t="s">
        <v>102</v>
      </c>
    </row>
    <row r="5718" spans="1:1" x14ac:dyDescent="0.2">
      <c r="A5718" t="s">
        <v>102</v>
      </c>
    </row>
    <row r="5719" spans="1:1" x14ac:dyDescent="0.2">
      <c r="A5719" t="s">
        <v>102</v>
      </c>
    </row>
    <row r="5720" spans="1:1" x14ac:dyDescent="0.2">
      <c r="A5720" t="s">
        <v>102</v>
      </c>
    </row>
    <row r="5721" spans="1:1" x14ac:dyDescent="0.2">
      <c r="A5721" t="s">
        <v>102</v>
      </c>
    </row>
    <row r="5722" spans="1:1" x14ac:dyDescent="0.2">
      <c r="A5722" t="s">
        <v>102</v>
      </c>
    </row>
    <row r="5723" spans="1:1" x14ac:dyDescent="0.2">
      <c r="A5723" t="s">
        <v>102</v>
      </c>
    </row>
    <row r="5724" spans="1:1" x14ac:dyDescent="0.2">
      <c r="A5724" t="s">
        <v>102</v>
      </c>
    </row>
    <row r="5725" spans="1:1" x14ac:dyDescent="0.2">
      <c r="A5725" t="s">
        <v>102</v>
      </c>
    </row>
    <row r="5726" spans="1:1" x14ac:dyDescent="0.2">
      <c r="A5726" t="s">
        <v>102</v>
      </c>
    </row>
    <row r="5727" spans="1:1" x14ac:dyDescent="0.2">
      <c r="A5727" t="s">
        <v>102</v>
      </c>
    </row>
    <row r="5728" spans="1:1" x14ac:dyDescent="0.2">
      <c r="A5728" t="s">
        <v>102</v>
      </c>
    </row>
    <row r="5729" spans="1:1" x14ac:dyDescent="0.2">
      <c r="A5729" t="s">
        <v>102</v>
      </c>
    </row>
    <row r="5730" spans="1:1" x14ac:dyDescent="0.2">
      <c r="A5730" t="s">
        <v>102</v>
      </c>
    </row>
    <row r="5731" spans="1:1" x14ac:dyDescent="0.2">
      <c r="A5731" t="s">
        <v>102</v>
      </c>
    </row>
    <row r="5732" spans="1:1" x14ac:dyDescent="0.2">
      <c r="A5732" t="s">
        <v>102</v>
      </c>
    </row>
    <row r="5733" spans="1:1" x14ac:dyDescent="0.2">
      <c r="A5733" t="s">
        <v>102</v>
      </c>
    </row>
    <row r="5734" spans="1:1" x14ac:dyDescent="0.2">
      <c r="A5734" t="s">
        <v>102</v>
      </c>
    </row>
    <row r="5735" spans="1:1" x14ac:dyDescent="0.2">
      <c r="A5735" t="s">
        <v>102</v>
      </c>
    </row>
    <row r="5736" spans="1:1" x14ac:dyDescent="0.2">
      <c r="A5736" t="s">
        <v>102</v>
      </c>
    </row>
    <row r="5737" spans="1:1" x14ac:dyDescent="0.2">
      <c r="A5737" t="s">
        <v>102</v>
      </c>
    </row>
    <row r="5738" spans="1:1" x14ac:dyDescent="0.2">
      <c r="A5738" t="s">
        <v>102</v>
      </c>
    </row>
    <row r="5739" spans="1:1" x14ac:dyDescent="0.2">
      <c r="A5739" t="s">
        <v>102</v>
      </c>
    </row>
    <row r="5740" spans="1:1" x14ac:dyDescent="0.2">
      <c r="A5740" t="s">
        <v>102</v>
      </c>
    </row>
    <row r="5741" spans="1:1" x14ac:dyDescent="0.2">
      <c r="A5741" t="s">
        <v>102</v>
      </c>
    </row>
    <row r="5742" spans="1:1" x14ac:dyDescent="0.2">
      <c r="A5742" t="s">
        <v>102</v>
      </c>
    </row>
    <row r="5743" spans="1:1" x14ac:dyDescent="0.2">
      <c r="A5743" t="s">
        <v>102</v>
      </c>
    </row>
    <row r="5744" spans="1:1" x14ac:dyDescent="0.2">
      <c r="A5744" t="s">
        <v>102</v>
      </c>
    </row>
    <row r="5745" spans="1:1" x14ac:dyDescent="0.2">
      <c r="A5745" t="s">
        <v>102</v>
      </c>
    </row>
    <row r="5746" spans="1:1" x14ac:dyDescent="0.2">
      <c r="A5746" t="s">
        <v>102</v>
      </c>
    </row>
    <row r="5747" spans="1:1" x14ac:dyDescent="0.2">
      <c r="A5747" t="s">
        <v>102</v>
      </c>
    </row>
    <row r="5748" spans="1:1" x14ac:dyDescent="0.2">
      <c r="A5748" t="s">
        <v>102</v>
      </c>
    </row>
    <row r="5749" spans="1:1" x14ac:dyDescent="0.2">
      <c r="A5749" t="s">
        <v>102</v>
      </c>
    </row>
    <row r="5750" spans="1:1" x14ac:dyDescent="0.2">
      <c r="A5750" t="s">
        <v>102</v>
      </c>
    </row>
    <row r="5751" spans="1:1" x14ac:dyDescent="0.2">
      <c r="A5751" t="s">
        <v>102</v>
      </c>
    </row>
    <row r="5752" spans="1:1" x14ac:dyDescent="0.2">
      <c r="A5752" t="s">
        <v>102</v>
      </c>
    </row>
    <row r="5753" spans="1:1" x14ac:dyDescent="0.2">
      <c r="A5753" t="s">
        <v>102</v>
      </c>
    </row>
    <row r="5754" spans="1:1" x14ac:dyDescent="0.2">
      <c r="A5754" t="s">
        <v>102</v>
      </c>
    </row>
    <row r="5755" spans="1:1" x14ac:dyDescent="0.2">
      <c r="A5755" t="s">
        <v>102</v>
      </c>
    </row>
    <row r="5756" spans="1:1" x14ac:dyDescent="0.2">
      <c r="A5756" t="s">
        <v>102</v>
      </c>
    </row>
    <row r="5757" spans="1:1" x14ac:dyDescent="0.2">
      <c r="A5757" t="s">
        <v>102</v>
      </c>
    </row>
    <row r="5758" spans="1:1" x14ac:dyDescent="0.2">
      <c r="A5758" t="s">
        <v>102</v>
      </c>
    </row>
    <row r="5759" spans="1:1" x14ac:dyDescent="0.2">
      <c r="A5759" t="s">
        <v>102</v>
      </c>
    </row>
    <row r="5760" spans="1:1" x14ac:dyDescent="0.2">
      <c r="A5760" t="s">
        <v>102</v>
      </c>
    </row>
    <row r="5761" spans="1:1" x14ac:dyDescent="0.2">
      <c r="A5761" t="s">
        <v>102</v>
      </c>
    </row>
    <row r="5762" spans="1:1" x14ac:dyDescent="0.2">
      <c r="A5762" t="s">
        <v>102</v>
      </c>
    </row>
    <row r="5763" spans="1:1" x14ac:dyDescent="0.2">
      <c r="A5763" t="s">
        <v>102</v>
      </c>
    </row>
    <row r="5764" spans="1:1" x14ac:dyDescent="0.2">
      <c r="A5764" t="s">
        <v>102</v>
      </c>
    </row>
    <row r="5765" spans="1:1" x14ac:dyDescent="0.2">
      <c r="A5765" t="s">
        <v>102</v>
      </c>
    </row>
    <row r="5766" spans="1:1" x14ac:dyDescent="0.2">
      <c r="A5766" t="s">
        <v>102</v>
      </c>
    </row>
    <row r="5767" spans="1:1" x14ac:dyDescent="0.2">
      <c r="A5767" t="s">
        <v>102</v>
      </c>
    </row>
    <row r="5768" spans="1:1" x14ac:dyDescent="0.2">
      <c r="A5768" t="s">
        <v>102</v>
      </c>
    </row>
    <row r="5769" spans="1:1" x14ac:dyDescent="0.2">
      <c r="A5769" t="s">
        <v>102</v>
      </c>
    </row>
    <row r="5770" spans="1:1" x14ac:dyDescent="0.2">
      <c r="A5770" t="s">
        <v>102</v>
      </c>
    </row>
    <row r="5771" spans="1:1" x14ac:dyDescent="0.2">
      <c r="A5771" t="s">
        <v>102</v>
      </c>
    </row>
    <row r="5772" spans="1:1" x14ac:dyDescent="0.2">
      <c r="A5772" t="s">
        <v>102</v>
      </c>
    </row>
    <row r="5773" spans="1:1" x14ac:dyDescent="0.2">
      <c r="A5773" t="s">
        <v>102</v>
      </c>
    </row>
    <row r="5774" spans="1:1" x14ac:dyDescent="0.2">
      <c r="A5774" t="s">
        <v>102</v>
      </c>
    </row>
    <row r="5775" spans="1:1" x14ac:dyDescent="0.2">
      <c r="A5775" t="s">
        <v>102</v>
      </c>
    </row>
    <row r="5776" spans="1:1" x14ac:dyDescent="0.2">
      <c r="A5776" t="s">
        <v>102</v>
      </c>
    </row>
    <row r="5777" spans="1:1" x14ac:dyDescent="0.2">
      <c r="A5777" t="s">
        <v>102</v>
      </c>
    </row>
    <row r="5778" spans="1:1" x14ac:dyDescent="0.2">
      <c r="A5778" t="s">
        <v>102</v>
      </c>
    </row>
    <row r="5779" spans="1:1" x14ac:dyDescent="0.2">
      <c r="A5779" t="s">
        <v>102</v>
      </c>
    </row>
    <row r="5780" spans="1:1" x14ac:dyDescent="0.2">
      <c r="A5780" t="s">
        <v>102</v>
      </c>
    </row>
    <row r="5781" spans="1:1" x14ac:dyDescent="0.2">
      <c r="A5781" t="s">
        <v>102</v>
      </c>
    </row>
    <row r="5782" spans="1:1" x14ac:dyDescent="0.2">
      <c r="A5782" t="s">
        <v>102</v>
      </c>
    </row>
    <row r="5783" spans="1:1" x14ac:dyDescent="0.2">
      <c r="A5783" t="s">
        <v>102</v>
      </c>
    </row>
    <row r="5784" spans="1:1" x14ac:dyDescent="0.2">
      <c r="A5784" t="s">
        <v>102</v>
      </c>
    </row>
    <row r="5785" spans="1:1" x14ac:dyDescent="0.2">
      <c r="A5785" t="s">
        <v>102</v>
      </c>
    </row>
    <row r="5786" spans="1:1" x14ac:dyDescent="0.2">
      <c r="A5786" t="s">
        <v>102</v>
      </c>
    </row>
    <row r="5787" spans="1:1" x14ac:dyDescent="0.2">
      <c r="A5787" t="s">
        <v>102</v>
      </c>
    </row>
    <row r="5788" spans="1:1" x14ac:dyDescent="0.2">
      <c r="A5788" t="s">
        <v>102</v>
      </c>
    </row>
    <row r="5789" spans="1:1" x14ac:dyDescent="0.2">
      <c r="A5789" t="s">
        <v>102</v>
      </c>
    </row>
    <row r="5790" spans="1:1" x14ac:dyDescent="0.2">
      <c r="A5790" t="s">
        <v>102</v>
      </c>
    </row>
    <row r="5791" spans="1:1" x14ac:dyDescent="0.2">
      <c r="A5791" t="s">
        <v>102</v>
      </c>
    </row>
    <row r="5792" spans="1:1" x14ac:dyDescent="0.2">
      <c r="A5792" t="s">
        <v>102</v>
      </c>
    </row>
    <row r="5793" spans="1:1" x14ac:dyDescent="0.2">
      <c r="A5793" t="s">
        <v>102</v>
      </c>
    </row>
    <row r="5794" spans="1:1" x14ac:dyDescent="0.2">
      <c r="A5794" t="s">
        <v>102</v>
      </c>
    </row>
    <row r="5795" spans="1:1" x14ac:dyDescent="0.2">
      <c r="A5795" t="s">
        <v>102</v>
      </c>
    </row>
    <row r="5796" spans="1:1" x14ac:dyDescent="0.2">
      <c r="A5796" t="s">
        <v>102</v>
      </c>
    </row>
    <row r="5797" spans="1:1" x14ac:dyDescent="0.2">
      <c r="A5797" t="s">
        <v>102</v>
      </c>
    </row>
    <row r="5798" spans="1:1" x14ac:dyDescent="0.2">
      <c r="A5798" t="s">
        <v>102</v>
      </c>
    </row>
    <row r="5799" spans="1:1" x14ac:dyDescent="0.2">
      <c r="A5799" t="s">
        <v>102</v>
      </c>
    </row>
    <row r="5800" spans="1:1" x14ac:dyDescent="0.2">
      <c r="A5800" t="s">
        <v>102</v>
      </c>
    </row>
    <row r="5801" spans="1:1" x14ac:dyDescent="0.2">
      <c r="A5801" t="s">
        <v>102</v>
      </c>
    </row>
    <row r="5802" spans="1:1" x14ac:dyDescent="0.2">
      <c r="A5802" t="s">
        <v>102</v>
      </c>
    </row>
    <row r="5803" spans="1:1" x14ac:dyDescent="0.2">
      <c r="A5803" t="s">
        <v>102</v>
      </c>
    </row>
    <row r="5804" spans="1:1" x14ac:dyDescent="0.2">
      <c r="A5804" t="s">
        <v>102</v>
      </c>
    </row>
    <row r="5805" spans="1:1" x14ac:dyDescent="0.2">
      <c r="A5805" t="s">
        <v>102</v>
      </c>
    </row>
    <row r="5806" spans="1:1" x14ac:dyDescent="0.2">
      <c r="A5806" t="s">
        <v>102</v>
      </c>
    </row>
    <row r="5807" spans="1:1" x14ac:dyDescent="0.2">
      <c r="A5807" t="s">
        <v>102</v>
      </c>
    </row>
    <row r="5808" spans="1:1" x14ac:dyDescent="0.2">
      <c r="A5808" t="s">
        <v>102</v>
      </c>
    </row>
    <row r="5809" spans="1:1" x14ac:dyDescent="0.2">
      <c r="A5809" t="s">
        <v>102</v>
      </c>
    </row>
    <row r="5810" spans="1:1" x14ac:dyDescent="0.2">
      <c r="A5810" t="s">
        <v>102</v>
      </c>
    </row>
    <row r="5811" spans="1:1" x14ac:dyDescent="0.2">
      <c r="A5811" t="s">
        <v>102</v>
      </c>
    </row>
    <row r="5812" spans="1:1" x14ac:dyDescent="0.2">
      <c r="A5812" t="s">
        <v>102</v>
      </c>
    </row>
    <row r="5813" spans="1:1" x14ac:dyDescent="0.2">
      <c r="A5813" t="s">
        <v>102</v>
      </c>
    </row>
    <row r="5814" spans="1:1" x14ac:dyDescent="0.2">
      <c r="A5814" t="s">
        <v>102</v>
      </c>
    </row>
    <row r="5815" spans="1:1" x14ac:dyDescent="0.2">
      <c r="A5815" t="s">
        <v>102</v>
      </c>
    </row>
    <row r="5816" spans="1:1" x14ac:dyDescent="0.2">
      <c r="A5816" t="s">
        <v>102</v>
      </c>
    </row>
    <row r="5817" spans="1:1" x14ac:dyDescent="0.2">
      <c r="A5817" t="s">
        <v>102</v>
      </c>
    </row>
    <row r="5818" spans="1:1" x14ac:dyDescent="0.2">
      <c r="A5818" t="s">
        <v>102</v>
      </c>
    </row>
    <row r="5819" spans="1:1" x14ac:dyDescent="0.2">
      <c r="A5819" t="s">
        <v>102</v>
      </c>
    </row>
    <row r="5820" spans="1:1" x14ac:dyDescent="0.2">
      <c r="A5820" t="s">
        <v>102</v>
      </c>
    </row>
    <row r="5821" spans="1:1" x14ac:dyDescent="0.2">
      <c r="A5821" t="s">
        <v>102</v>
      </c>
    </row>
    <row r="5822" spans="1:1" x14ac:dyDescent="0.2">
      <c r="A5822" t="s">
        <v>102</v>
      </c>
    </row>
    <row r="5823" spans="1:1" x14ac:dyDescent="0.2">
      <c r="A5823" t="s">
        <v>102</v>
      </c>
    </row>
    <row r="5824" spans="1:1" x14ac:dyDescent="0.2">
      <c r="A5824" t="s">
        <v>102</v>
      </c>
    </row>
    <row r="5825" spans="1:1" x14ac:dyDescent="0.2">
      <c r="A5825" t="s">
        <v>102</v>
      </c>
    </row>
    <row r="5826" spans="1:1" x14ac:dyDescent="0.2">
      <c r="A5826" t="s">
        <v>102</v>
      </c>
    </row>
    <row r="5827" spans="1:1" x14ac:dyDescent="0.2">
      <c r="A5827" t="s">
        <v>102</v>
      </c>
    </row>
    <row r="5828" spans="1:1" x14ac:dyDescent="0.2">
      <c r="A5828" t="s">
        <v>102</v>
      </c>
    </row>
    <row r="5829" spans="1:1" x14ac:dyDescent="0.2">
      <c r="A5829" t="s">
        <v>102</v>
      </c>
    </row>
    <row r="5830" spans="1:1" x14ac:dyDescent="0.2">
      <c r="A5830" t="s">
        <v>102</v>
      </c>
    </row>
    <row r="5831" spans="1:1" x14ac:dyDescent="0.2">
      <c r="A5831" t="s">
        <v>102</v>
      </c>
    </row>
    <row r="5832" spans="1:1" x14ac:dyDescent="0.2">
      <c r="A5832" t="s">
        <v>102</v>
      </c>
    </row>
    <row r="5833" spans="1:1" x14ac:dyDescent="0.2">
      <c r="A5833" t="s">
        <v>102</v>
      </c>
    </row>
    <row r="5834" spans="1:1" x14ac:dyDescent="0.2">
      <c r="A5834" t="s">
        <v>102</v>
      </c>
    </row>
    <row r="5835" spans="1:1" x14ac:dyDescent="0.2">
      <c r="A5835" t="s">
        <v>102</v>
      </c>
    </row>
    <row r="5836" spans="1:1" x14ac:dyDescent="0.2">
      <c r="A5836" t="s">
        <v>102</v>
      </c>
    </row>
    <row r="5837" spans="1:1" x14ac:dyDescent="0.2">
      <c r="A5837" t="s">
        <v>102</v>
      </c>
    </row>
    <row r="5838" spans="1:1" x14ac:dyDescent="0.2">
      <c r="A5838" t="s">
        <v>102</v>
      </c>
    </row>
    <row r="5839" spans="1:1" x14ac:dyDescent="0.2">
      <c r="A5839" t="s">
        <v>102</v>
      </c>
    </row>
    <row r="5840" spans="1:1" x14ac:dyDescent="0.2">
      <c r="A5840" t="s">
        <v>102</v>
      </c>
    </row>
    <row r="5841" spans="1:1" x14ac:dyDescent="0.2">
      <c r="A5841" t="s">
        <v>102</v>
      </c>
    </row>
    <row r="5842" spans="1:1" x14ac:dyDescent="0.2">
      <c r="A5842" t="s">
        <v>102</v>
      </c>
    </row>
    <row r="5843" spans="1:1" x14ac:dyDescent="0.2">
      <c r="A5843" t="s">
        <v>102</v>
      </c>
    </row>
    <row r="5844" spans="1:1" x14ac:dyDescent="0.2">
      <c r="A5844" t="s">
        <v>102</v>
      </c>
    </row>
    <row r="5845" spans="1:1" x14ac:dyDescent="0.2">
      <c r="A5845" t="s">
        <v>102</v>
      </c>
    </row>
    <row r="5846" spans="1:1" x14ac:dyDescent="0.2">
      <c r="A5846" t="s">
        <v>102</v>
      </c>
    </row>
    <row r="5847" spans="1:1" x14ac:dyDescent="0.2">
      <c r="A5847" t="s">
        <v>102</v>
      </c>
    </row>
    <row r="5848" spans="1:1" x14ac:dyDescent="0.2">
      <c r="A5848" t="s">
        <v>102</v>
      </c>
    </row>
    <row r="5849" spans="1:1" x14ac:dyDescent="0.2">
      <c r="A5849" t="s">
        <v>102</v>
      </c>
    </row>
    <row r="5850" spans="1:1" x14ac:dyDescent="0.2">
      <c r="A5850" t="s">
        <v>102</v>
      </c>
    </row>
    <row r="5851" spans="1:1" x14ac:dyDescent="0.2">
      <c r="A5851" t="s">
        <v>102</v>
      </c>
    </row>
    <row r="5852" spans="1:1" x14ac:dyDescent="0.2">
      <c r="A5852" t="s">
        <v>102</v>
      </c>
    </row>
    <row r="5853" spans="1:1" x14ac:dyDescent="0.2">
      <c r="A5853" t="s">
        <v>102</v>
      </c>
    </row>
    <row r="5854" spans="1:1" x14ac:dyDescent="0.2">
      <c r="A5854" t="s">
        <v>102</v>
      </c>
    </row>
    <row r="5855" spans="1:1" x14ac:dyDescent="0.2">
      <c r="A5855" t="s">
        <v>102</v>
      </c>
    </row>
    <row r="5856" spans="1:1" x14ac:dyDescent="0.2">
      <c r="A5856" t="s">
        <v>102</v>
      </c>
    </row>
    <row r="5857" spans="1:1" x14ac:dyDescent="0.2">
      <c r="A5857" t="s">
        <v>102</v>
      </c>
    </row>
    <row r="5858" spans="1:1" x14ac:dyDescent="0.2">
      <c r="A5858" t="s">
        <v>102</v>
      </c>
    </row>
    <row r="5859" spans="1:1" x14ac:dyDescent="0.2">
      <c r="A5859" t="s">
        <v>102</v>
      </c>
    </row>
    <row r="5860" spans="1:1" x14ac:dyDescent="0.2">
      <c r="A5860" t="s">
        <v>102</v>
      </c>
    </row>
    <row r="5861" spans="1:1" x14ac:dyDescent="0.2">
      <c r="A5861" t="s">
        <v>102</v>
      </c>
    </row>
    <row r="5862" spans="1:1" x14ac:dyDescent="0.2">
      <c r="A5862" t="s">
        <v>102</v>
      </c>
    </row>
    <row r="5863" spans="1:1" x14ac:dyDescent="0.2">
      <c r="A5863" t="s">
        <v>102</v>
      </c>
    </row>
    <row r="5864" spans="1:1" x14ac:dyDescent="0.2">
      <c r="A5864" t="s">
        <v>102</v>
      </c>
    </row>
    <row r="5865" spans="1:1" x14ac:dyDescent="0.2">
      <c r="A5865" t="s">
        <v>102</v>
      </c>
    </row>
    <row r="5866" spans="1:1" x14ac:dyDescent="0.2">
      <c r="A5866" t="s">
        <v>102</v>
      </c>
    </row>
    <row r="5867" spans="1:1" x14ac:dyDescent="0.2">
      <c r="A5867" t="s">
        <v>102</v>
      </c>
    </row>
    <row r="5868" spans="1:1" x14ac:dyDescent="0.2">
      <c r="A5868" t="s">
        <v>102</v>
      </c>
    </row>
    <row r="5869" spans="1:1" x14ac:dyDescent="0.2">
      <c r="A5869" t="s">
        <v>102</v>
      </c>
    </row>
    <row r="5870" spans="1:1" x14ac:dyDescent="0.2">
      <c r="A5870" t="s">
        <v>102</v>
      </c>
    </row>
    <row r="5871" spans="1:1" x14ac:dyDescent="0.2">
      <c r="A5871" t="s">
        <v>102</v>
      </c>
    </row>
    <row r="5872" spans="1:1" x14ac:dyDescent="0.2">
      <c r="A5872" t="s">
        <v>102</v>
      </c>
    </row>
    <row r="5873" spans="1:1" x14ac:dyDescent="0.2">
      <c r="A5873" t="s">
        <v>102</v>
      </c>
    </row>
    <row r="5874" spans="1:1" x14ac:dyDescent="0.2">
      <c r="A5874" t="s">
        <v>102</v>
      </c>
    </row>
    <row r="5875" spans="1:1" x14ac:dyDescent="0.2">
      <c r="A5875" t="s">
        <v>102</v>
      </c>
    </row>
    <row r="5876" spans="1:1" x14ac:dyDescent="0.2">
      <c r="A5876" t="s">
        <v>102</v>
      </c>
    </row>
    <row r="5877" spans="1:1" x14ac:dyDescent="0.2">
      <c r="A5877" t="s">
        <v>102</v>
      </c>
    </row>
    <row r="5878" spans="1:1" x14ac:dyDescent="0.2">
      <c r="A5878" t="s">
        <v>102</v>
      </c>
    </row>
    <row r="5879" spans="1:1" x14ac:dyDescent="0.2">
      <c r="A5879" t="s">
        <v>102</v>
      </c>
    </row>
    <row r="5880" spans="1:1" x14ac:dyDescent="0.2">
      <c r="A5880" t="s">
        <v>102</v>
      </c>
    </row>
    <row r="5881" spans="1:1" x14ac:dyDescent="0.2">
      <c r="A5881" t="s">
        <v>102</v>
      </c>
    </row>
    <row r="5882" spans="1:1" x14ac:dyDescent="0.2">
      <c r="A5882" t="s">
        <v>102</v>
      </c>
    </row>
    <row r="5883" spans="1:1" x14ac:dyDescent="0.2">
      <c r="A5883" t="s">
        <v>102</v>
      </c>
    </row>
    <row r="5884" spans="1:1" x14ac:dyDescent="0.2">
      <c r="A5884" t="s">
        <v>102</v>
      </c>
    </row>
    <row r="5885" spans="1:1" x14ac:dyDescent="0.2">
      <c r="A5885" t="s">
        <v>102</v>
      </c>
    </row>
    <row r="5886" spans="1:1" x14ac:dyDescent="0.2">
      <c r="A5886" t="s">
        <v>102</v>
      </c>
    </row>
    <row r="5887" spans="1:1" x14ac:dyDescent="0.2">
      <c r="A5887" t="s">
        <v>102</v>
      </c>
    </row>
    <row r="5888" spans="1:1" x14ac:dyDescent="0.2">
      <c r="A5888" t="s">
        <v>102</v>
      </c>
    </row>
    <row r="5889" spans="1:1" x14ac:dyDescent="0.2">
      <c r="A5889" t="s">
        <v>102</v>
      </c>
    </row>
    <row r="5890" spans="1:1" x14ac:dyDescent="0.2">
      <c r="A5890" t="s">
        <v>102</v>
      </c>
    </row>
    <row r="5891" spans="1:1" x14ac:dyDescent="0.2">
      <c r="A5891" t="s">
        <v>102</v>
      </c>
    </row>
    <row r="5892" spans="1:1" x14ac:dyDescent="0.2">
      <c r="A5892" t="s">
        <v>102</v>
      </c>
    </row>
    <row r="5893" spans="1:1" x14ac:dyDescent="0.2">
      <c r="A5893" t="s">
        <v>102</v>
      </c>
    </row>
    <row r="5894" spans="1:1" x14ac:dyDescent="0.2">
      <c r="A5894" t="s">
        <v>102</v>
      </c>
    </row>
    <row r="5895" spans="1:1" x14ac:dyDescent="0.2">
      <c r="A5895" t="s">
        <v>102</v>
      </c>
    </row>
    <row r="5896" spans="1:1" x14ac:dyDescent="0.2">
      <c r="A5896" t="s">
        <v>102</v>
      </c>
    </row>
    <row r="5897" spans="1:1" x14ac:dyDescent="0.2">
      <c r="A5897" t="s">
        <v>102</v>
      </c>
    </row>
    <row r="5898" spans="1:1" x14ac:dyDescent="0.2">
      <c r="A5898" t="s">
        <v>102</v>
      </c>
    </row>
    <row r="5899" spans="1:1" x14ac:dyDescent="0.2">
      <c r="A5899" t="s">
        <v>102</v>
      </c>
    </row>
    <row r="5900" spans="1:1" x14ac:dyDescent="0.2">
      <c r="A5900" t="s">
        <v>102</v>
      </c>
    </row>
    <row r="5901" spans="1:1" x14ac:dyDescent="0.2">
      <c r="A5901" t="s">
        <v>102</v>
      </c>
    </row>
    <row r="5902" spans="1:1" x14ac:dyDescent="0.2">
      <c r="A5902" t="s">
        <v>102</v>
      </c>
    </row>
    <row r="5903" spans="1:1" x14ac:dyDescent="0.2">
      <c r="A5903" t="s">
        <v>102</v>
      </c>
    </row>
    <row r="5904" spans="1:1" x14ac:dyDescent="0.2">
      <c r="A5904" t="s">
        <v>102</v>
      </c>
    </row>
    <row r="5905" spans="1:1" x14ac:dyDescent="0.2">
      <c r="A5905" t="s">
        <v>102</v>
      </c>
    </row>
    <row r="5906" spans="1:1" x14ac:dyDescent="0.2">
      <c r="A5906" t="s">
        <v>102</v>
      </c>
    </row>
    <row r="5907" spans="1:1" x14ac:dyDescent="0.2">
      <c r="A5907" t="s">
        <v>102</v>
      </c>
    </row>
    <row r="5908" spans="1:1" x14ac:dyDescent="0.2">
      <c r="A5908" t="s">
        <v>102</v>
      </c>
    </row>
    <row r="5909" spans="1:1" x14ac:dyDescent="0.2">
      <c r="A5909" t="s">
        <v>102</v>
      </c>
    </row>
    <row r="5910" spans="1:1" x14ac:dyDescent="0.2">
      <c r="A5910" t="s">
        <v>102</v>
      </c>
    </row>
    <row r="5911" spans="1:1" x14ac:dyDescent="0.2">
      <c r="A5911" t="s">
        <v>102</v>
      </c>
    </row>
    <row r="5912" spans="1:1" x14ac:dyDescent="0.2">
      <c r="A5912" t="s">
        <v>102</v>
      </c>
    </row>
    <row r="5913" spans="1:1" x14ac:dyDescent="0.2">
      <c r="A5913" t="s">
        <v>102</v>
      </c>
    </row>
    <row r="5914" spans="1:1" x14ac:dyDescent="0.2">
      <c r="A5914" t="s">
        <v>102</v>
      </c>
    </row>
    <row r="5915" spans="1:1" x14ac:dyDescent="0.2">
      <c r="A5915" t="s">
        <v>102</v>
      </c>
    </row>
    <row r="5916" spans="1:1" x14ac:dyDescent="0.2">
      <c r="A5916" t="s">
        <v>102</v>
      </c>
    </row>
    <row r="5917" spans="1:1" x14ac:dyDescent="0.2">
      <c r="A5917" t="s">
        <v>102</v>
      </c>
    </row>
    <row r="5918" spans="1:1" x14ac:dyDescent="0.2">
      <c r="A5918" t="s">
        <v>102</v>
      </c>
    </row>
    <row r="5919" spans="1:1" x14ac:dyDescent="0.2">
      <c r="A5919" t="s">
        <v>102</v>
      </c>
    </row>
    <row r="5920" spans="1:1" x14ac:dyDescent="0.2">
      <c r="A5920" t="s">
        <v>102</v>
      </c>
    </row>
    <row r="5921" spans="1:1" x14ac:dyDescent="0.2">
      <c r="A5921" t="s">
        <v>102</v>
      </c>
    </row>
    <row r="5922" spans="1:1" x14ac:dyDescent="0.2">
      <c r="A5922" t="s">
        <v>102</v>
      </c>
    </row>
    <row r="5923" spans="1:1" x14ac:dyDescent="0.2">
      <c r="A5923" t="s">
        <v>102</v>
      </c>
    </row>
    <row r="5924" spans="1:1" x14ac:dyDescent="0.2">
      <c r="A5924" t="s">
        <v>102</v>
      </c>
    </row>
    <row r="5925" spans="1:1" x14ac:dyDescent="0.2">
      <c r="A5925" t="s">
        <v>102</v>
      </c>
    </row>
    <row r="5926" spans="1:1" x14ac:dyDescent="0.2">
      <c r="A5926" t="s">
        <v>102</v>
      </c>
    </row>
    <row r="5927" spans="1:1" x14ac:dyDescent="0.2">
      <c r="A5927" t="s">
        <v>102</v>
      </c>
    </row>
    <row r="5928" spans="1:1" x14ac:dyDescent="0.2">
      <c r="A5928" t="s">
        <v>102</v>
      </c>
    </row>
    <row r="5929" spans="1:1" x14ac:dyDescent="0.2">
      <c r="A5929" t="s">
        <v>102</v>
      </c>
    </row>
    <row r="5930" spans="1:1" x14ac:dyDescent="0.2">
      <c r="A5930" t="s">
        <v>102</v>
      </c>
    </row>
    <row r="5931" spans="1:1" x14ac:dyDescent="0.2">
      <c r="A5931" t="s">
        <v>102</v>
      </c>
    </row>
    <row r="5932" spans="1:1" x14ac:dyDescent="0.2">
      <c r="A5932" t="s">
        <v>102</v>
      </c>
    </row>
    <row r="5933" spans="1:1" x14ac:dyDescent="0.2">
      <c r="A5933" t="s">
        <v>102</v>
      </c>
    </row>
    <row r="5934" spans="1:1" x14ac:dyDescent="0.2">
      <c r="A5934" t="s">
        <v>102</v>
      </c>
    </row>
    <row r="5935" spans="1:1" x14ac:dyDescent="0.2">
      <c r="A5935" t="s">
        <v>102</v>
      </c>
    </row>
    <row r="5936" spans="1:1" x14ac:dyDescent="0.2">
      <c r="A5936" t="s">
        <v>102</v>
      </c>
    </row>
    <row r="5937" spans="1:1" x14ac:dyDescent="0.2">
      <c r="A5937" t="s">
        <v>102</v>
      </c>
    </row>
    <row r="5938" spans="1:1" x14ac:dyDescent="0.2">
      <c r="A5938" t="s">
        <v>102</v>
      </c>
    </row>
    <row r="5939" spans="1:1" x14ac:dyDescent="0.2">
      <c r="A5939" t="s">
        <v>102</v>
      </c>
    </row>
    <row r="5940" spans="1:1" x14ac:dyDescent="0.2">
      <c r="A5940" t="s">
        <v>102</v>
      </c>
    </row>
    <row r="5941" spans="1:1" x14ac:dyDescent="0.2">
      <c r="A5941" t="s">
        <v>102</v>
      </c>
    </row>
    <row r="5942" spans="1:1" x14ac:dyDescent="0.2">
      <c r="A5942" t="s">
        <v>102</v>
      </c>
    </row>
    <row r="5943" spans="1:1" x14ac:dyDescent="0.2">
      <c r="A5943" t="s">
        <v>102</v>
      </c>
    </row>
    <row r="5944" spans="1:1" x14ac:dyDescent="0.2">
      <c r="A5944" t="s">
        <v>102</v>
      </c>
    </row>
    <row r="5945" spans="1:1" x14ac:dyDescent="0.2">
      <c r="A5945" t="s">
        <v>102</v>
      </c>
    </row>
    <row r="5946" spans="1:1" x14ac:dyDescent="0.2">
      <c r="A5946" t="s">
        <v>102</v>
      </c>
    </row>
    <row r="5947" spans="1:1" x14ac:dyDescent="0.2">
      <c r="A5947" t="s">
        <v>102</v>
      </c>
    </row>
    <row r="5948" spans="1:1" x14ac:dyDescent="0.2">
      <c r="A5948" t="s">
        <v>102</v>
      </c>
    </row>
    <row r="5949" spans="1:1" x14ac:dyDescent="0.2">
      <c r="A5949" t="s">
        <v>102</v>
      </c>
    </row>
    <row r="5950" spans="1:1" x14ac:dyDescent="0.2">
      <c r="A5950" t="s">
        <v>102</v>
      </c>
    </row>
    <row r="5951" spans="1:1" x14ac:dyDescent="0.2">
      <c r="A5951" t="s">
        <v>102</v>
      </c>
    </row>
    <row r="5952" spans="1:1" x14ac:dyDescent="0.2">
      <c r="A5952" t="s">
        <v>102</v>
      </c>
    </row>
    <row r="5953" spans="1:1" x14ac:dyDescent="0.2">
      <c r="A5953" t="s">
        <v>102</v>
      </c>
    </row>
    <row r="5954" spans="1:1" x14ac:dyDescent="0.2">
      <c r="A5954" t="s">
        <v>102</v>
      </c>
    </row>
    <row r="5955" spans="1:1" x14ac:dyDescent="0.2">
      <c r="A5955" t="s">
        <v>102</v>
      </c>
    </row>
    <row r="5956" spans="1:1" x14ac:dyDescent="0.2">
      <c r="A5956" t="s">
        <v>102</v>
      </c>
    </row>
    <row r="5957" spans="1:1" x14ac:dyDescent="0.2">
      <c r="A5957" t="s">
        <v>102</v>
      </c>
    </row>
    <row r="5958" spans="1:1" x14ac:dyDescent="0.2">
      <c r="A5958" t="s">
        <v>102</v>
      </c>
    </row>
    <row r="5959" spans="1:1" x14ac:dyDescent="0.2">
      <c r="A5959" t="s">
        <v>102</v>
      </c>
    </row>
    <row r="5960" spans="1:1" x14ac:dyDescent="0.2">
      <c r="A5960" t="s">
        <v>102</v>
      </c>
    </row>
    <row r="5961" spans="1:1" x14ac:dyDescent="0.2">
      <c r="A5961" t="s">
        <v>102</v>
      </c>
    </row>
    <row r="5962" spans="1:1" x14ac:dyDescent="0.2">
      <c r="A5962" t="s">
        <v>102</v>
      </c>
    </row>
    <row r="5963" spans="1:1" x14ac:dyDescent="0.2">
      <c r="A5963" t="s">
        <v>102</v>
      </c>
    </row>
    <row r="5964" spans="1:1" x14ac:dyDescent="0.2">
      <c r="A5964" t="s">
        <v>102</v>
      </c>
    </row>
    <row r="5965" spans="1:1" x14ac:dyDescent="0.2">
      <c r="A5965" t="s">
        <v>102</v>
      </c>
    </row>
    <row r="5966" spans="1:1" x14ac:dyDescent="0.2">
      <c r="A5966" t="s">
        <v>102</v>
      </c>
    </row>
    <row r="5967" spans="1:1" x14ac:dyDescent="0.2">
      <c r="A5967" t="s">
        <v>102</v>
      </c>
    </row>
    <row r="5968" spans="1:1" x14ac:dyDescent="0.2">
      <c r="A5968" t="s">
        <v>102</v>
      </c>
    </row>
    <row r="5969" spans="1:1" x14ac:dyDescent="0.2">
      <c r="A5969" t="s">
        <v>102</v>
      </c>
    </row>
    <row r="5970" spans="1:1" x14ac:dyDescent="0.2">
      <c r="A5970" t="s">
        <v>102</v>
      </c>
    </row>
    <row r="5971" spans="1:1" x14ac:dyDescent="0.2">
      <c r="A5971" t="s">
        <v>102</v>
      </c>
    </row>
    <row r="5972" spans="1:1" x14ac:dyDescent="0.2">
      <c r="A5972" t="s">
        <v>102</v>
      </c>
    </row>
    <row r="5973" spans="1:1" x14ac:dyDescent="0.2">
      <c r="A5973" t="s">
        <v>102</v>
      </c>
    </row>
    <row r="5974" spans="1:1" x14ac:dyDescent="0.2">
      <c r="A5974" t="s">
        <v>102</v>
      </c>
    </row>
    <row r="5975" spans="1:1" x14ac:dyDescent="0.2">
      <c r="A5975" t="s">
        <v>102</v>
      </c>
    </row>
    <row r="5976" spans="1:1" x14ac:dyDescent="0.2">
      <c r="A5976" t="s">
        <v>102</v>
      </c>
    </row>
    <row r="5977" spans="1:1" x14ac:dyDescent="0.2">
      <c r="A5977" t="s">
        <v>102</v>
      </c>
    </row>
    <row r="5978" spans="1:1" x14ac:dyDescent="0.2">
      <c r="A5978" t="s">
        <v>102</v>
      </c>
    </row>
    <row r="5979" spans="1:1" x14ac:dyDescent="0.2">
      <c r="A5979" t="s">
        <v>102</v>
      </c>
    </row>
    <row r="5980" spans="1:1" x14ac:dyDescent="0.2">
      <c r="A5980" t="s">
        <v>102</v>
      </c>
    </row>
    <row r="5981" spans="1:1" x14ac:dyDescent="0.2">
      <c r="A5981" t="s">
        <v>102</v>
      </c>
    </row>
    <row r="5982" spans="1:1" x14ac:dyDescent="0.2">
      <c r="A5982" t="s">
        <v>102</v>
      </c>
    </row>
    <row r="5983" spans="1:1" x14ac:dyDescent="0.2">
      <c r="A5983" t="s">
        <v>102</v>
      </c>
    </row>
    <row r="5984" spans="1:1" x14ac:dyDescent="0.2">
      <c r="A5984" t="s">
        <v>102</v>
      </c>
    </row>
    <row r="5985" spans="1:1" x14ac:dyDescent="0.2">
      <c r="A5985" t="s">
        <v>102</v>
      </c>
    </row>
    <row r="5986" spans="1:1" x14ac:dyDescent="0.2">
      <c r="A5986" t="s">
        <v>102</v>
      </c>
    </row>
    <row r="5987" spans="1:1" x14ac:dyDescent="0.2">
      <c r="A5987" t="s">
        <v>102</v>
      </c>
    </row>
    <row r="5988" spans="1:1" x14ac:dyDescent="0.2">
      <c r="A5988" t="s">
        <v>102</v>
      </c>
    </row>
    <row r="5989" spans="1:1" x14ac:dyDescent="0.2">
      <c r="A5989" t="s">
        <v>102</v>
      </c>
    </row>
    <row r="5990" spans="1:1" x14ac:dyDescent="0.2">
      <c r="A5990" t="s">
        <v>102</v>
      </c>
    </row>
    <row r="5991" spans="1:1" x14ac:dyDescent="0.2">
      <c r="A5991" t="s">
        <v>102</v>
      </c>
    </row>
    <row r="5992" spans="1:1" x14ac:dyDescent="0.2">
      <c r="A5992" t="s">
        <v>102</v>
      </c>
    </row>
    <row r="5993" spans="1:1" x14ac:dyDescent="0.2">
      <c r="A5993" t="s">
        <v>102</v>
      </c>
    </row>
    <row r="5994" spans="1:1" x14ac:dyDescent="0.2">
      <c r="A5994" t="s">
        <v>102</v>
      </c>
    </row>
    <row r="5995" spans="1:1" x14ac:dyDescent="0.2">
      <c r="A5995" t="s">
        <v>102</v>
      </c>
    </row>
    <row r="5996" spans="1:1" x14ac:dyDescent="0.2">
      <c r="A5996" t="s">
        <v>102</v>
      </c>
    </row>
    <row r="5997" spans="1:1" x14ac:dyDescent="0.2">
      <c r="A5997" t="s">
        <v>102</v>
      </c>
    </row>
    <row r="5998" spans="1:1" x14ac:dyDescent="0.2">
      <c r="A5998" t="s">
        <v>102</v>
      </c>
    </row>
    <row r="5999" spans="1:1" x14ac:dyDescent="0.2">
      <c r="A5999" t="s">
        <v>102</v>
      </c>
    </row>
    <row r="6000" spans="1:1" x14ac:dyDescent="0.2">
      <c r="A6000" t="s">
        <v>102</v>
      </c>
    </row>
  </sheetData>
  <pageMargins left="0.511811024" right="0.511811024" top="0.78740157499999974" bottom="0.78740157499999974" header="0.31496061999999997" footer="0.31496061999999997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BE841-CA28-42AA-A791-2D52660EB22C}">
  <sheetPr codeName="P19">
    <tabColor rgb="FFFF0000"/>
    <pageSetUpPr autoPageBreaks="0" fitToPage="1"/>
  </sheetPr>
  <dimension ref="A1:U65"/>
  <sheetViews>
    <sheetView showGridLines="0" topLeftCell="C1" zoomScaleNormal="100" workbookViewId="0">
      <selection activeCell="P55" sqref="P55:P56"/>
    </sheetView>
  </sheetViews>
  <sheetFormatPr defaultColWidth="9.140625" defaultRowHeight="14.85" customHeight="1" x14ac:dyDescent="0.2"/>
  <cols>
    <col min="1" max="1" width="9.140625" style="79" hidden="1" customWidth="1"/>
    <col min="2" max="2" width="13.5703125" style="79" hidden="1" customWidth="1"/>
    <col min="3" max="3" width="23.42578125" style="79" customWidth="1"/>
    <col min="4" max="4" width="20.85546875" style="79" bestFit="1" customWidth="1"/>
    <col min="5" max="5" width="11.7109375" style="79" bestFit="1" customWidth="1"/>
    <col min="6" max="6" width="15.140625" style="79" customWidth="1"/>
    <col min="7" max="7" width="10.85546875" style="79" customWidth="1"/>
    <col min="8" max="8" width="8.42578125" style="79" bestFit="1" customWidth="1"/>
    <col min="9" max="9" width="14.28515625" style="79" bestFit="1" customWidth="1"/>
    <col min="10" max="10" width="15.140625" style="79" bestFit="1" customWidth="1"/>
    <col min="11" max="11" width="10.5703125" style="79" hidden="1" customWidth="1"/>
    <col min="12" max="12" width="13" style="79" customWidth="1"/>
    <col min="13" max="13" width="12.140625" style="79" customWidth="1"/>
    <col min="14" max="14" width="12.5703125" style="80" customWidth="1"/>
    <col min="15" max="15" width="13" style="79" customWidth="1"/>
    <col min="16" max="16" width="52.5703125" style="79" customWidth="1"/>
    <col min="17" max="17" width="14.5703125" style="79" customWidth="1"/>
    <col min="18" max="18" width="54.7109375" style="79" bestFit="1" customWidth="1"/>
    <col min="19" max="16384" width="9.140625" style="79"/>
  </cols>
  <sheetData>
    <row r="1" spans="3:21" ht="32.1" customHeight="1" thickBot="1" x14ac:dyDescent="0.25">
      <c r="C1" s="722" t="s">
        <v>216</v>
      </c>
      <c r="D1" s="723"/>
      <c r="E1" s="723"/>
      <c r="F1" s="723"/>
      <c r="G1" s="731" t="s">
        <v>217</v>
      </c>
      <c r="H1" s="732"/>
      <c r="I1" s="726">
        <f>G56</f>
        <v>1162</v>
      </c>
      <c r="J1" s="727"/>
      <c r="K1" s="728" t="s">
        <v>218</v>
      </c>
      <c r="L1" s="729"/>
      <c r="M1" s="357">
        <f>$M$56</f>
        <v>0</v>
      </c>
      <c r="N1" s="368"/>
      <c r="O1" s="369"/>
      <c r="P1" s="146"/>
      <c r="T1" s="177" t="s">
        <v>219</v>
      </c>
      <c r="U1" s="79" t="s">
        <v>220</v>
      </c>
    </row>
    <row r="2" spans="3:21" ht="32.1" customHeight="1" thickBot="1" x14ac:dyDescent="0.25">
      <c r="C2" s="724"/>
      <c r="D2" s="725"/>
      <c r="E2" s="725"/>
      <c r="F2" s="725"/>
      <c r="G2" s="706" t="s">
        <v>221</v>
      </c>
      <c r="H2" s="707"/>
      <c r="I2" s="355">
        <f>$E$56</f>
        <v>0</v>
      </c>
      <c r="J2" s="720" t="s">
        <v>222</v>
      </c>
      <c r="K2" s="721"/>
      <c r="L2" s="730"/>
      <c r="M2" s="358">
        <f>$I$56</f>
        <v>0</v>
      </c>
      <c r="N2" s="370"/>
      <c r="O2" s="371"/>
      <c r="Q2" s="183" t="s">
        <v>10</v>
      </c>
      <c r="R2" s="184" t="s">
        <v>3</v>
      </c>
      <c r="T2" s="177" t="s">
        <v>224</v>
      </c>
      <c r="U2" s="278" t="s">
        <v>225</v>
      </c>
    </row>
    <row r="3" spans="3:21" ht="32.1" customHeight="1" thickBot="1" x14ac:dyDescent="0.25">
      <c r="C3" s="716" t="s">
        <v>226</v>
      </c>
      <c r="D3" s="717"/>
      <c r="E3" s="718">
        <v>46234</v>
      </c>
      <c r="F3" s="719"/>
      <c r="G3" s="706" t="s">
        <v>227</v>
      </c>
      <c r="H3" s="707"/>
      <c r="I3" s="355">
        <f>$N$56</f>
        <v>0</v>
      </c>
      <c r="J3" s="720" t="s">
        <v>228</v>
      </c>
      <c r="K3" s="721"/>
      <c r="L3" s="721"/>
      <c r="M3" s="355">
        <f>$J$56</f>
        <v>0</v>
      </c>
      <c r="N3" s="370"/>
      <c r="O3" s="371"/>
      <c r="Q3" s="185" t="s">
        <v>16</v>
      </c>
      <c r="R3" s="186" t="str">
        <f>C1</f>
        <v>GUARAPUAVA</v>
      </c>
    </row>
    <row r="4" spans="3:21" ht="32.1" customHeight="1" thickBot="1" x14ac:dyDescent="0.25">
      <c r="C4" s="187" t="s">
        <v>229</v>
      </c>
      <c r="D4" s="451"/>
      <c r="E4" s="189" t="s">
        <v>231</v>
      </c>
      <c r="F4" s="356"/>
      <c r="G4" s="706" t="s">
        <v>232</v>
      </c>
      <c r="H4" s="707"/>
      <c r="I4" s="355">
        <f>$L$56</f>
        <v>0</v>
      </c>
      <c r="J4" s="365" t="s">
        <v>23</v>
      </c>
      <c r="K4" s="366">
        <f>$K$56</f>
        <v>0</v>
      </c>
      <c r="L4" s="367" t="s">
        <v>233</v>
      </c>
      <c r="M4" s="366">
        <f>$K$56</f>
        <v>0</v>
      </c>
      <c r="N4" s="372"/>
      <c r="O4" s="373"/>
      <c r="P4" s="146"/>
    </row>
    <row r="5" spans="3:21" ht="14.85" customHeight="1" x14ac:dyDescent="0.2">
      <c r="C5" s="708" t="s">
        <v>17</v>
      </c>
      <c r="D5" s="708" t="s">
        <v>18</v>
      </c>
      <c r="E5" s="710" t="s">
        <v>19</v>
      </c>
      <c r="F5" s="712" t="s">
        <v>234</v>
      </c>
      <c r="G5" s="714" t="s">
        <v>1</v>
      </c>
      <c r="H5" s="704" t="s">
        <v>21</v>
      </c>
      <c r="I5" s="700" t="s">
        <v>235</v>
      </c>
      <c r="J5" s="700" t="s">
        <v>236</v>
      </c>
      <c r="K5" s="700" t="s">
        <v>8</v>
      </c>
      <c r="L5" s="700" t="s">
        <v>237</v>
      </c>
      <c r="M5" s="702" t="s">
        <v>25</v>
      </c>
      <c r="N5" s="704" t="s">
        <v>238</v>
      </c>
      <c r="O5" s="700" t="s">
        <v>239</v>
      </c>
      <c r="P5" s="146"/>
    </row>
    <row r="6" spans="3:21" ht="18" customHeight="1" thickBot="1" x14ac:dyDescent="0.25">
      <c r="C6" s="709"/>
      <c r="D6" s="709"/>
      <c r="E6" s="711"/>
      <c r="F6" s="713"/>
      <c r="G6" s="715"/>
      <c r="H6" s="705"/>
      <c r="I6" s="701"/>
      <c r="J6" s="701"/>
      <c r="K6" s="701"/>
      <c r="L6" s="701"/>
      <c r="M6" s="703"/>
      <c r="N6" s="705"/>
      <c r="O6" s="701"/>
      <c r="P6" s="146"/>
    </row>
    <row r="7" spans="3:21" ht="15" customHeight="1" x14ac:dyDescent="0.2">
      <c r="C7" s="359" t="s">
        <v>240</v>
      </c>
      <c r="D7" s="360" t="s">
        <v>241</v>
      </c>
      <c r="E7" s="197"/>
      <c r="F7" s="198">
        <v>46238</v>
      </c>
      <c r="G7" s="566">
        <v>695</v>
      </c>
      <c r="H7" s="556">
        <v>1</v>
      </c>
      <c r="I7" s="201"/>
      <c r="J7" s="201"/>
      <c r="K7" s="201"/>
      <c r="L7" s="201"/>
      <c r="M7" s="670"/>
      <c r="N7" s="670"/>
      <c r="O7" s="202"/>
      <c r="P7" s="146"/>
    </row>
    <row r="8" spans="3:21" ht="15" customHeight="1" thickBot="1" x14ac:dyDescent="0.25">
      <c r="C8" s="361" t="s">
        <v>240</v>
      </c>
      <c r="D8" s="362" t="s">
        <v>242</v>
      </c>
      <c r="E8" s="203"/>
      <c r="F8" s="204">
        <v>46237</v>
      </c>
      <c r="G8" s="567">
        <v>0</v>
      </c>
      <c r="H8" s="553">
        <v>1</v>
      </c>
      <c r="I8" s="207"/>
      <c r="J8" s="207"/>
      <c r="K8" s="207"/>
      <c r="L8" s="207"/>
      <c r="M8" s="671"/>
      <c r="N8" s="671"/>
      <c r="O8" s="208"/>
      <c r="P8" s="146"/>
    </row>
    <row r="9" spans="3:21" ht="15" hidden="1" customHeight="1" x14ac:dyDescent="0.2">
      <c r="C9" s="361" t="s">
        <v>240</v>
      </c>
      <c r="D9" s="362" t="s">
        <v>242</v>
      </c>
      <c r="E9" s="203"/>
      <c r="F9" s="204"/>
      <c r="G9" s="567"/>
      <c r="H9" s="557"/>
      <c r="I9" s="209"/>
      <c r="J9" s="209"/>
      <c r="K9" s="209"/>
      <c r="L9" s="209"/>
      <c r="M9" s="671"/>
      <c r="N9" s="671"/>
      <c r="O9" s="208"/>
      <c r="P9" s="146"/>
    </row>
    <row r="10" spans="3:21" ht="15" hidden="1" customHeight="1" x14ac:dyDescent="0.2">
      <c r="C10" s="361" t="s">
        <v>240</v>
      </c>
      <c r="D10" s="362" t="s">
        <v>242</v>
      </c>
      <c r="E10" s="203"/>
      <c r="F10" s="204"/>
      <c r="G10" s="567"/>
      <c r="H10" s="553"/>
      <c r="I10" s="209"/>
      <c r="J10" s="209"/>
      <c r="K10" s="209"/>
      <c r="L10" s="209"/>
      <c r="M10" s="671"/>
      <c r="N10" s="671"/>
      <c r="O10" s="208"/>
      <c r="P10" s="146"/>
    </row>
    <row r="11" spans="3:21" ht="15" hidden="1" customHeight="1" x14ac:dyDescent="0.2">
      <c r="C11" s="361" t="s">
        <v>240</v>
      </c>
      <c r="D11" s="362" t="s">
        <v>242</v>
      </c>
      <c r="E11" s="203"/>
      <c r="F11" s="204"/>
      <c r="G11" s="567"/>
      <c r="H11" s="557"/>
      <c r="I11" s="209"/>
      <c r="J11" s="209"/>
      <c r="K11" s="209"/>
      <c r="L11" s="209"/>
      <c r="M11" s="671"/>
      <c r="N11" s="671"/>
      <c r="O11" s="208"/>
      <c r="P11" s="146"/>
    </row>
    <row r="12" spans="3:21" ht="15" hidden="1" customHeight="1" x14ac:dyDescent="0.2">
      <c r="C12" s="361" t="s">
        <v>240</v>
      </c>
      <c r="D12" s="362" t="s">
        <v>242</v>
      </c>
      <c r="E12" s="203"/>
      <c r="F12" s="210"/>
      <c r="G12" s="558"/>
      <c r="H12" s="211"/>
      <c r="I12" s="209"/>
      <c r="J12" s="209"/>
      <c r="K12" s="209"/>
      <c r="L12" s="209"/>
      <c r="M12" s="671"/>
      <c r="N12" s="671"/>
      <c r="O12" s="208"/>
      <c r="P12" s="146"/>
    </row>
    <row r="13" spans="3:21" ht="15" hidden="1" customHeight="1" x14ac:dyDescent="0.2">
      <c r="C13" s="361" t="s">
        <v>240</v>
      </c>
      <c r="D13" s="362" t="s">
        <v>242</v>
      </c>
      <c r="E13" s="203"/>
      <c r="F13" s="210"/>
      <c r="G13" s="558"/>
      <c r="H13" s="211"/>
      <c r="I13" s="209"/>
      <c r="J13" s="209"/>
      <c r="K13" s="209"/>
      <c r="L13" s="209"/>
      <c r="M13" s="671"/>
      <c r="N13" s="671"/>
      <c r="O13" s="208"/>
      <c r="P13" s="146"/>
    </row>
    <row r="14" spans="3:21" ht="15" hidden="1" customHeight="1" x14ac:dyDescent="0.2">
      <c r="C14" s="361" t="s">
        <v>240</v>
      </c>
      <c r="D14" s="362" t="s">
        <v>242</v>
      </c>
      <c r="E14" s="203"/>
      <c r="F14" s="210"/>
      <c r="G14" s="558"/>
      <c r="H14" s="211"/>
      <c r="I14" s="209"/>
      <c r="J14" s="209"/>
      <c r="K14" s="209"/>
      <c r="L14" s="209"/>
      <c r="M14" s="671"/>
      <c r="N14" s="671"/>
      <c r="O14" s="208"/>
      <c r="P14" s="146"/>
    </row>
    <row r="15" spans="3:21" ht="15" hidden="1" customHeight="1" x14ac:dyDescent="0.2">
      <c r="C15" s="361" t="s">
        <v>240</v>
      </c>
      <c r="D15" s="362" t="s">
        <v>242</v>
      </c>
      <c r="E15" s="203"/>
      <c r="F15" s="210"/>
      <c r="G15" s="558"/>
      <c r="H15" s="211"/>
      <c r="I15" s="209"/>
      <c r="J15" s="209"/>
      <c r="K15" s="209"/>
      <c r="L15" s="209"/>
      <c r="M15" s="671"/>
      <c r="N15" s="671"/>
      <c r="O15" s="208"/>
      <c r="P15" s="146"/>
    </row>
    <row r="16" spans="3:21" ht="15" hidden="1" customHeight="1" thickBot="1" x14ac:dyDescent="0.25">
      <c r="C16" s="361" t="s">
        <v>240</v>
      </c>
      <c r="D16" s="362" t="s">
        <v>242</v>
      </c>
      <c r="E16" s="203"/>
      <c r="F16" s="210"/>
      <c r="G16" s="558"/>
      <c r="H16" s="211"/>
      <c r="I16" s="212"/>
      <c r="J16" s="212"/>
      <c r="K16" s="212"/>
      <c r="L16" s="212"/>
      <c r="M16" s="672"/>
      <c r="N16" s="672"/>
      <c r="O16" s="208"/>
      <c r="P16" s="146"/>
    </row>
    <row r="17" spans="3:16" ht="15" hidden="1" customHeight="1" thickBot="1" x14ac:dyDescent="0.25">
      <c r="C17" s="677" t="s">
        <v>243</v>
      </c>
      <c r="D17" s="678"/>
      <c r="E17" s="213"/>
      <c r="F17" s="679"/>
      <c r="G17" s="680"/>
      <c r="H17" s="680"/>
      <c r="I17" s="680"/>
      <c r="J17" s="680"/>
      <c r="K17" s="680"/>
      <c r="L17" s="680"/>
      <c r="M17" s="680"/>
      <c r="N17" s="680"/>
      <c r="O17" s="681"/>
      <c r="P17" s="146"/>
    </row>
    <row r="18" spans="3:16" ht="15" customHeight="1" thickBot="1" x14ac:dyDescent="0.25">
      <c r="C18" s="682"/>
      <c r="D18" s="683"/>
      <c r="E18" s="214">
        <f>SUM(E7:E16)</f>
        <v>0</v>
      </c>
      <c r="F18" s="214"/>
      <c r="G18" s="215">
        <f t="shared" ref="G18:M18" si="0">SUM(G7:G16)</f>
        <v>695</v>
      </c>
      <c r="H18" s="279">
        <f t="shared" si="0"/>
        <v>2</v>
      </c>
      <c r="I18" s="214">
        <f t="shared" si="0"/>
        <v>0</v>
      </c>
      <c r="J18" s="214">
        <f t="shared" si="0"/>
        <v>0</v>
      </c>
      <c r="K18" s="214">
        <f t="shared" si="0"/>
        <v>0</v>
      </c>
      <c r="L18" s="214">
        <f t="shared" si="0"/>
        <v>0</v>
      </c>
      <c r="M18" s="214">
        <f t="shared" si="0"/>
        <v>0</v>
      </c>
      <c r="N18" s="214">
        <f>SUM(N7:N16)</f>
        <v>0</v>
      </c>
      <c r="O18" s="302"/>
      <c r="P18" s="146"/>
    </row>
    <row r="19" spans="3:16" ht="15" hidden="1" customHeight="1" x14ac:dyDescent="0.2">
      <c r="C19" s="359" t="s">
        <v>244</v>
      </c>
      <c r="D19" s="360" t="s">
        <v>245</v>
      </c>
      <c r="E19" s="197"/>
      <c r="F19" s="198"/>
      <c r="G19" s="566"/>
      <c r="H19" s="556"/>
      <c r="I19" s="201"/>
      <c r="J19" s="201"/>
      <c r="K19" s="201"/>
      <c r="L19" s="201"/>
      <c r="M19" s="670"/>
      <c r="N19" s="670"/>
      <c r="O19" s="202"/>
      <c r="P19" s="146"/>
    </row>
    <row r="20" spans="3:16" ht="15" customHeight="1" thickBot="1" x14ac:dyDescent="0.25">
      <c r="C20" s="361" t="s">
        <v>244</v>
      </c>
      <c r="D20" s="362" t="s">
        <v>246</v>
      </c>
      <c r="E20" s="203"/>
      <c r="F20" s="210">
        <v>46238</v>
      </c>
      <c r="G20" s="567">
        <v>30.6</v>
      </c>
      <c r="H20" s="557">
        <v>1</v>
      </c>
      <c r="I20" s="207"/>
      <c r="J20" s="207"/>
      <c r="K20" s="207"/>
      <c r="L20" s="207"/>
      <c r="M20" s="671"/>
      <c r="N20" s="671"/>
      <c r="O20" s="208"/>
      <c r="P20" s="146"/>
    </row>
    <row r="21" spans="3:16" ht="15" hidden="1" customHeight="1" x14ac:dyDescent="0.2">
      <c r="C21" s="361" t="s">
        <v>244</v>
      </c>
      <c r="D21" s="362" t="s">
        <v>246</v>
      </c>
      <c r="E21" s="203"/>
      <c r="F21" s="210"/>
      <c r="G21" s="567"/>
      <c r="H21" s="557"/>
      <c r="I21" s="209"/>
      <c r="J21" s="209"/>
      <c r="K21" s="209"/>
      <c r="L21" s="209"/>
      <c r="M21" s="671"/>
      <c r="N21" s="671"/>
      <c r="O21" s="208"/>
      <c r="P21" s="146"/>
    </row>
    <row r="22" spans="3:16" ht="15" hidden="1" customHeight="1" x14ac:dyDescent="0.2">
      <c r="C22" s="361" t="s">
        <v>244</v>
      </c>
      <c r="D22" s="362" t="s">
        <v>246</v>
      </c>
      <c r="E22" s="203"/>
      <c r="F22" s="210"/>
      <c r="G22" s="567"/>
      <c r="H22" s="557"/>
      <c r="I22" s="209"/>
      <c r="J22" s="209"/>
      <c r="K22" s="209"/>
      <c r="L22" s="209"/>
      <c r="M22" s="671"/>
      <c r="N22" s="671"/>
      <c r="O22" s="208"/>
      <c r="P22" s="146"/>
    </row>
    <row r="23" spans="3:16" ht="15" hidden="1" customHeight="1" x14ac:dyDescent="0.2">
      <c r="C23" s="361" t="s">
        <v>244</v>
      </c>
      <c r="D23" s="362" t="s">
        <v>246</v>
      </c>
      <c r="E23" s="203"/>
      <c r="F23" s="210"/>
      <c r="G23" s="567"/>
      <c r="H23" s="557"/>
      <c r="I23" s="209"/>
      <c r="J23" s="209"/>
      <c r="K23" s="209"/>
      <c r="L23" s="209"/>
      <c r="M23" s="671"/>
      <c r="N23" s="671"/>
      <c r="O23" s="208"/>
      <c r="P23" s="146"/>
    </row>
    <row r="24" spans="3:16" ht="15" hidden="1" customHeight="1" x14ac:dyDescent="0.2">
      <c r="C24" s="361" t="s">
        <v>244</v>
      </c>
      <c r="D24" s="362" t="s">
        <v>246</v>
      </c>
      <c r="E24" s="203"/>
      <c r="F24" s="210"/>
      <c r="G24" s="558"/>
      <c r="H24" s="211"/>
      <c r="I24" s="209"/>
      <c r="J24" s="209"/>
      <c r="K24" s="209"/>
      <c r="L24" s="209"/>
      <c r="M24" s="671"/>
      <c r="N24" s="671"/>
      <c r="O24" s="208"/>
      <c r="P24" s="146"/>
    </row>
    <row r="25" spans="3:16" ht="15" hidden="1" customHeight="1" x14ac:dyDescent="0.2">
      <c r="C25" s="361" t="s">
        <v>244</v>
      </c>
      <c r="D25" s="362" t="s">
        <v>246</v>
      </c>
      <c r="E25" s="203"/>
      <c r="F25" s="204"/>
      <c r="G25" s="558"/>
      <c r="H25" s="206"/>
      <c r="I25" s="209"/>
      <c r="J25" s="209"/>
      <c r="K25" s="209"/>
      <c r="L25" s="209"/>
      <c r="M25" s="671"/>
      <c r="N25" s="671"/>
      <c r="O25" s="208"/>
      <c r="P25" s="146"/>
    </row>
    <row r="26" spans="3:16" ht="15" hidden="1" customHeight="1" x14ac:dyDescent="0.2">
      <c r="C26" s="361" t="s">
        <v>244</v>
      </c>
      <c r="D26" s="362" t="s">
        <v>246</v>
      </c>
      <c r="E26" s="203"/>
      <c r="F26" s="204"/>
      <c r="G26" s="558"/>
      <c r="H26" s="206"/>
      <c r="I26" s="209"/>
      <c r="J26" s="209"/>
      <c r="K26" s="209"/>
      <c r="L26" s="209"/>
      <c r="M26" s="671"/>
      <c r="N26" s="671"/>
      <c r="O26" s="208"/>
      <c r="P26" s="146"/>
    </row>
    <row r="27" spans="3:16" ht="15" hidden="1" customHeight="1" x14ac:dyDescent="0.2">
      <c r="C27" s="361" t="s">
        <v>244</v>
      </c>
      <c r="D27" s="362" t="s">
        <v>246</v>
      </c>
      <c r="E27" s="203"/>
      <c r="F27" s="204"/>
      <c r="G27" s="558"/>
      <c r="H27" s="206"/>
      <c r="I27" s="209"/>
      <c r="J27" s="209"/>
      <c r="K27" s="209"/>
      <c r="L27" s="209"/>
      <c r="M27" s="671"/>
      <c r="N27" s="671"/>
      <c r="O27" s="208"/>
      <c r="P27" s="146"/>
    </row>
    <row r="28" spans="3:16" ht="15" hidden="1" customHeight="1" thickBot="1" x14ac:dyDescent="0.25">
      <c r="C28" s="363" t="s">
        <v>244</v>
      </c>
      <c r="D28" s="364" t="s">
        <v>246</v>
      </c>
      <c r="E28" s="203"/>
      <c r="F28" s="210"/>
      <c r="G28" s="558"/>
      <c r="H28" s="211"/>
      <c r="I28" s="212"/>
      <c r="J28" s="212"/>
      <c r="K28" s="212"/>
      <c r="L28" s="212"/>
      <c r="M28" s="672"/>
      <c r="N28" s="672"/>
      <c r="O28" s="208"/>
      <c r="P28" s="146"/>
    </row>
    <row r="29" spans="3:16" ht="15" hidden="1" customHeight="1" thickBot="1" x14ac:dyDescent="0.25">
      <c r="C29" s="677" t="s">
        <v>243</v>
      </c>
      <c r="D29" s="678"/>
      <c r="E29" s="213"/>
      <c r="F29" s="679"/>
      <c r="G29" s="680"/>
      <c r="H29" s="680"/>
      <c r="I29" s="680"/>
      <c r="J29" s="680"/>
      <c r="K29" s="680"/>
      <c r="L29" s="680"/>
      <c r="M29" s="680"/>
      <c r="N29" s="680"/>
      <c r="O29" s="681"/>
      <c r="P29" s="146"/>
    </row>
    <row r="30" spans="3:16" ht="15" customHeight="1" thickBot="1" x14ac:dyDescent="0.25">
      <c r="C30" s="682"/>
      <c r="D30" s="683"/>
      <c r="E30" s="214">
        <f>SUM(E19:E28)</f>
        <v>0</v>
      </c>
      <c r="F30" s="214"/>
      <c r="G30" s="215">
        <f t="shared" ref="G30:M30" si="1">SUM(G19:G28)</f>
        <v>30.6</v>
      </c>
      <c r="H30" s="279">
        <f t="shared" si="1"/>
        <v>1</v>
      </c>
      <c r="I30" s="214">
        <f t="shared" si="1"/>
        <v>0</v>
      </c>
      <c r="J30" s="214">
        <f t="shared" si="1"/>
        <v>0</v>
      </c>
      <c r="K30" s="214">
        <f t="shared" si="1"/>
        <v>0</v>
      </c>
      <c r="L30" s="214">
        <f t="shared" si="1"/>
        <v>0</v>
      </c>
      <c r="M30" s="214">
        <f t="shared" si="1"/>
        <v>0</v>
      </c>
      <c r="N30" s="214">
        <f>SUM(N19:N28)</f>
        <v>0</v>
      </c>
      <c r="O30" s="302"/>
      <c r="P30" s="146"/>
    </row>
    <row r="31" spans="3:16" ht="15" customHeight="1" x14ac:dyDescent="0.2">
      <c r="C31" s="359" t="s">
        <v>247</v>
      </c>
      <c r="D31" s="360" t="s">
        <v>248</v>
      </c>
      <c r="E31" s="197"/>
      <c r="F31" s="198">
        <v>46238</v>
      </c>
      <c r="G31" s="566">
        <v>433.6</v>
      </c>
      <c r="H31" s="556">
        <v>1</v>
      </c>
      <c r="I31" s="201"/>
      <c r="J31" s="201"/>
      <c r="K31" s="201"/>
      <c r="L31" s="201"/>
      <c r="M31" s="670"/>
      <c r="N31" s="670"/>
      <c r="O31" s="202"/>
      <c r="P31" s="146"/>
    </row>
    <row r="32" spans="3:16" ht="15.75" x14ac:dyDescent="0.2">
      <c r="C32" s="361" t="s">
        <v>247</v>
      </c>
      <c r="D32" s="362" t="s">
        <v>249</v>
      </c>
      <c r="E32" s="203"/>
      <c r="F32" s="210">
        <v>46232</v>
      </c>
      <c r="G32" s="567">
        <v>2.8</v>
      </c>
      <c r="H32" s="557">
        <v>1</v>
      </c>
      <c r="I32" s="207"/>
      <c r="J32" s="207"/>
      <c r="K32" s="207"/>
      <c r="L32" s="207"/>
      <c r="M32" s="671"/>
      <c r="N32" s="671"/>
      <c r="O32" s="208"/>
      <c r="P32" s="146"/>
    </row>
    <row r="33" spans="3:16" ht="15" customHeight="1" thickBot="1" x14ac:dyDescent="0.25">
      <c r="C33" s="361" t="s">
        <v>247</v>
      </c>
      <c r="D33" s="362" t="s">
        <v>249</v>
      </c>
      <c r="E33" s="203"/>
      <c r="F33" s="204">
        <v>46234</v>
      </c>
      <c r="G33" s="567">
        <v>0</v>
      </c>
      <c r="H33" s="553">
        <v>1</v>
      </c>
      <c r="I33" s="209"/>
      <c r="J33" s="209"/>
      <c r="K33" s="209"/>
      <c r="L33" s="209"/>
      <c r="M33" s="671"/>
      <c r="N33" s="671"/>
      <c r="O33" s="208"/>
      <c r="P33" s="146"/>
    </row>
    <row r="34" spans="3:16" ht="15" hidden="1" customHeight="1" x14ac:dyDescent="0.2">
      <c r="C34" s="361" t="s">
        <v>247</v>
      </c>
      <c r="D34" s="362" t="s">
        <v>249</v>
      </c>
      <c r="E34" s="203"/>
      <c r="F34" s="210"/>
      <c r="G34" s="567"/>
      <c r="H34" s="557"/>
      <c r="I34" s="209"/>
      <c r="J34" s="209"/>
      <c r="K34" s="209"/>
      <c r="L34" s="209"/>
      <c r="M34" s="671"/>
      <c r="N34" s="671"/>
      <c r="O34" s="208"/>
      <c r="P34" s="146"/>
    </row>
    <row r="35" spans="3:16" ht="15" hidden="1" customHeight="1" x14ac:dyDescent="0.2">
      <c r="C35" s="361" t="s">
        <v>247</v>
      </c>
      <c r="D35" s="362" t="s">
        <v>249</v>
      </c>
      <c r="E35" s="203"/>
      <c r="F35" s="210"/>
      <c r="G35" s="567"/>
      <c r="H35" s="557"/>
      <c r="I35" s="209"/>
      <c r="J35" s="209"/>
      <c r="K35" s="209"/>
      <c r="L35" s="209"/>
      <c r="M35" s="671"/>
      <c r="N35" s="671"/>
      <c r="O35" s="208"/>
      <c r="P35" s="146"/>
    </row>
    <row r="36" spans="3:16" ht="15" hidden="1" customHeight="1" x14ac:dyDescent="0.2">
      <c r="C36" s="361" t="s">
        <v>247</v>
      </c>
      <c r="D36" s="362" t="s">
        <v>249</v>
      </c>
      <c r="E36" s="203"/>
      <c r="F36" s="210"/>
      <c r="G36" s="567"/>
      <c r="H36" s="557"/>
      <c r="I36" s="209"/>
      <c r="J36" s="209"/>
      <c r="K36" s="209"/>
      <c r="L36" s="209"/>
      <c r="M36" s="671"/>
      <c r="N36" s="671"/>
      <c r="O36" s="208"/>
      <c r="P36" s="146"/>
    </row>
    <row r="37" spans="3:16" ht="15" hidden="1" customHeight="1" x14ac:dyDescent="0.2">
      <c r="C37" s="361" t="s">
        <v>247</v>
      </c>
      <c r="D37" s="362" t="s">
        <v>249</v>
      </c>
      <c r="E37" s="203"/>
      <c r="F37" s="210"/>
      <c r="G37" s="558"/>
      <c r="H37" s="211"/>
      <c r="I37" s="209"/>
      <c r="J37" s="209"/>
      <c r="K37" s="209"/>
      <c r="L37" s="209"/>
      <c r="M37" s="671"/>
      <c r="N37" s="671"/>
      <c r="O37" s="208"/>
      <c r="P37" s="146"/>
    </row>
    <row r="38" spans="3:16" ht="15" hidden="1" customHeight="1" x14ac:dyDescent="0.2">
      <c r="C38" s="361" t="s">
        <v>247</v>
      </c>
      <c r="D38" s="362" t="s">
        <v>249</v>
      </c>
      <c r="E38" s="203"/>
      <c r="F38" s="210"/>
      <c r="G38" s="558"/>
      <c r="H38" s="211"/>
      <c r="I38" s="209"/>
      <c r="J38" s="209"/>
      <c r="K38" s="209"/>
      <c r="L38" s="209"/>
      <c r="M38" s="671"/>
      <c r="N38" s="671"/>
      <c r="O38" s="208"/>
      <c r="P38" s="146"/>
    </row>
    <row r="39" spans="3:16" ht="15" hidden="1" customHeight="1" x14ac:dyDescent="0.2">
      <c r="C39" s="361" t="s">
        <v>247</v>
      </c>
      <c r="D39" s="362" t="s">
        <v>249</v>
      </c>
      <c r="E39" s="203"/>
      <c r="F39" s="210"/>
      <c r="G39" s="558"/>
      <c r="H39" s="211"/>
      <c r="I39" s="209"/>
      <c r="J39" s="209"/>
      <c r="K39" s="209"/>
      <c r="L39" s="209"/>
      <c r="M39" s="671"/>
      <c r="N39" s="671"/>
      <c r="O39" s="208"/>
      <c r="P39" s="146"/>
    </row>
    <row r="40" spans="3:16" ht="16.5" hidden="1" thickBot="1" x14ac:dyDescent="0.25">
      <c r="C40" s="361" t="s">
        <v>247</v>
      </c>
      <c r="D40" s="362" t="s">
        <v>249</v>
      </c>
      <c r="E40" s="203"/>
      <c r="F40" s="210"/>
      <c r="G40" s="558"/>
      <c r="H40" s="211"/>
      <c r="I40" s="212"/>
      <c r="J40" s="212"/>
      <c r="K40" s="212"/>
      <c r="L40" s="212"/>
      <c r="M40" s="672"/>
      <c r="N40" s="672"/>
      <c r="O40" s="208"/>
      <c r="P40" s="146"/>
    </row>
    <row r="41" spans="3:16" ht="16.5" hidden="1" thickBot="1" x14ac:dyDescent="0.25">
      <c r="C41" s="677" t="s">
        <v>243</v>
      </c>
      <c r="D41" s="678"/>
      <c r="E41" s="213"/>
      <c r="F41" s="679"/>
      <c r="G41" s="680"/>
      <c r="H41" s="680"/>
      <c r="I41" s="680"/>
      <c r="J41" s="680"/>
      <c r="K41" s="680"/>
      <c r="L41" s="680"/>
      <c r="M41" s="680"/>
      <c r="N41" s="680"/>
      <c r="O41" s="681"/>
      <c r="P41" s="146"/>
    </row>
    <row r="42" spans="3:16" ht="15" customHeight="1" thickBot="1" x14ac:dyDescent="0.25">
      <c r="C42" s="682"/>
      <c r="D42" s="683"/>
      <c r="E42" s="214">
        <f>SUM(E31:E40)</f>
        <v>0</v>
      </c>
      <c r="F42" s="214"/>
      <c r="G42" s="215">
        <f t="shared" ref="G42:M42" si="2">SUM(G31:G40)</f>
        <v>436.40000000000003</v>
      </c>
      <c r="H42" s="279">
        <f t="shared" si="2"/>
        <v>3</v>
      </c>
      <c r="I42" s="214">
        <f t="shared" si="2"/>
        <v>0</v>
      </c>
      <c r="J42" s="214">
        <f t="shared" si="2"/>
        <v>0</v>
      </c>
      <c r="K42" s="214">
        <f t="shared" si="2"/>
        <v>0</v>
      </c>
      <c r="L42" s="214">
        <f t="shared" si="2"/>
        <v>0</v>
      </c>
      <c r="M42" s="214">
        <f t="shared" si="2"/>
        <v>0</v>
      </c>
      <c r="N42" s="214">
        <f>SUM(N31:N40)</f>
        <v>0</v>
      </c>
      <c r="O42" s="302"/>
      <c r="P42" s="146"/>
    </row>
    <row r="43" spans="3:16" ht="15" hidden="1" customHeight="1" thickBot="1" x14ac:dyDescent="0.25">
      <c r="C43" s="359" t="s">
        <v>250</v>
      </c>
      <c r="D43" s="360" t="s">
        <v>248</v>
      </c>
      <c r="E43" s="197"/>
      <c r="F43" s="204"/>
      <c r="G43" s="567"/>
      <c r="H43" s="553"/>
      <c r="I43" s="201"/>
      <c r="J43" s="201"/>
      <c r="K43" s="201"/>
      <c r="L43" s="201"/>
      <c r="M43" s="684"/>
      <c r="N43" s="684"/>
      <c r="O43" s="202"/>
      <c r="P43" s="146"/>
    </row>
    <row r="44" spans="3:16" ht="16.5" hidden="1" thickBot="1" x14ac:dyDescent="0.25">
      <c r="C44" s="361" t="s">
        <v>250</v>
      </c>
      <c r="D44" s="362" t="s">
        <v>249</v>
      </c>
      <c r="E44" s="203"/>
      <c r="F44" s="204"/>
      <c r="G44" s="567"/>
      <c r="H44" s="557"/>
      <c r="I44" s="207"/>
      <c r="J44" s="207"/>
      <c r="K44" s="207"/>
      <c r="L44" s="207"/>
      <c r="M44" s="684"/>
      <c r="N44" s="684"/>
      <c r="O44" s="208"/>
      <c r="P44" s="146"/>
    </row>
    <row r="45" spans="3:16" ht="16.5" hidden="1" thickBot="1" x14ac:dyDescent="0.25">
      <c r="C45" s="361" t="s">
        <v>250</v>
      </c>
      <c r="D45" s="362" t="s">
        <v>249</v>
      </c>
      <c r="E45" s="203"/>
      <c r="F45" s="210"/>
      <c r="G45" s="567"/>
      <c r="H45" s="557"/>
      <c r="I45" s="209"/>
      <c r="J45" s="209"/>
      <c r="K45" s="209"/>
      <c r="L45" s="209"/>
      <c r="M45" s="684"/>
      <c r="N45" s="684"/>
      <c r="O45" s="208"/>
      <c r="P45" s="146"/>
    </row>
    <row r="46" spans="3:16" ht="16.5" hidden="1" thickBot="1" x14ac:dyDescent="0.25">
      <c r="C46" s="361" t="s">
        <v>250</v>
      </c>
      <c r="D46" s="362" t="s">
        <v>249</v>
      </c>
      <c r="E46" s="203"/>
      <c r="F46" s="210"/>
      <c r="G46" s="567"/>
      <c r="H46" s="557"/>
      <c r="I46" s="209"/>
      <c r="J46" s="209"/>
      <c r="K46" s="209"/>
      <c r="L46" s="209"/>
      <c r="M46" s="684"/>
      <c r="N46" s="684"/>
      <c r="O46" s="208"/>
      <c r="P46" s="146"/>
    </row>
    <row r="47" spans="3:16" ht="16.5" hidden="1" thickBot="1" x14ac:dyDescent="0.25">
      <c r="C47" s="361" t="s">
        <v>250</v>
      </c>
      <c r="D47" s="362" t="s">
        <v>249</v>
      </c>
      <c r="E47" s="203"/>
      <c r="F47" s="210"/>
      <c r="G47" s="567"/>
      <c r="H47" s="557"/>
      <c r="I47" s="209"/>
      <c r="J47" s="209"/>
      <c r="K47" s="209"/>
      <c r="L47" s="209"/>
      <c r="M47" s="684"/>
      <c r="N47" s="684"/>
      <c r="O47" s="208"/>
      <c r="P47" s="146"/>
    </row>
    <row r="48" spans="3:16" ht="16.5" hidden="1" thickBot="1" x14ac:dyDescent="0.25">
      <c r="C48" s="361" t="s">
        <v>250</v>
      </c>
      <c r="D48" s="362" t="s">
        <v>249</v>
      </c>
      <c r="E48" s="203"/>
      <c r="F48" s="204"/>
      <c r="G48" s="567"/>
      <c r="H48" s="553"/>
      <c r="I48" s="209"/>
      <c r="J48" s="209"/>
      <c r="K48" s="209"/>
      <c r="L48" s="209"/>
      <c r="M48" s="684"/>
      <c r="N48" s="684"/>
      <c r="O48" s="208"/>
      <c r="P48" s="146"/>
    </row>
    <row r="49" spans="3:16" ht="16.5" hidden="1" thickBot="1" x14ac:dyDescent="0.25">
      <c r="C49" s="361" t="s">
        <v>250</v>
      </c>
      <c r="D49" s="362" t="s">
        <v>249</v>
      </c>
      <c r="E49" s="203"/>
      <c r="F49" s="210"/>
      <c r="G49" s="567"/>
      <c r="H49" s="557"/>
      <c r="I49" s="209"/>
      <c r="J49" s="209"/>
      <c r="K49" s="209"/>
      <c r="L49" s="209"/>
      <c r="M49" s="684"/>
      <c r="N49" s="684"/>
      <c r="O49" s="208"/>
      <c r="P49" s="146"/>
    </row>
    <row r="50" spans="3:16" ht="16.5" hidden="1" thickBot="1" x14ac:dyDescent="0.25">
      <c r="C50" s="361" t="s">
        <v>250</v>
      </c>
      <c r="D50" s="362" t="s">
        <v>249</v>
      </c>
      <c r="E50" s="203"/>
      <c r="F50" s="210"/>
      <c r="G50" s="558"/>
      <c r="H50" s="211"/>
      <c r="I50" s="209"/>
      <c r="J50" s="209"/>
      <c r="K50" s="209"/>
      <c r="L50" s="209"/>
      <c r="M50" s="684"/>
      <c r="N50" s="684"/>
      <c r="O50" s="208"/>
      <c r="P50" s="146"/>
    </row>
    <row r="51" spans="3:16" ht="16.5" hidden="1" thickBot="1" x14ac:dyDescent="0.25">
      <c r="C51" s="361" t="s">
        <v>250</v>
      </c>
      <c r="D51" s="362" t="s">
        <v>249</v>
      </c>
      <c r="E51" s="203"/>
      <c r="F51" s="210"/>
      <c r="G51" s="558"/>
      <c r="H51" s="211"/>
      <c r="I51" s="209"/>
      <c r="J51" s="209"/>
      <c r="K51" s="209"/>
      <c r="L51" s="209"/>
      <c r="M51" s="684"/>
      <c r="N51" s="684"/>
      <c r="O51" s="208"/>
      <c r="P51" s="146"/>
    </row>
    <row r="52" spans="3:16" ht="16.5" hidden="1" thickBot="1" x14ac:dyDescent="0.25">
      <c r="C52" s="361" t="s">
        <v>250</v>
      </c>
      <c r="D52" s="362" t="s">
        <v>249</v>
      </c>
      <c r="E52" s="203"/>
      <c r="F52" s="210"/>
      <c r="G52" s="558"/>
      <c r="H52" s="211"/>
      <c r="I52" s="209"/>
      <c r="J52" s="209"/>
      <c r="K52" s="209"/>
      <c r="L52" s="209"/>
      <c r="M52" s="684"/>
      <c r="N52" s="684"/>
      <c r="O52" s="208"/>
      <c r="P52" s="146"/>
    </row>
    <row r="53" spans="3:16" ht="16.5" hidden="1" thickBot="1" x14ac:dyDescent="0.25">
      <c r="C53" s="677" t="s">
        <v>243</v>
      </c>
      <c r="D53" s="678"/>
      <c r="E53" s="213"/>
      <c r="F53" s="679"/>
      <c r="G53" s="680"/>
      <c r="H53" s="680"/>
      <c r="I53" s="680"/>
      <c r="J53" s="680"/>
      <c r="K53" s="680"/>
      <c r="L53" s="680"/>
      <c r="M53" s="680"/>
      <c r="N53" s="680"/>
      <c r="O53" s="681"/>
      <c r="P53" s="146"/>
    </row>
    <row r="54" spans="3:16" ht="15" customHeight="1" thickBot="1" x14ac:dyDescent="0.25">
      <c r="C54" s="682"/>
      <c r="D54" s="683"/>
      <c r="E54" s="214">
        <f>SUM(E43:E52)</f>
        <v>0</v>
      </c>
      <c r="F54" s="214"/>
      <c r="G54" s="215">
        <f t="shared" ref="G54:M54" si="3">SUM(G43:G52)</f>
        <v>0</v>
      </c>
      <c r="H54" s="279">
        <f t="shared" si="3"/>
        <v>0</v>
      </c>
      <c r="I54" s="214">
        <f t="shared" si="3"/>
        <v>0</v>
      </c>
      <c r="J54" s="214">
        <f t="shared" si="3"/>
        <v>0</v>
      </c>
      <c r="K54" s="214">
        <f t="shared" si="3"/>
        <v>0</v>
      </c>
      <c r="L54" s="214">
        <f t="shared" si="3"/>
        <v>0</v>
      </c>
      <c r="M54" s="214">
        <f t="shared" si="3"/>
        <v>0</v>
      </c>
      <c r="N54" s="214">
        <f>SUM(N43:N52)</f>
        <v>0</v>
      </c>
      <c r="O54" s="302"/>
      <c r="P54" s="146"/>
    </row>
    <row r="55" spans="3:16" ht="6" customHeight="1" thickBot="1" x14ac:dyDescent="0.25"/>
    <row r="56" spans="3:16" ht="15" customHeight="1" thickBot="1" x14ac:dyDescent="0.25">
      <c r="C56" s="682" t="s">
        <v>251</v>
      </c>
      <c r="D56" s="683"/>
      <c r="E56" s="216">
        <f>E54+E42+E30+E18</f>
        <v>0</v>
      </c>
      <c r="F56" s="216"/>
      <c r="G56" s="215">
        <f t="shared" ref="G56:M56" si="4">G54+G42+G30+G18</f>
        <v>1162</v>
      </c>
      <c r="H56" s="216">
        <f>H54+H42+H30+H18</f>
        <v>6</v>
      </c>
      <c r="I56" s="216">
        <f t="shared" si="4"/>
        <v>0</v>
      </c>
      <c r="J56" s="216">
        <f t="shared" si="4"/>
        <v>0</v>
      </c>
      <c r="K56" s="216">
        <f t="shared" si="4"/>
        <v>0</v>
      </c>
      <c r="L56" s="216">
        <f t="shared" si="4"/>
        <v>0</v>
      </c>
      <c r="M56" s="216">
        <f t="shared" si="4"/>
        <v>0</v>
      </c>
      <c r="N56" s="216">
        <f>N54+N42+N30+N18</f>
        <v>0</v>
      </c>
      <c r="O56" s="218"/>
      <c r="P56" s="146"/>
    </row>
    <row r="57" spans="3:16" ht="16.5" thickBot="1" x14ac:dyDescent="0.25">
      <c r="C57" s="673" t="s">
        <v>252</v>
      </c>
      <c r="D57" s="674"/>
      <c r="E57" s="675"/>
      <c r="F57" s="676"/>
      <c r="G57" s="676"/>
      <c r="H57" s="674"/>
      <c r="I57" s="675"/>
      <c r="J57" s="676"/>
      <c r="K57" s="676"/>
      <c r="L57" s="676"/>
      <c r="M57" s="676"/>
      <c r="N57" s="676"/>
      <c r="O57" s="699"/>
      <c r="P57" s="146"/>
    </row>
    <row r="58" spans="3:16" ht="18.75" customHeight="1" x14ac:dyDescent="0.2">
      <c r="C58" s="685"/>
      <c r="D58" s="686"/>
      <c r="E58" s="689"/>
      <c r="F58" s="690"/>
      <c r="G58" s="690"/>
      <c r="H58" s="691"/>
      <c r="I58" s="223"/>
      <c r="J58" s="223"/>
      <c r="K58" s="223"/>
      <c r="L58" s="685"/>
      <c r="M58" s="695"/>
      <c r="N58" s="695"/>
      <c r="O58" s="696"/>
      <c r="P58" s="146"/>
    </row>
    <row r="59" spans="3:16" ht="18.75" customHeight="1" thickBot="1" x14ac:dyDescent="0.25">
      <c r="C59" s="687"/>
      <c r="D59" s="688"/>
      <c r="E59" s="692"/>
      <c r="F59" s="693"/>
      <c r="G59" s="693"/>
      <c r="H59" s="694"/>
      <c r="I59" s="224"/>
      <c r="J59" s="224"/>
      <c r="K59" s="224"/>
      <c r="L59" s="687"/>
      <c r="M59" s="697"/>
      <c r="N59" s="697"/>
      <c r="O59" s="698"/>
      <c r="P59" s="146"/>
    </row>
    <row r="61" spans="3:16" ht="14.85" customHeight="1" x14ac:dyDescent="0.2">
      <c r="C61" s="225"/>
    </row>
    <row r="63" spans="3:16" ht="12.75" x14ac:dyDescent="0.2"/>
    <row r="65" spans="9:9" ht="14.85" customHeight="1" x14ac:dyDescent="0.2">
      <c r="I65" s="452"/>
    </row>
  </sheetData>
  <sheetProtection formatCells="0" formatColumns="0" formatRows="0" insertColumns="0" insertRows="0" insertHyperlinks="0" deleteColumns="0" deleteRows="0" sort="0" autoFilter="0" pivotTables="0"/>
  <mergeCells count="51">
    <mergeCell ref="C3:D3"/>
    <mergeCell ref="E3:F3"/>
    <mergeCell ref="G3:H3"/>
    <mergeCell ref="J3:L3"/>
    <mergeCell ref="C1:F2"/>
    <mergeCell ref="I1:J1"/>
    <mergeCell ref="K1:L1"/>
    <mergeCell ref="G2:H2"/>
    <mergeCell ref="J2:L2"/>
    <mergeCell ref="G1:H1"/>
    <mergeCell ref="G4:H4"/>
    <mergeCell ref="C5:C6"/>
    <mergeCell ref="D5:D6"/>
    <mergeCell ref="E5:E6"/>
    <mergeCell ref="F5:F6"/>
    <mergeCell ref="G5:G6"/>
    <mergeCell ref="H5:H6"/>
    <mergeCell ref="C17:D17"/>
    <mergeCell ref="F17:O17"/>
    <mergeCell ref="C18:D18"/>
    <mergeCell ref="I5:I6"/>
    <mergeCell ref="J5:J6"/>
    <mergeCell ref="K5:K6"/>
    <mergeCell ref="L5:L6"/>
    <mergeCell ref="M5:M6"/>
    <mergeCell ref="N5:N6"/>
    <mergeCell ref="O5:O6"/>
    <mergeCell ref="M7:M16"/>
    <mergeCell ref="N7:N16"/>
    <mergeCell ref="M19:M28"/>
    <mergeCell ref="N19:N28"/>
    <mergeCell ref="C29:D29"/>
    <mergeCell ref="F29:O29"/>
    <mergeCell ref="C30:D30"/>
    <mergeCell ref="C58:D59"/>
    <mergeCell ref="E58:H59"/>
    <mergeCell ref="L58:O59"/>
    <mergeCell ref="C56:D56"/>
    <mergeCell ref="C54:D54"/>
    <mergeCell ref="I57:O57"/>
    <mergeCell ref="M31:M40"/>
    <mergeCell ref="N31:N40"/>
    <mergeCell ref="C57:D57"/>
    <mergeCell ref="E57:H57"/>
    <mergeCell ref="C41:D41"/>
    <mergeCell ref="F41:O41"/>
    <mergeCell ref="C42:D42"/>
    <mergeCell ref="M43:M52"/>
    <mergeCell ref="N43:N52"/>
    <mergeCell ref="C53:D53"/>
    <mergeCell ref="F53:O53"/>
  </mergeCells>
  <phoneticPr fontId="33" type="noConversion"/>
  <pageMargins left="0" right="0" top="0.31496062992125984" bottom="0.31496062992125984" header="0" footer="0"/>
  <pageSetup paperSize="9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rar_minuta_guarapuava">
                <anchor moveWithCells="1">
                  <from>
                    <xdr:col>15</xdr:col>
                    <xdr:colOff>1638300</xdr:colOff>
                    <xdr:row>0</xdr:row>
                    <xdr:rowOff>114300</xdr:rowOff>
                  </from>
                  <to>
                    <xdr:col>15</xdr:col>
                    <xdr:colOff>2771775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Reexibir_Linhas_GUA">
                <anchor moveWithCells="1">
                  <from>
                    <xdr:col>15</xdr:col>
                    <xdr:colOff>1638300</xdr:colOff>
                    <xdr:row>1</xdr:row>
                    <xdr:rowOff>257175</xdr:rowOff>
                  </from>
                  <to>
                    <xdr:col>15</xdr:col>
                    <xdr:colOff>2771775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Ocultar_Linhas_GUA">
                <anchor moveWithCells="1">
                  <from>
                    <xdr:col>15</xdr:col>
                    <xdr:colOff>1638300</xdr:colOff>
                    <xdr:row>3</xdr:row>
                    <xdr:rowOff>28575</xdr:rowOff>
                  </from>
                  <to>
                    <xdr:col>15</xdr:col>
                    <xdr:colOff>2771775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Limpar_min_GUA">
                <anchor moveWithCells="1">
                  <from>
                    <xdr:col>15</xdr:col>
                    <xdr:colOff>1638300</xdr:colOff>
                    <xdr:row>5</xdr:row>
                    <xdr:rowOff>0</xdr:rowOff>
                  </from>
                  <to>
                    <xdr:col>15</xdr:col>
                    <xdr:colOff>2771775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05">
    <tabColor rgb="FF00B050"/>
    <pageSetUpPr fitToPage="1"/>
  </sheetPr>
  <dimension ref="A1:AE133"/>
  <sheetViews>
    <sheetView view="pageBreakPreview" topLeftCell="C1" zoomScale="70" zoomScaleNormal="70" zoomScaleSheetLayoutView="70" workbookViewId="0">
      <selection activeCell="J19" sqref="J19"/>
    </sheetView>
  </sheetViews>
  <sheetFormatPr defaultColWidth="9.140625" defaultRowHeight="12.75" x14ac:dyDescent="0.2"/>
  <cols>
    <col min="1" max="1" width="20.28515625" style="80" hidden="1" customWidth="1"/>
    <col min="2" max="2" width="31" style="80" hidden="1" customWidth="1"/>
    <col min="3" max="3" width="25" style="324" bestFit="1" customWidth="1"/>
    <col min="4" max="4" width="12.85546875" style="80" customWidth="1"/>
    <col min="5" max="5" width="16.5703125" style="80" bestFit="1" customWidth="1"/>
    <col min="6" max="6" width="18.5703125" style="80" bestFit="1" customWidth="1"/>
    <col min="7" max="7" width="28.140625" style="80" bestFit="1" customWidth="1"/>
    <col min="8" max="8" width="14.5703125" style="80" customWidth="1"/>
    <col min="9" max="9" width="10" style="80" customWidth="1"/>
    <col min="10" max="10" width="162.7109375" style="80" bestFit="1" customWidth="1"/>
    <col min="11" max="11" width="17" style="80" customWidth="1"/>
    <col min="12" max="13" width="17.140625" style="80" customWidth="1"/>
    <col min="14" max="14" width="10.85546875" style="80" customWidth="1"/>
    <col min="15" max="15" width="15.42578125" style="80" customWidth="1"/>
    <col min="16" max="16" width="13.7109375" style="80" customWidth="1"/>
    <col min="17" max="17" width="9.85546875" style="80" customWidth="1"/>
    <col min="18" max="18" width="12" style="80" customWidth="1"/>
    <col min="19" max="19" width="9.85546875" style="80" customWidth="1"/>
    <col min="20" max="20" width="11.140625" style="80" customWidth="1"/>
    <col min="21" max="27" width="9.85546875" style="80" customWidth="1"/>
    <col min="28" max="28" width="9.7109375" style="80" customWidth="1"/>
    <col min="29" max="29" width="9.85546875" style="80" customWidth="1"/>
    <col min="30" max="30" width="10.7109375" style="80" customWidth="1"/>
    <col min="31" max="31" width="11.7109375" style="80" bestFit="1" customWidth="1"/>
    <col min="32" max="16384" width="9.140625" style="79"/>
  </cols>
  <sheetData>
    <row r="1" spans="1:31" ht="29.25" customHeight="1" thickBot="1" x14ac:dyDescent="0.25">
      <c r="A1" s="336"/>
      <c r="B1" s="83"/>
      <c r="C1" s="741" t="s">
        <v>253</v>
      </c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3"/>
      <c r="Q1" s="51" t="s">
        <v>254</v>
      </c>
      <c r="R1" s="752" t="s">
        <v>255</v>
      </c>
      <c r="S1" s="752"/>
      <c r="T1" s="752"/>
      <c r="U1" s="752"/>
      <c r="V1" s="752"/>
      <c r="W1" s="52" t="s">
        <v>256</v>
      </c>
      <c r="X1" s="752" t="s">
        <v>223</v>
      </c>
      <c r="Y1" s="752"/>
      <c r="Z1" s="752"/>
      <c r="AA1" s="752"/>
      <c r="AB1" s="752"/>
      <c r="AC1" s="752"/>
      <c r="AD1" s="39"/>
      <c r="AE1" s="50"/>
    </row>
    <row r="2" spans="1:31" ht="13.5" customHeight="1" thickBot="1" x14ac:dyDescent="0.25">
      <c r="A2" s="337" t="s">
        <v>257</v>
      </c>
      <c r="B2" s="337"/>
      <c r="C2" s="744" t="s">
        <v>903</v>
      </c>
      <c r="D2" s="745"/>
      <c r="E2" s="745"/>
      <c r="F2" s="745"/>
      <c r="G2" s="746"/>
      <c r="H2" s="750">
        <f>SUM(H5:$H$76)</f>
        <v>6161.0000000000009</v>
      </c>
      <c r="I2" s="82" t="s">
        <v>258</v>
      </c>
      <c r="J2" s="735"/>
      <c r="K2" s="736"/>
      <c r="L2" s="736"/>
      <c r="M2" s="736"/>
      <c r="N2" s="736"/>
      <c r="O2" s="736"/>
      <c r="P2" s="737"/>
      <c r="Q2" s="82">
        <v>50060031</v>
      </c>
      <c r="R2" s="82">
        <v>50063715</v>
      </c>
      <c r="S2" s="82">
        <v>50063716</v>
      </c>
      <c r="T2" s="82">
        <v>50063717</v>
      </c>
      <c r="U2" s="82">
        <v>50995328</v>
      </c>
      <c r="V2" s="82">
        <v>50995321</v>
      </c>
      <c r="W2" s="82">
        <v>50995322</v>
      </c>
      <c r="X2" s="82">
        <v>50060033</v>
      </c>
      <c r="Y2" s="82">
        <v>50060032</v>
      </c>
      <c r="Z2" s="83">
        <v>50062498</v>
      </c>
      <c r="AA2" s="82">
        <v>50062660</v>
      </c>
      <c r="AB2" s="82">
        <v>50062661</v>
      </c>
      <c r="AC2" s="82">
        <v>50062499</v>
      </c>
      <c r="AD2" s="82"/>
      <c r="AE2" s="733"/>
    </row>
    <row r="3" spans="1:31" ht="14.25" customHeight="1" thickBot="1" x14ac:dyDescent="0.3">
      <c r="A3" s="343"/>
      <c r="B3" s="343"/>
      <c r="C3" s="747"/>
      <c r="D3" s="748"/>
      <c r="E3" s="748"/>
      <c r="F3" s="748"/>
      <c r="G3" s="749"/>
      <c r="H3" s="751"/>
      <c r="I3" s="243">
        <f>SUM(I5:I76)</f>
        <v>284</v>
      </c>
      <c r="J3" s="738"/>
      <c r="K3" s="739"/>
      <c r="L3" s="739"/>
      <c r="M3" s="739"/>
      <c r="N3" s="739"/>
      <c r="O3" s="739"/>
      <c r="P3" s="740"/>
      <c r="Q3" s="82">
        <f>SUMIF(RECONVAN!$F:$F,HORÁRIO!$Q$2,RECONVAN!$I:$I)</f>
        <v>0</v>
      </c>
      <c r="R3" s="82">
        <f>SUMIF(RECONVAN!$F:$F,HORÁRIO!$R$2,RECONVAN!$I:$I)</f>
        <v>0</v>
      </c>
      <c r="S3" s="82">
        <f>SUMIF(RECONVAN!$F:$F,HORÁRIO!$S$2,RECONVAN!$I:$I)</f>
        <v>0</v>
      </c>
      <c r="T3" s="82">
        <f>SUMIF(RECONVAN!$F:$F,HORÁRIO!$T$2,RECONVAN!$I:$I)</f>
        <v>0</v>
      </c>
      <c r="U3" s="82">
        <f>SUMIF(RECONVAN!$F:$F,HORÁRIO!$U$2,RECONVAN!$I:$I)</f>
        <v>0</v>
      </c>
      <c r="V3" s="82">
        <f>SUMIF(RECONVAN!$F:$F,HORÁRIO!$V$2,RECONVAN!$I:$I)</f>
        <v>0</v>
      </c>
      <c r="W3" s="82">
        <f>SUMIF(RECONVAN!$F:$F,HORÁRIO!$W$2,RECONVAN!$I:$I)</f>
        <v>0</v>
      </c>
      <c r="X3" s="82">
        <f>SUMIF(RECONVAN!$F:$F,HORÁRIO!$X$2,RECONVAN!$I:$I)</f>
        <v>0</v>
      </c>
      <c r="Y3" s="82">
        <f>SUMIF(RECONVAN!$F:$F,HORÁRIO!$Y$2,RECONVAN!$I:$I)</f>
        <v>0</v>
      </c>
      <c r="Z3" s="82">
        <f>SUMIF(RECONVAN!$F:$F,HORÁRIO!$Z$2,RECONVAN!$I:$I)</f>
        <v>0</v>
      </c>
      <c r="AA3" s="82">
        <f>SUMIF(RECONVAN!$F:$F,HORÁRIO!$AA$2,RECONVAN!$I:$I)</f>
        <v>0</v>
      </c>
      <c r="AB3" s="82">
        <f>SUMIF(RECONVAN!$F:$F,HORÁRIO!$AB$2,RECONVAN!$I:$I)</f>
        <v>0</v>
      </c>
      <c r="AC3" s="82">
        <f>SUMIF(RECONVAN!$F:$F,HORÁRIO!$AC$2,RECONVAN!$I:$I)</f>
        <v>0</v>
      </c>
      <c r="AD3" s="82"/>
      <c r="AE3" s="734"/>
    </row>
    <row r="4" spans="1:31" s="90" customFormat="1" ht="38.25" customHeight="1" thickBot="1" x14ac:dyDescent="0.3">
      <c r="A4" s="91" t="s">
        <v>259</v>
      </c>
      <c r="B4" s="91" t="s">
        <v>260</v>
      </c>
      <c r="C4" s="447" t="s">
        <v>261</v>
      </c>
      <c r="D4" s="91" t="s">
        <v>262</v>
      </c>
      <c r="E4" s="91" t="s">
        <v>263</v>
      </c>
      <c r="F4" s="91" t="s">
        <v>264</v>
      </c>
      <c r="G4" s="91" t="s">
        <v>265</v>
      </c>
      <c r="H4" s="91" t="s">
        <v>266</v>
      </c>
      <c r="I4" s="91" t="s">
        <v>267</v>
      </c>
      <c r="J4" s="91" t="s">
        <v>268</v>
      </c>
      <c r="K4" s="91" t="s">
        <v>269</v>
      </c>
      <c r="L4" s="91" t="s">
        <v>13</v>
      </c>
      <c r="M4" s="91" t="s">
        <v>270</v>
      </c>
      <c r="N4" s="91" t="s">
        <v>7</v>
      </c>
      <c r="O4" s="91" t="s">
        <v>271</v>
      </c>
      <c r="P4" s="91" t="s">
        <v>272</v>
      </c>
      <c r="Q4" s="92" t="s">
        <v>8</v>
      </c>
      <c r="R4" s="93" t="s">
        <v>273</v>
      </c>
      <c r="S4" s="93" t="s">
        <v>274</v>
      </c>
      <c r="T4" s="93" t="s">
        <v>275</v>
      </c>
      <c r="U4" s="92" t="s">
        <v>276</v>
      </c>
      <c r="V4" s="92" t="s">
        <v>277</v>
      </c>
      <c r="W4" s="93" t="s">
        <v>278</v>
      </c>
      <c r="X4" s="92" t="s">
        <v>279</v>
      </c>
      <c r="Y4" s="92" t="s">
        <v>280</v>
      </c>
      <c r="Z4" s="93" t="s">
        <v>281</v>
      </c>
      <c r="AA4" s="93" t="s">
        <v>282</v>
      </c>
      <c r="AB4" s="93" t="s">
        <v>283</v>
      </c>
      <c r="AC4" s="93" t="s">
        <v>284</v>
      </c>
      <c r="AD4" s="94" t="s">
        <v>285</v>
      </c>
      <c r="AE4" s="94" t="s">
        <v>286</v>
      </c>
    </row>
    <row r="5" spans="1:31" ht="18.75" customHeight="1" x14ac:dyDescent="0.3">
      <c r="A5" s="344" t="str">
        <f>D5&amp;C5</f>
        <v>BR21960046234</v>
      </c>
      <c r="B5" s="344" t="str">
        <f>PUXADA!B2</f>
        <v>BR219600462346497427</v>
      </c>
      <c r="C5" s="449">
        <f>IF(B5&lt;&gt;"",_xlfn.XLOOKUP(B5,PUXADA!$B$2:$B$939,PUXADA!$C$2:$C$939,""),"")</f>
        <v>46234</v>
      </c>
      <c r="D5" s="345" t="str">
        <f>IF(B5&lt;&gt;"",_xlfn.XLOOKUP(B5,PUXADA!$B$2:$B$939,PUXADA!$I$2:$I$939,""),"")</f>
        <v>BR219600</v>
      </c>
      <c r="E5" s="345" t="str">
        <f>_xlfn.XLOOKUP(D5,'BR''S'!$B$2:$B$104,'BR''S'!$C$2:$C$104,"")</f>
        <v>BR0219600</v>
      </c>
      <c r="F5" s="345" t="str">
        <f>_xlfn.XLOOKUP(D5,'BR''S'!$B$2:$B$104,'BR''S'!$H$2:$H$104,"")</f>
        <v>24H</v>
      </c>
      <c r="G5" s="345" t="str">
        <f>_xlfn.XLOOKUP(D5,'BR''S'!$B$2:$B$104,'BR''S'!$D$2:$D$104,"")</f>
        <v>FADEL - FIXO - FIORINO</v>
      </c>
      <c r="H5" s="347">
        <f>IF(B5&lt;&gt;"",PUXADA!P2,"")</f>
        <v>202.2</v>
      </c>
      <c r="I5" s="345">
        <f>IF(B5&lt;&gt;"",PUXADA!G2,"")</f>
        <v>19</v>
      </c>
      <c r="J5" s="323"/>
      <c r="K5" s="84"/>
      <c r="L5" s="84"/>
      <c r="M5" s="84"/>
      <c r="N5" s="84">
        <f>AE5</f>
        <v>0</v>
      </c>
      <c r="O5" s="84"/>
      <c r="P5" s="84"/>
      <c r="Q5" s="85">
        <f>IF(B5&lt;&gt;"",SUMIFS(RECONVAN!I:I,RECONVAN!$A:$A,HORÁRIO!B5,RECONVAN!$F:$F,HORÁRIO!$Q$2),"")</f>
        <v>0</v>
      </c>
      <c r="R5" s="85">
        <f>IF(B5&lt;&gt;"",SUMIFS(RECONVAN!I:I,RECONVAN!$A:$A,HORÁRIO!B5,RECONVAN!$F:$F,HORÁRIO!$R$2),"")</f>
        <v>0</v>
      </c>
      <c r="S5" s="85">
        <f>IF(B5&lt;&gt;"",SUMIFS(RECONVAN!I:I,RECONVAN!$A:$A,HORÁRIO!B5,RECONVAN!$F:$F,HORÁRIO!$S$2),"")</f>
        <v>0</v>
      </c>
      <c r="T5" s="85">
        <f>IF(B5&lt;&gt;"",SUMIFS(RECONVAN!I:I,RECONVAN!$A:$A,HORÁRIO!B5,RECONVAN!$F:$F,HORÁRIO!$T$2),"")</f>
        <v>0</v>
      </c>
      <c r="U5" s="85">
        <f>IF(B5&lt;&gt;"",SUMIFS(RECONVAN!I:I,RECONVAN!$A:$A,HORÁRIO!B5,RECONVAN!$F:$F,HORÁRIO!$U$2),"")</f>
        <v>0</v>
      </c>
      <c r="V5" s="85">
        <f>IF(B5&lt;&gt;"",SUMIFS(RECONVAN!I:I,RECONVAN!$A:$A,HORÁRIO!B5,RECONVAN!$F:$F,HORÁRIO!$V$2),"")</f>
        <v>0</v>
      </c>
      <c r="W5" s="85">
        <f>IF(B5&lt;&gt;"",SUMIFS(RECONVAN!I:I,RECONVAN!$A:$A,HORÁRIO!B5,RECONVAN!$F:$F,HORÁRIO!$W$2),"")</f>
        <v>0</v>
      </c>
      <c r="X5" s="85">
        <f>IF(B5&lt;&gt;"",SUMIFS(RECONVAN!I:I,RECONVAN!$A:$A,HORÁRIO!B5,RECONVAN!$F:$F,HORÁRIO!$X$2),"")</f>
        <v>0</v>
      </c>
      <c r="Y5" s="85">
        <f>IF(B5&lt;&gt;"",SUMIFS(RECONVAN!I:I,RECONVAN!$A:$A,HORÁRIO!B5,RECONVAN!$F:$F,HORÁRIO!$Y$2),"")</f>
        <v>0</v>
      </c>
      <c r="Z5" s="85">
        <f>IF(B5&lt;&gt;"",SUMIFS(RECONVAN!I:I,RECONVAN!$A:$A,HORÁRIO!B5,RECONVAN!$F:$F,HORÁRIO!$Z$2),"")</f>
        <v>0</v>
      </c>
      <c r="AA5" s="85">
        <f>IF(B5&lt;&gt;"",SUMIFS(RECONVAN!I:I,RECONVAN!$A:$A,HORÁRIO!B5,RECONVAN!$F:$F,HORÁRIO!$AA$2),"")</f>
        <v>0</v>
      </c>
      <c r="AB5" s="85">
        <f>IF(B5&lt;&gt;"",SUMIFS(RECONVAN!I:I,RECONVAN!$A:$A,HORÁRIO!B5,RECONVAN!$F:$F,HORÁRIO!$AB$2),"")</f>
        <v>0</v>
      </c>
      <c r="AC5" s="85">
        <f>IF(B5&lt;&gt;"",SUMIFS(RECONVAN!I:I,RECONVAN!$A:$A,HORÁRIO!B5,RECONVAN!$F:$F,HORÁRIO!$AC$2),"")</f>
        <v>0</v>
      </c>
      <c r="AD5" s="86">
        <f t="shared" ref="AD5:AD36" si="0">IF(B5&lt;&gt;"",SUM(Z5:AC5),"")</f>
        <v>0</v>
      </c>
      <c r="AE5" s="86">
        <f t="shared" ref="AE5:AE36" si="1">IF(B5&lt;&gt;"",SUM(U5:Y5),"")</f>
        <v>0</v>
      </c>
    </row>
    <row r="6" spans="1:31" ht="21" customHeight="1" x14ac:dyDescent="0.3">
      <c r="A6" s="344" t="str">
        <f t="shared" ref="A6:A16" si="2">D6&amp;C6</f>
        <v>BR21960346234</v>
      </c>
      <c r="B6" s="344" t="str">
        <f>PUXADA!B3</f>
        <v>BR219603462346497865</v>
      </c>
      <c r="C6" s="448">
        <f>IF(B6&lt;&gt;"",_xlfn.XLOOKUP(B6,PUXADA!$B$2:$B$939,PUXADA!$C$2:$C$939,""),"")</f>
        <v>46234</v>
      </c>
      <c r="D6" s="345" t="str">
        <f>IF(B6&lt;&gt;"",_xlfn.XLOOKUP(B6,PUXADA!$B$2:$B$939,PUXADA!$I$2:$I$939,""),"")</f>
        <v>BR219603</v>
      </c>
      <c r="E6" s="345" t="str">
        <f>_xlfn.XLOOKUP(D6,'BR''S'!$B$2:$B$104,'BR''S'!$C$2:$C$104,"")</f>
        <v>BR0219603</v>
      </c>
      <c r="F6" s="345" t="str">
        <f>_xlfn.XLOOKUP(D6,'BR''S'!$B$2:$B$104,'BR''S'!$H$2:$H$104,"")</f>
        <v>24H</v>
      </c>
      <c r="G6" s="345" t="str">
        <f>_xlfn.XLOOKUP(D6,'BR''S'!$B$2:$B$104,'BR''S'!$D$2:$D$104,"")</f>
        <v>FADEL - FIXO - FIORINO</v>
      </c>
      <c r="H6" s="347">
        <f>IF(B6&lt;&gt;"",PUXADA!P3,"")</f>
        <v>178.4</v>
      </c>
      <c r="I6" s="345">
        <f>IF(B6&lt;&gt;"",PUXADA!G3,"")</f>
        <v>20</v>
      </c>
      <c r="J6" s="322"/>
      <c r="K6" s="87"/>
      <c r="L6" s="87"/>
      <c r="M6" s="87"/>
      <c r="N6" s="87">
        <f t="shared" ref="N6:N12" si="3">AE6</f>
        <v>0</v>
      </c>
      <c r="O6" s="87"/>
      <c r="P6" s="87"/>
      <c r="Q6" s="88">
        <f>IF(B6&lt;&gt;"",SUMIFS(RECONVAN!I:I,RECONVAN!$A:$A,HORÁRIO!B6,RECONVAN!$F:$F,HORÁRIO!$Q$2),"")</f>
        <v>0</v>
      </c>
      <c r="R6" s="88">
        <f>IF(B6&lt;&gt;"",SUMIFS(RECONVAN!I:I,RECONVAN!$A:$A,HORÁRIO!B6,RECONVAN!$F:$F,HORÁRIO!$R$2),"")</f>
        <v>0</v>
      </c>
      <c r="S6" s="88">
        <f>IF(B6&lt;&gt;"",SUMIFS(RECONVAN!I:I,RECONVAN!$A:$A,HORÁRIO!B6,RECONVAN!$F:$F,HORÁRIO!$S$2),"")</f>
        <v>0</v>
      </c>
      <c r="T6" s="88">
        <f>IF(B6&lt;&gt;"",SUMIFS(RECONVAN!I:I,RECONVAN!$A:$A,HORÁRIO!B6,RECONVAN!$F:$F,HORÁRIO!$T$2),"")</f>
        <v>0</v>
      </c>
      <c r="U6" s="88">
        <f>IF(B6&lt;&gt;"",SUMIFS(RECONVAN!I:I,RECONVAN!$A:$A,HORÁRIO!B6,RECONVAN!$F:$F,HORÁRIO!$U$2),"")</f>
        <v>0</v>
      </c>
      <c r="V6" s="88">
        <f>IF(B6&lt;&gt;"",SUMIFS(RECONVAN!I:I,RECONVAN!$A:$A,HORÁRIO!B6,RECONVAN!$F:$F,HORÁRIO!$V$2),"")</f>
        <v>0</v>
      </c>
      <c r="W6" s="88">
        <f>IF(B6&lt;&gt;"",SUMIFS(RECONVAN!I:I,RECONVAN!$A:$A,HORÁRIO!B6,RECONVAN!$F:$F,HORÁRIO!$W$2),"")</f>
        <v>0</v>
      </c>
      <c r="X6" s="88">
        <f>IF(B6&lt;&gt;"",SUMIFS(RECONVAN!I:I,RECONVAN!$A:$A,HORÁRIO!B6,RECONVAN!$F:$F,HORÁRIO!$X$2),"")</f>
        <v>0</v>
      </c>
      <c r="Y6" s="88">
        <f>IF(B6&lt;&gt;"",SUMIFS(RECONVAN!I:I,RECONVAN!$A:$A,HORÁRIO!B6,RECONVAN!$F:$F,HORÁRIO!$Y$2),"")</f>
        <v>0</v>
      </c>
      <c r="Z6" s="88">
        <f>IF(B6&lt;&gt;"",SUMIFS(RECONVAN!I:I,RECONVAN!$A:$A,HORÁRIO!B6,RECONVAN!$F:$F,HORÁRIO!$Z$2),"")</f>
        <v>0</v>
      </c>
      <c r="AA6" s="88">
        <f>IF(B6&lt;&gt;"",SUMIFS(RECONVAN!I:I,RECONVAN!$A:$A,HORÁRIO!B6,RECONVAN!$F:$F,HORÁRIO!$AA$2),"")</f>
        <v>0</v>
      </c>
      <c r="AB6" s="88">
        <f>IF(B6&lt;&gt;"",SUMIFS(RECONVAN!I:I,RECONVAN!$A:$A,HORÁRIO!B6,RECONVAN!$F:$F,HORÁRIO!$AB$2),"")</f>
        <v>0</v>
      </c>
      <c r="AC6" s="88">
        <f>IF(B6&lt;&gt;"",SUMIFS(RECONVAN!I:I,RECONVAN!$A:$A,HORÁRIO!B6,RECONVAN!$F:$F,HORÁRIO!$AC$2),"")</f>
        <v>0</v>
      </c>
      <c r="AD6" s="89">
        <f t="shared" si="0"/>
        <v>0</v>
      </c>
      <c r="AE6" s="89">
        <f t="shared" si="1"/>
        <v>0</v>
      </c>
    </row>
    <row r="7" spans="1:31" ht="18" customHeight="1" x14ac:dyDescent="0.3">
      <c r="A7" s="344" t="str">
        <f t="shared" si="2"/>
        <v>BR21959946234</v>
      </c>
      <c r="B7" s="344" t="str">
        <f>PUXADA!B4</f>
        <v>BR219599462346497750</v>
      </c>
      <c r="C7" s="449">
        <f>IF(B7&lt;&gt;"",_xlfn.XLOOKUP(B7,PUXADA!$B$2:$B$939,PUXADA!$C$2:$C$939,""),"")</f>
        <v>46234</v>
      </c>
      <c r="D7" s="345" t="str">
        <f>IF(B7&lt;&gt;"",_xlfn.XLOOKUP(B7,PUXADA!$B$2:$B$939,PUXADA!$I$2:$I$939,""),"")</f>
        <v>BR219599</v>
      </c>
      <c r="E7" s="345" t="str">
        <f>_xlfn.XLOOKUP(D7,'BR''S'!$B$2:$B$104,'BR''S'!$C$2:$C$104,"")</f>
        <v>BR0219599</v>
      </c>
      <c r="F7" s="345" t="str">
        <f>_xlfn.XLOOKUP(D7,'BR''S'!$B$2:$B$104,'BR''S'!$H$2:$H$104,"")</f>
        <v>24H</v>
      </c>
      <c r="G7" s="345" t="str">
        <f>_xlfn.XLOOKUP(D7,'BR''S'!$B$2:$B$104,'BR''S'!$D$2:$D$104,"")</f>
        <v>FADEL - FIXO - FIORINO</v>
      </c>
      <c r="H7" s="347">
        <f>IF(B7&lt;&gt;"",PUXADA!P4,"")</f>
        <v>124.2</v>
      </c>
      <c r="I7" s="345">
        <f>IF(B7&lt;&gt;"",PUXADA!G4,"")</f>
        <v>14</v>
      </c>
      <c r="J7" s="323"/>
      <c r="K7" s="84"/>
      <c r="L7" s="84"/>
      <c r="M7" s="84"/>
      <c r="N7" s="84">
        <f t="shared" si="3"/>
        <v>0</v>
      </c>
      <c r="O7" s="84"/>
      <c r="P7" s="84"/>
      <c r="Q7" s="85">
        <f>IF(B7&lt;&gt;"",SUMIFS(RECONVAN!I:I,RECONVAN!$A:$A,HORÁRIO!B7,RECONVAN!$F:$F,HORÁRIO!$Q$2),"")</f>
        <v>0</v>
      </c>
      <c r="R7" s="85">
        <f>IF(B7&lt;&gt;"",SUMIFS(RECONVAN!I:I,RECONVAN!$A:$A,HORÁRIO!B7,RECONVAN!$F:$F,HORÁRIO!$R$2),"")</f>
        <v>0</v>
      </c>
      <c r="S7" s="85">
        <f>IF(B7&lt;&gt;"",SUMIFS(RECONVAN!I:I,RECONVAN!$A:$A,HORÁRIO!B7,RECONVAN!$F:$F,HORÁRIO!$S$2),"")</f>
        <v>0</v>
      </c>
      <c r="T7" s="85">
        <f>IF(B7&lt;&gt;"",SUMIFS(RECONVAN!I:I,RECONVAN!$A:$A,HORÁRIO!B7,RECONVAN!$F:$F,HORÁRIO!$T$2),"")</f>
        <v>0</v>
      </c>
      <c r="U7" s="85">
        <f>IF(B7&lt;&gt;"",SUMIFS(RECONVAN!I:I,RECONVAN!$A:$A,HORÁRIO!B7,RECONVAN!$F:$F,HORÁRIO!$U$2),"")</f>
        <v>0</v>
      </c>
      <c r="V7" s="85">
        <f>IF(B7&lt;&gt;"",SUMIFS(RECONVAN!I:I,RECONVAN!$A:$A,HORÁRIO!B7,RECONVAN!$F:$F,HORÁRIO!$V$2),"")</f>
        <v>0</v>
      </c>
      <c r="W7" s="85">
        <f>IF(B7&lt;&gt;"",SUMIFS(RECONVAN!I:I,RECONVAN!$A:$A,HORÁRIO!B7,RECONVAN!$F:$F,HORÁRIO!$W$2),"")</f>
        <v>0</v>
      </c>
      <c r="X7" s="85">
        <f>IF(B7&lt;&gt;"",SUMIFS(RECONVAN!I:I,RECONVAN!$A:$A,HORÁRIO!B7,RECONVAN!$F:$F,HORÁRIO!$X$2),"")</f>
        <v>0</v>
      </c>
      <c r="Y7" s="85">
        <f>IF(B7&lt;&gt;"",SUMIFS(RECONVAN!I:I,RECONVAN!$A:$A,HORÁRIO!B7,RECONVAN!$F:$F,HORÁRIO!$Y$2),"")</f>
        <v>0</v>
      </c>
      <c r="Z7" s="85">
        <f>IF(B7&lt;&gt;"",SUMIFS(RECONVAN!I:I,RECONVAN!$A:$A,HORÁRIO!B7,RECONVAN!$F:$F,HORÁRIO!$Z$2),"")</f>
        <v>0</v>
      </c>
      <c r="AA7" s="85">
        <f>IF(B7&lt;&gt;"",SUMIFS(RECONVAN!I:I,RECONVAN!$A:$A,HORÁRIO!B7,RECONVAN!$F:$F,HORÁRIO!$AA$2),"")</f>
        <v>0</v>
      </c>
      <c r="AB7" s="85">
        <f>IF(B7&lt;&gt;"",SUMIFS(RECONVAN!I:I,RECONVAN!$A:$A,HORÁRIO!B7,RECONVAN!$F:$F,HORÁRIO!$AB$2),"")</f>
        <v>0</v>
      </c>
      <c r="AC7" s="85">
        <f>IF(B7&lt;&gt;"",SUMIFS(RECONVAN!I:I,RECONVAN!$A:$A,HORÁRIO!B7,RECONVAN!$F:$F,HORÁRIO!$AC$2),"")</f>
        <v>0</v>
      </c>
      <c r="AD7" s="86">
        <f t="shared" si="0"/>
        <v>0</v>
      </c>
      <c r="AE7" s="86">
        <f t="shared" si="1"/>
        <v>0</v>
      </c>
    </row>
    <row r="8" spans="1:31" ht="18.75" x14ac:dyDescent="0.3">
      <c r="A8" s="344" t="str">
        <f t="shared" si="2"/>
        <v>BR21960646234</v>
      </c>
      <c r="B8" s="344" t="str">
        <f>PUXADA!B5</f>
        <v>BR219606462346497120</v>
      </c>
      <c r="C8" s="448">
        <f>IF(B8&lt;&gt;"",_xlfn.XLOOKUP(B8,PUXADA!$B$2:$B$939,PUXADA!$C$2:$C$939,""),"")</f>
        <v>46234</v>
      </c>
      <c r="D8" s="345" t="str">
        <f>IF(B8&lt;&gt;"",_xlfn.XLOOKUP(B8,PUXADA!$B$2:$B$939,PUXADA!$I$2:$I$939,""),"")</f>
        <v>BR219606</v>
      </c>
      <c r="E8" s="345" t="str">
        <f>_xlfn.XLOOKUP(D8,'BR''S'!$B$2:$B$104,'BR''S'!$C$2:$C$104,"")</f>
        <v>BR0219606</v>
      </c>
      <c r="F8" s="345" t="str">
        <f>_xlfn.XLOOKUP(D8,'BR''S'!$B$2:$B$104,'BR''S'!$H$2:$H$104,"")</f>
        <v>24H</v>
      </c>
      <c r="G8" s="345" t="str">
        <f>_xlfn.XLOOKUP(D8,'BR''S'!$B$2:$B$104,'BR''S'!$D$2:$D$104,"")</f>
        <v>FADEL - FIXO - FIORINO</v>
      </c>
      <c r="H8" s="347">
        <f>IF(B8&lt;&gt;"",PUXADA!P5,"")</f>
        <v>265.8</v>
      </c>
      <c r="I8" s="345">
        <f>IF(B8&lt;&gt;"",PUXADA!G5,"")</f>
        <v>27</v>
      </c>
      <c r="J8" s="322"/>
      <c r="K8" s="87"/>
      <c r="L8" s="87"/>
      <c r="M8" s="87"/>
      <c r="N8" s="87">
        <f t="shared" si="3"/>
        <v>0</v>
      </c>
      <c r="O8" s="87"/>
      <c r="P8" s="87"/>
      <c r="Q8" s="88">
        <f>IF(B8&lt;&gt;"",SUMIFS(RECONVAN!I:I,RECONVAN!$A:$A,HORÁRIO!B8,RECONVAN!$F:$F,HORÁRIO!$Q$2),"")</f>
        <v>0</v>
      </c>
      <c r="R8" s="88">
        <f>IF(B8&lt;&gt;"",SUMIFS(RECONVAN!I:I,RECONVAN!$A:$A,HORÁRIO!B8,RECONVAN!$F:$F,HORÁRIO!$R$2),"")</f>
        <v>0</v>
      </c>
      <c r="S8" s="88">
        <f>IF(B8&lt;&gt;"",SUMIFS(RECONVAN!I:I,RECONVAN!$A:$A,HORÁRIO!B8,RECONVAN!$F:$F,HORÁRIO!$S$2),"")</f>
        <v>0</v>
      </c>
      <c r="T8" s="88">
        <f>IF(B8&lt;&gt;"",SUMIFS(RECONVAN!I:I,RECONVAN!$A:$A,HORÁRIO!B8,RECONVAN!$F:$F,HORÁRIO!$T$2),"")</f>
        <v>0</v>
      </c>
      <c r="U8" s="88">
        <f>IF(B8&lt;&gt;"",SUMIFS(RECONVAN!I:I,RECONVAN!$A:$A,HORÁRIO!B8,RECONVAN!$F:$F,HORÁRIO!$U$2),"")</f>
        <v>0</v>
      </c>
      <c r="V8" s="88">
        <f>IF(B8&lt;&gt;"",SUMIFS(RECONVAN!I:I,RECONVAN!$A:$A,HORÁRIO!B8,RECONVAN!$F:$F,HORÁRIO!$V$2),"")</f>
        <v>0</v>
      </c>
      <c r="W8" s="88">
        <f>IF(B8&lt;&gt;"",SUMIFS(RECONVAN!I:I,RECONVAN!$A:$A,HORÁRIO!B8,RECONVAN!$F:$F,HORÁRIO!$W$2),"")</f>
        <v>0</v>
      </c>
      <c r="X8" s="88">
        <f>IF(B8&lt;&gt;"",SUMIFS(RECONVAN!I:I,RECONVAN!$A:$A,HORÁRIO!B8,RECONVAN!$F:$F,HORÁRIO!$X$2),"")</f>
        <v>0</v>
      </c>
      <c r="Y8" s="88">
        <f>IF(B8&lt;&gt;"",SUMIFS(RECONVAN!I:I,RECONVAN!$A:$A,HORÁRIO!B8,RECONVAN!$F:$F,HORÁRIO!$Y$2),"")</f>
        <v>0</v>
      </c>
      <c r="Z8" s="88">
        <f>IF(B8&lt;&gt;"",SUMIFS(RECONVAN!I:I,RECONVAN!$A:$A,HORÁRIO!B8,RECONVAN!$F:$F,HORÁRIO!$Z$2),"")</f>
        <v>0</v>
      </c>
      <c r="AA8" s="88">
        <f>IF(B8&lt;&gt;"",SUMIFS(RECONVAN!I:I,RECONVAN!$A:$A,HORÁRIO!B8,RECONVAN!$F:$F,HORÁRIO!$AA$2),"")</f>
        <v>0</v>
      </c>
      <c r="AB8" s="88">
        <f>IF(B8&lt;&gt;"",SUMIFS(RECONVAN!I:I,RECONVAN!$A:$A,HORÁRIO!B8,RECONVAN!$F:$F,HORÁRIO!$AB$2),"")</f>
        <v>0</v>
      </c>
      <c r="AC8" s="88">
        <f>IF(B8&lt;&gt;"",SUMIFS(RECONVAN!I:I,RECONVAN!$A:$A,HORÁRIO!B8,RECONVAN!$F:$F,HORÁRIO!$AC$2),"")</f>
        <v>0</v>
      </c>
      <c r="AD8" s="89">
        <f t="shared" si="0"/>
        <v>0</v>
      </c>
      <c r="AE8" s="89">
        <f t="shared" si="1"/>
        <v>0</v>
      </c>
    </row>
    <row r="9" spans="1:31" ht="18" customHeight="1" x14ac:dyDescent="0.3">
      <c r="A9" s="344" t="str">
        <f t="shared" si="2"/>
        <v>BR21960146234</v>
      </c>
      <c r="B9" s="344" t="str">
        <f>PUXADA!B6</f>
        <v>BR219601462346497807</v>
      </c>
      <c r="C9" s="449">
        <f>IF(B9&lt;&gt;"",_xlfn.XLOOKUP(B9,PUXADA!$B$2:$B$939,PUXADA!$C$2:$C$939,""),"")</f>
        <v>46234</v>
      </c>
      <c r="D9" s="345" t="str">
        <f>IF(B9&lt;&gt;"",_xlfn.XLOOKUP(B9,PUXADA!$B$2:$B$939,PUXADA!$I$2:$I$939,""),"")</f>
        <v>BR219601</v>
      </c>
      <c r="E9" s="345" t="str">
        <f>_xlfn.XLOOKUP(D9,'BR''S'!$B$2:$B$104,'BR''S'!$C$2:$C$104,"")</f>
        <v>BR0219601</v>
      </c>
      <c r="F9" s="345" t="str">
        <f>_xlfn.XLOOKUP(D9,'BR''S'!$B$2:$B$104,'BR''S'!$H$2:$H$104,"")</f>
        <v>24H</v>
      </c>
      <c r="G9" s="345" t="str">
        <f>_xlfn.XLOOKUP(D9,'BR''S'!$B$2:$B$104,'BR''S'!$D$2:$D$104,"")</f>
        <v>FADEL - FIXO - FIORINO</v>
      </c>
      <c r="H9" s="347">
        <f>IF(B9&lt;&gt;"",PUXADA!P6,"")</f>
        <v>285.2</v>
      </c>
      <c r="I9" s="345">
        <f>IF(B9&lt;&gt;"",PUXADA!G6,"")</f>
        <v>23</v>
      </c>
      <c r="J9" s="323"/>
      <c r="K9" s="84"/>
      <c r="L9" s="84"/>
      <c r="M9" s="84"/>
      <c r="N9" s="84">
        <f t="shared" si="3"/>
        <v>0</v>
      </c>
      <c r="O9" s="84"/>
      <c r="P9" s="84"/>
      <c r="Q9" s="85">
        <f>IF(B9&lt;&gt;"",SUMIFS(RECONVAN!I:I,RECONVAN!$A:$A,HORÁRIO!B9,RECONVAN!$F:$F,HORÁRIO!$Q$2),"")</f>
        <v>0</v>
      </c>
      <c r="R9" s="85">
        <f>IF(B9&lt;&gt;"",SUMIFS(RECONVAN!I:I,RECONVAN!$A:$A,HORÁRIO!B9,RECONVAN!$F:$F,HORÁRIO!$R$2),"")</f>
        <v>0</v>
      </c>
      <c r="S9" s="85">
        <f>IF(B9&lt;&gt;"",SUMIFS(RECONVAN!I:I,RECONVAN!$A:$A,HORÁRIO!B9,RECONVAN!$F:$F,HORÁRIO!$S$2),"")</f>
        <v>0</v>
      </c>
      <c r="T9" s="85">
        <f>IF(B9&lt;&gt;"",SUMIFS(RECONVAN!I:I,RECONVAN!$A:$A,HORÁRIO!B9,RECONVAN!$F:$F,HORÁRIO!$T$2),"")</f>
        <v>0</v>
      </c>
      <c r="U9" s="85">
        <f>IF(B9&lt;&gt;"",SUMIFS(RECONVAN!I:I,RECONVAN!$A:$A,HORÁRIO!B9,RECONVAN!$F:$F,HORÁRIO!$U$2),"")</f>
        <v>0</v>
      </c>
      <c r="V9" s="85">
        <f>IF(B9&lt;&gt;"",SUMIFS(RECONVAN!I:I,RECONVAN!$A:$A,HORÁRIO!B9,RECONVAN!$F:$F,HORÁRIO!$V$2),"")</f>
        <v>0</v>
      </c>
      <c r="W9" s="85">
        <f>IF(B9&lt;&gt;"",SUMIFS(RECONVAN!I:I,RECONVAN!$A:$A,HORÁRIO!B9,RECONVAN!$F:$F,HORÁRIO!$W$2),"")</f>
        <v>0</v>
      </c>
      <c r="X9" s="85">
        <f>IF(B9&lt;&gt;"",SUMIFS(RECONVAN!I:I,RECONVAN!$A:$A,HORÁRIO!B9,RECONVAN!$F:$F,HORÁRIO!$X$2),"")</f>
        <v>0</v>
      </c>
      <c r="Y9" s="85">
        <f>IF(B9&lt;&gt;"",SUMIFS(RECONVAN!I:I,RECONVAN!$A:$A,HORÁRIO!B9,RECONVAN!$F:$F,HORÁRIO!$Y$2),"")</f>
        <v>0</v>
      </c>
      <c r="Z9" s="85">
        <f>IF(B9&lt;&gt;"",SUMIFS(RECONVAN!I:I,RECONVAN!$A:$A,HORÁRIO!B9,RECONVAN!$F:$F,HORÁRIO!$Z$2),"")</f>
        <v>0</v>
      </c>
      <c r="AA9" s="85">
        <f>IF(B9&lt;&gt;"",SUMIFS(RECONVAN!I:I,RECONVAN!$A:$A,HORÁRIO!B9,RECONVAN!$F:$F,HORÁRIO!$AA$2),"")</f>
        <v>0</v>
      </c>
      <c r="AB9" s="85">
        <f>IF(B9&lt;&gt;"",SUMIFS(RECONVAN!I:I,RECONVAN!$A:$A,HORÁRIO!B9,RECONVAN!$F:$F,HORÁRIO!$AB$2),"")</f>
        <v>0</v>
      </c>
      <c r="AC9" s="85">
        <f>IF(B9&lt;&gt;"",SUMIFS(RECONVAN!I:I,RECONVAN!$A:$A,HORÁRIO!B9,RECONVAN!$F:$F,HORÁRIO!$AC$2),"")</f>
        <v>0</v>
      </c>
      <c r="AD9" s="86">
        <f t="shared" si="0"/>
        <v>0</v>
      </c>
      <c r="AE9" s="86">
        <f t="shared" si="1"/>
        <v>0</v>
      </c>
    </row>
    <row r="10" spans="1:31" ht="18.75" x14ac:dyDescent="0.3">
      <c r="A10" s="344" t="str">
        <f t="shared" si="2"/>
        <v>BR07548846234</v>
      </c>
      <c r="B10" s="344" t="str">
        <f>PUXADA!B7</f>
        <v>BR075488462346498037</v>
      </c>
      <c r="C10" s="449">
        <f>IF(B10&lt;&gt;"",_xlfn.XLOOKUP(B10,PUXADA!$B$2:$B$939,PUXADA!$C$2:$C$939,""),"")</f>
        <v>46234</v>
      </c>
      <c r="D10" s="345" t="str">
        <f>IF(B10&lt;&gt;"",_xlfn.XLOOKUP(B10,PUXADA!$B$2:$B$939,PUXADA!$I$2:$I$939,""),"")</f>
        <v>BR075488</v>
      </c>
      <c r="E10" s="345" t="str">
        <f>_xlfn.XLOOKUP(D10,'BR''S'!$B$2:$B$104,'BR''S'!$C$2:$C$104,"")</f>
        <v>BR0075488</v>
      </c>
      <c r="F10" s="345" t="str">
        <f>_xlfn.XLOOKUP(D10,'BR''S'!$B$2:$B$104,'BR''S'!$H$2:$H$104,"")</f>
        <v>24H</v>
      </c>
      <c r="G10" s="345" t="str">
        <f>_xlfn.XLOOKUP(D10,'BR''S'!$B$2:$B$104,'BR''S'!$D$2:$D$104,"")</f>
        <v>FADEL - FIXO - VAN</v>
      </c>
      <c r="H10" s="347">
        <f>IF(B10&lt;&gt;"",PUXADA!P7,"")</f>
        <v>125.2</v>
      </c>
      <c r="I10" s="345">
        <f>IF(B10&lt;&gt;"",PUXADA!G7,"")</f>
        <v>11</v>
      </c>
      <c r="J10" s="322"/>
      <c r="K10" s="87"/>
      <c r="L10" s="87"/>
      <c r="M10" s="87"/>
      <c r="N10" s="87">
        <f t="shared" si="3"/>
        <v>0</v>
      </c>
      <c r="O10" s="87"/>
      <c r="P10" s="87"/>
      <c r="Q10" s="88">
        <f>IF(B10&lt;&gt;"",SUMIFS(RECONVAN!I:I,RECONVAN!$A:$A,HORÁRIO!B10,RECONVAN!$F:$F,HORÁRIO!$Q$2),"")</f>
        <v>0</v>
      </c>
      <c r="R10" s="88">
        <f>IF(B10&lt;&gt;"",SUMIFS(RECONVAN!I:I,RECONVAN!$A:$A,HORÁRIO!B10,RECONVAN!$F:$F,HORÁRIO!$R$2),"")</f>
        <v>0</v>
      </c>
      <c r="S10" s="88">
        <f>IF(B10&lt;&gt;"",SUMIFS(RECONVAN!I:I,RECONVAN!$A:$A,HORÁRIO!B10,RECONVAN!$F:$F,HORÁRIO!$S$2),"")</f>
        <v>0</v>
      </c>
      <c r="T10" s="88">
        <f>IF(B10&lt;&gt;"",SUMIFS(RECONVAN!I:I,RECONVAN!$A:$A,HORÁRIO!B10,RECONVAN!$F:$F,HORÁRIO!$T$2),"")</f>
        <v>0</v>
      </c>
      <c r="U10" s="88">
        <f>IF(B10&lt;&gt;"",SUMIFS(RECONVAN!I:I,RECONVAN!$A:$A,HORÁRIO!B10,RECONVAN!$F:$F,HORÁRIO!$U$2),"")</f>
        <v>0</v>
      </c>
      <c r="V10" s="88">
        <f>IF(B10&lt;&gt;"",SUMIFS(RECONVAN!I:I,RECONVAN!$A:$A,HORÁRIO!B10,RECONVAN!$F:$F,HORÁRIO!$V$2),"")</f>
        <v>0</v>
      </c>
      <c r="W10" s="88">
        <f>IF(B10&lt;&gt;"",SUMIFS(RECONVAN!I:I,RECONVAN!$A:$A,HORÁRIO!B10,RECONVAN!$F:$F,HORÁRIO!$W$2),"")</f>
        <v>0</v>
      </c>
      <c r="X10" s="88">
        <f>IF(B10&lt;&gt;"",SUMIFS(RECONVAN!I:I,RECONVAN!$A:$A,HORÁRIO!B10,RECONVAN!$F:$F,HORÁRIO!$X$2),"")</f>
        <v>0</v>
      </c>
      <c r="Y10" s="88">
        <f>IF(B10&lt;&gt;"",SUMIFS(RECONVAN!I:I,RECONVAN!$A:$A,HORÁRIO!B10,RECONVAN!$F:$F,HORÁRIO!$Y$2),"")</f>
        <v>0</v>
      </c>
      <c r="Z10" s="88">
        <f>IF(B10&lt;&gt;"",SUMIFS(RECONVAN!I:I,RECONVAN!$A:$A,HORÁRIO!B10,RECONVAN!$F:$F,HORÁRIO!$Z$2),"")</f>
        <v>0</v>
      </c>
      <c r="AA10" s="88">
        <f>IF(B10&lt;&gt;"",SUMIFS(RECONVAN!I:I,RECONVAN!$A:$A,HORÁRIO!B10,RECONVAN!$F:$F,HORÁRIO!$AA$2),"")</f>
        <v>0</v>
      </c>
      <c r="AB10" s="88">
        <f>IF(B10&lt;&gt;"",SUMIFS(RECONVAN!I:I,RECONVAN!$A:$A,HORÁRIO!B10,RECONVAN!$F:$F,HORÁRIO!$AB$2),"")</f>
        <v>0</v>
      </c>
      <c r="AC10" s="88">
        <f>IF(B10&lt;&gt;"",SUMIFS(RECONVAN!I:I,RECONVAN!$A:$A,HORÁRIO!B10,RECONVAN!$F:$F,HORÁRIO!$AC$2),"")</f>
        <v>0</v>
      </c>
      <c r="AD10" s="89">
        <f t="shared" si="0"/>
        <v>0</v>
      </c>
      <c r="AE10" s="89">
        <f t="shared" si="1"/>
        <v>0</v>
      </c>
    </row>
    <row r="11" spans="1:31" ht="18" customHeight="1" x14ac:dyDescent="0.3">
      <c r="A11" s="344" t="str">
        <f t="shared" si="2"/>
        <v>BR07554946234</v>
      </c>
      <c r="B11" s="344" t="str">
        <f>PUXADA!B8</f>
        <v>BR075549462346497843</v>
      </c>
      <c r="C11" s="448">
        <f>IF(B11&lt;&gt;"",_xlfn.XLOOKUP(B11,PUXADA!$B$2:$B$939,PUXADA!$C$2:$C$939,""),"")</f>
        <v>46234</v>
      </c>
      <c r="D11" s="345" t="str">
        <f>IF(B11&lt;&gt;"",_xlfn.XLOOKUP(B11,PUXADA!$B$2:$B$939,PUXADA!$I$2:$I$939,""),"")</f>
        <v>BR075549</v>
      </c>
      <c r="E11" s="345" t="str">
        <f>_xlfn.XLOOKUP(D11,'BR''S'!$B$2:$B$104,'BR''S'!$C$2:$C$104,"")</f>
        <v>BR0075549</v>
      </c>
      <c r="F11" s="345" t="str">
        <f>_xlfn.XLOOKUP(D11,'BR''S'!$B$2:$B$104,'BR''S'!$H$2:$H$104,"")</f>
        <v>24H - GROCERY</v>
      </c>
      <c r="G11" s="345" t="str">
        <f>_xlfn.XLOOKUP(D11,'BR''S'!$B$2:$B$104,'BR''S'!$D$2:$D$104,"")</f>
        <v>FADEL - FIXO - VAN</v>
      </c>
      <c r="H11" s="347">
        <f>IF(B11&lt;&gt;"",PUXADA!P8,"")</f>
        <v>124.2</v>
      </c>
      <c r="I11" s="345">
        <f>IF(B11&lt;&gt;"",PUXADA!G8,"")</f>
        <v>6</v>
      </c>
      <c r="J11" s="323"/>
      <c r="K11" s="84"/>
      <c r="L11" s="84"/>
      <c r="M11" s="84"/>
      <c r="N11" s="84">
        <f t="shared" si="3"/>
        <v>0</v>
      </c>
      <c r="O11" s="84"/>
      <c r="P11" s="84"/>
      <c r="Q11" s="85">
        <f>IF(B11&lt;&gt;"",SUMIFS(RECONVAN!I:I,RECONVAN!$A:$A,HORÁRIO!B11,RECONVAN!$F:$F,HORÁRIO!$Q$2),"")</f>
        <v>0</v>
      </c>
      <c r="R11" s="85">
        <f>IF(B11&lt;&gt;"",SUMIFS(RECONVAN!I:I,RECONVAN!$A:$A,HORÁRIO!B11,RECONVAN!$F:$F,HORÁRIO!$R$2),"")</f>
        <v>0</v>
      </c>
      <c r="S11" s="85">
        <f>IF(B11&lt;&gt;"",SUMIFS(RECONVAN!I:I,RECONVAN!$A:$A,HORÁRIO!B11,RECONVAN!$F:$F,HORÁRIO!$S$2),"")</f>
        <v>0</v>
      </c>
      <c r="T11" s="85">
        <f>IF(B11&lt;&gt;"",SUMIFS(RECONVAN!I:I,RECONVAN!$A:$A,HORÁRIO!B11,RECONVAN!$F:$F,HORÁRIO!$T$2),"")</f>
        <v>0</v>
      </c>
      <c r="U11" s="85">
        <f>IF(B11&lt;&gt;"",SUMIFS(RECONVAN!I:I,RECONVAN!$A:$A,HORÁRIO!B11,RECONVAN!$F:$F,HORÁRIO!$U$2),"")</f>
        <v>0</v>
      </c>
      <c r="V11" s="85">
        <f>IF(B11&lt;&gt;"",SUMIFS(RECONVAN!I:I,RECONVAN!$A:$A,HORÁRIO!B11,RECONVAN!$F:$F,HORÁRIO!$V$2),"")</f>
        <v>0</v>
      </c>
      <c r="W11" s="85">
        <f>IF(B11&lt;&gt;"",SUMIFS(RECONVAN!I:I,RECONVAN!$A:$A,HORÁRIO!B11,RECONVAN!$F:$F,HORÁRIO!$W$2),"")</f>
        <v>0</v>
      </c>
      <c r="X11" s="85">
        <f>IF(B11&lt;&gt;"",SUMIFS(RECONVAN!I:I,RECONVAN!$A:$A,HORÁRIO!B11,RECONVAN!$F:$F,HORÁRIO!$X$2),"")</f>
        <v>0</v>
      </c>
      <c r="Y11" s="85">
        <f>IF(B11&lt;&gt;"",SUMIFS(RECONVAN!I:I,RECONVAN!$A:$A,HORÁRIO!B11,RECONVAN!$F:$F,HORÁRIO!$Y$2),"")</f>
        <v>0</v>
      </c>
      <c r="Z11" s="85">
        <f>IF(B11&lt;&gt;"",SUMIFS(RECONVAN!I:I,RECONVAN!$A:$A,HORÁRIO!B11,RECONVAN!$F:$F,HORÁRIO!$Z$2),"")</f>
        <v>0</v>
      </c>
      <c r="AA11" s="85">
        <f>IF(B11&lt;&gt;"",SUMIFS(RECONVAN!I:I,RECONVAN!$A:$A,HORÁRIO!B11,RECONVAN!$F:$F,HORÁRIO!$AA$2),"")</f>
        <v>0</v>
      </c>
      <c r="AB11" s="85">
        <f>IF(B11&lt;&gt;"",SUMIFS(RECONVAN!I:I,RECONVAN!$A:$A,HORÁRIO!B11,RECONVAN!$F:$F,HORÁRIO!$AB$2),"")</f>
        <v>0</v>
      </c>
      <c r="AC11" s="85">
        <f>IF(B11&lt;&gt;"",SUMIFS(RECONVAN!I:I,RECONVAN!$A:$A,HORÁRIO!B11,RECONVAN!$F:$F,HORÁRIO!$AC$2),"")</f>
        <v>0</v>
      </c>
      <c r="AD11" s="86">
        <f t="shared" si="0"/>
        <v>0</v>
      </c>
      <c r="AE11" s="86">
        <f t="shared" si="1"/>
        <v>0</v>
      </c>
    </row>
    <row r="12" spans="1:31" ht="18.75" x14ac:dyDescent="0.3">
      <c r="A12" s="344" t="str">
        <f t="shared" si="2"/>
        <v>BR07580246234</v>
      </c>
      <c r="B12" s="344" t="str">
        <f>PUXADA!B9</f>
        <v>BR075802462346497187</v>
      </c>
      <c r="C12" s="449">
        <f>IF(B12&lt;&gt;"",_xlfn.XLOOKUP(B12,PUXADA!$B$2:$B$939,PUXADA!$C$2:$C$939,""),"")</f>
        <v>46234</v>
      </c>
      <c r="D12" s="345" t="str">
        <f>IF(B12&lt;&gt;"",_xlfn.XLOOKUP(B12,PUXADA!$B$2:$B$939,PUXADA!$I$2:$I$939,""),"")</f>
        <v>BR075802</v>
      </c>
      <c r="E12" s="345" t="str">
        <f>_xlfn.XLOOKUP(D12,'BR''S'!$B$2:$B$104,'BR''S'!$C$2:$C$104,"")</f>
        <v>BR0075802</v>
      </c>
      <c r="F12" s="345" t="str">
        <f>_xlfn.XLOOKUP(D12,'BR''S'!$B$2:$B$104,'BR''S'!$H$2:$H$104,"")</f>
        <v>24H - GROCERY</v>
      </c>
      <c r="G12" s="345" t="str">
        <f>_xlfn.XLOOKUP(D12,'BR''S'!$B$2:$B$104,'BR''S'!$D$2:$D$104,"")</f>
        <v>FADEL - FIXO - FIORINO</v>
      </c>
      <c r="H12" s="347">
        <f>IF(B12&lt;&gt;"",PUXADA!P9,"")</f>
        <v>73.8</v>
      </c>
      <c r="I12" s="345">
        <f>IF(B12&lt;&gt;"",PUXADA!G9,"")</f>
        <v>8</v>
      </c>
      <c r="J12" s="322"/>
      <c r="K12" s="87"/>
      <c r="L12" s="87"/>
      <c r="M12" s="87"/>
      <c r="N12" s="87">
        <f t="shared" si="3"/>
        <v>0</v>
      </c>
      <c r="O12" s="87"/>
      <c r="P12" s="87"/>
      <c r="Q12" s="88">
        <f>IF(B12&lt;&gt;"",SUMIFS(RECONVAN!I:I,RECONVAN!$A:$A,HORÁRIO!B12,RECONVAN!$F:$F,HORÁRIO!$Q$2),"")</f>
        <v>0</v>
      </c>
      <c r="R12" s="88">
        <f>IF(B12&lt;&gt;"",SUMIFS(RECONVAN!I:I,RECONVAN!$A:$A,HORÁRIO!B12,RECONVAN!$F:$F,HORÁRIO!$R$2),"")</f>
        <v>0</v>
      </c>
      <c r="S12" s="88">
        <f>IF(B12&lt;&gt;"",SUMIFS(RECONVAN!I:I,RECONVAN!$A:$A,HORÁRIO!B12,RECONVAN!$F:$F,HORÁRIO!$S$2),"")</f>
        <v>0</v>
      </c>
      <c r="T12" s="88">
        <f>IF(B12&lt;&gt;"",SUMIFS(RECONVAN!I:I,RECONVAN!$A:$A,HORÁRIO!B12,RECONVAN!$F:$F,HORÁRIO!$T$2),"")</f>
        <v>0</v>
      </c>
      <c r="U12" s="88">
        <f>IF(B12&lt;&gt;"",SUMIFS(RECONVAN!I:I,RECONVAN!$A:$A,HORÁRIO!B12,RECONVAN!$F:$F,HORÁRIO!$U$2),"")</f>
        <v>0</v>
      </c>
      <c r="V12" s="88">
        <f>IF(B12&lt;&gt;"",SUMIFS(RECONVAN!I:I,RECONVAN!$A:$A,HORÁRIO!B12,RECONVAN!$F:$F,HORÁRIO!$V$2),"")</f>
        <v>0</v>
      </c>
      <c r="W12" s="88">
        <f>IF(B12&lt;&gt;"",SUMIFS(RECONVAN!I:I,RECONVAN!$A:$A,HORÁRIO!B12,RECONVAN!$F:$F,HORÁRIO!$W$2),"")</f>
        <v>0</v>
      </c>
      <c r="X12" s="88">
        <f>IF(B12&lt;&gt;"",SUMIFS(RECONVAN!I:I,RECONVAN!$A:$A,HORÁRIO!B12,RECONVAN!$F:$F,HORÁRIO!$X$2),"")</f>
        <v>0</v>
      </c>
      <c r="Y12" s="88">
        <f>IF(B12&lt;&gt;"",SUMIFS(RECONVAN!I:I,RECONVAN!$A:$A,HORÁRIO!B12,RECONVAN!$F:$F,HORÁRIO!$Y$2),"")</f>
        <v>0</v>
      </c>
      <c r="Z12" s="88">
        <f>IF(B12&lt;&gt;"",SUMIFS(RECONVAN!I:I,RECONVAN!$A:$A,HORÁRIO!B12,RECONVAN!$F:$F,HORÁRIO!$Z$2),"")</f>
        <v>0</v>
      </c>
      <c r="AA12" s="88">
        <f>IF(B12&lt;&gt;"",SUMIFS(RECONVAN!I:I,RECONVAN!$A:$A,HORÁRIO!B12,RECONVAN!$F:$F,HORÁRIO!$AA$2),"")</f>
        <v>0</v>
      </c>
      <c r="AB12" s="88">
        <f>IF(B12&lt;&gt;"",SUMIFS(RECONVAN!I:I,RECONVAN!$A:$A,HORÁRIO!B12,RECONVAN!$F:$F,HORÁRIO!$AB$2),"")</f>
        <v>0</v>
      </c>
      <c r="AC12" s="88">
        <f>IF(B12&lt;&gt;"",SUMIFS(RECONVAN!I:I,RECONVAN!$A:$A,HORÁRIO!B12,RECONVAN!$F:$F,HORÁRIO!$AC$2),"")</f>
        <v>0</v>
      </c>
      <c r="AD12" s="89">
        <f t="shared" si="0"/>
        <v>0</v>
      </c>
      <c r="AE12" s="89">
        <f t="shared" si="1"/>
        <v>0</v>
      </c>
    </row>
    <row r="13" spans="1:31" ht="18" customHeight="1" x14ac:dyDescent="0.3">
      <c r="A13" s="344" t="str">
        <f t="shared" si="2"/>
        <v>BR07559846234</v>
      </c>
      <c r="B13" s="344" t="str">
        <f>PUXADA!B10</f>
        <v>BR075598462346497428</v>
      </c>
      <c r="C13" s="448">
        <f>IF(B13&lt;&gt;"",_xlfn.XLOOKUP(B13,PUXADA!$B$2:$B$939,PUXADA!$C$2:$C$939,""),"")</f>
        <v>46234</v>
      </c>
      <c r="D13" s="345" t="str">
        <f>IF(B13&lt;&gt;"",_xlfn.XLOOKUP(B13,PUXADA!$B$2:$B$939,PUXADA!$I$2:$I$939,""),"")</f>
        <v>BR075598</v>
      </c>
      <c r="E13" s="345" t="str">
        <f>_xlfn.XLOOKUP(D13,'BR''S'!$B$2:$B$104,'BR''S'!$C$2:$C$104,"")</f>
        <v>BR0075598</v>
      </c>
      <c r="F13" s="345" t="str">
        <f>_xlfn.XLOOKUP(D13,'BR''S'!$B$2:$B$104,'BR''S'!$H$2:$H$104,"")</f>
        <v>24H</v>
      </c>
      <c r="G13" s="345" t="str">
        <f>_xlfn.XLOOKUP(D13,'BR''S'!$B$2:$B$104,'BR''S'!$D$2:$D$104,"")</f>
        <v>FADEL - FIXO - FIORINO</v>
      </c>
      <c r="H13" s="347">
        <f>IF(B13&lt;&gt;"",PUXADA!P10,"")</f>
        <v>184</v>
      </c>
      <c r="I13" s="345">
        <f>IF(B13&lt;&gt;"",PUXADA!G10,"")</f>
        <v>31</v>
      </c>
      <c r="J13" s="323"/>
      <c r="K13" s="84"/>
      <c r="L13" s="84"/>
      <c r="M13" s="84"/>
      <c r="N13" s="84">
        <f t="shared" ref="N13:N40" si="4">AE13</f>
        <v>0</v>
      </c>
      <c r="O13" s="84"/>
      <c r="P13" s="84"/>
      <c r="Q13" s="85">
        <f>IF(B13&lt;&gt;"",SUMIFS(RECONVAN!I:I,RECONVAN!$A:$A,HORÁRIO!B13,RECONVAN!$F:$F,HORÁRIO!$Q$2),"")</f>
        <v>0</v>
      </c>
      <c r="R13" s="85">
        <f>IF(B13&lt;&gt;"",SUMIFS(RECONVAN!I:I,RECONVAN!$A:$A,HORÁRIO!B13,RECONVAN!$F:$F,HORÁRIO!$R$2),"")</f>
        <v>0</v>
      </c>
      <c r="S13" s="85">
        <f>IF(B13&lt;&gt;"",SUMIFS(RECONVAN!I:I,RECONVAN!$A:$A,HORÁRIO!B13,RECONVAN!$F:$F,HORÁRIO!$S$2),"")</f>
        <v>0</v>
      </c>
      <c r="T13" s="85">
        <f>IF(B13&lt;&gt;"",SUMIFS(RECONVAN!I:I,RECONVAN!$A:$A,HORÁRIO!B13,RECONVAN!$F:$F,HORÁRIO!$T$2),"")</f>
        <v>0</v>
      </c>
      <c r="U13" s="85">
        <f>IF(B13&lt;&gt;"",SUMIFS(RECONVAN!I:I,RECONVAN!$A:$A,HORÁRIO!B13,RECONVAN!$F:$F,HORÁRIO!$U$2),"")</f>
        <v>0</v>
      </c>
      <c r="V13" s="85">
        <f>IF(B13&lt;&gt;"",SUMIFS(RECONVAN!I:I,RECONVAN!$A:$A,HORÁRIO!B13,RECONVAN!$F:$F,HORÁRIO!$V$2),"")</f>
        <v>0</v>
      </c>
      <c r="W13" s="85">
        <f>IF(B13&lt;&gt;"",SUMIFS(RECONVAN!I:I,RECONVAN!$A:$A,HORÁRIO!B13,RECONVAN!$F:$F,HORÁRIO!$W$2),"")</f>
        <v>0</v>
      </c>
      <c r="X13" s="85">
        <f>IF(B13&lt;&gt;"",SUMIFS(RECONVAN!I:I,RECONVAN!$A:$A,HORÁRIO!B13,RECONVAN!$F:$F,HORÁRIO!$X$2),"")</f>
        <v>0</v>
      </c>
      <c r="Y13" s="85">
        <f>IF(B13&lt;&gt;"",SUMIFS(RECONVAN!I:I,RECONVAN!$A:$A,HORÁRIO!B13,RECONVAN!$F:$F,HORÁRIO!$Y$2),"")</f>
        <v>0</v>
      </c>
      <c r="Z13" s="85">
        <f>IF(B13&lt;&gt;"",SUMIFS(RECONVAN!I:I,RECONVAN!$A:$A,HORÁRIO!B13,RECONVAN!$F:$F,HORÁRIO!$Z$2),"")</f>
        <v>0</v>
      </c>
      <c r="AA13" s="85">
        <f>IF(B13&lt;&gt;"",SUMIFS(RECONVAN!I:I,RECONVAN!$A:$A,HORÁRIO!B13,RECONVAN!$F:$F,HORÁRIO!$AA$2),"")</f>
        <v>0</v>
      </c>
      <c r="AB13" s="85">
        <f>IF(B13&lt;&gt;"",SUMIFS(RECONVAN!I:I,RECONVAN!$A:$A,HORÁRIO!B13,RECONVAN!$F:$F,HORÁRIO!$AB$2),"")</f>
        <v>0</v>
      </c>
      <c r="AC13" s="85">
        <f>IF(B13&lt;&gt;"",SUMIFS(RECONVAN!I:I,RECONVAN!$A:$A,HORÁRIO!B13,RECONVAN!$F:$F,HORÁRIO!$AC$2),"")</f>
        <v>0</v>
      </c>
      <c r="AD13" s="86">
        <f t="shared" si="0"/>
        <v>0</v>
      </c>
      <c r="AE13" s="86">
        <f t="shared" si="1"/>
        <v>0</v>
      </c>
    </row>
    <row r="14" spans="1:31" ht="18.75" x14ac:dyDescent="0.3">
      <c r="A14" s="344" t="str">
        <f t="shared" si="2"/>
        <v>BR07572746234</v>
      </c>
      <c r="B14" s="344" t="str">
        <f>PUXADA!B11</f>
        <v>BR075727462346497450</v>
      </c>
      <c r="C14" s="449">
        <f>IF(B14&lt;&gt;"",_xlfn.XLOOKUP(B14,PUXADA!$B$2:$B$939,PUXADA!$C$2:$C$939,""),"")</f>
        <v>46234</v>
      </c>
      <c r="D14" s="345" t="str">
        <f>IF(B14&lt;&gt;"",_xlfn.XLOOKUP(B14,PUXADA!$B$2:$B$939,PUXADA!$I$2:$I$939,""),"")</f>
        <v>BR075727</v>
      </c>
      <c r="E14" s="345" t="str">
        <f>_xlfn.XLOOKUP(D14,'BR''S'!$B$2:$B$104,'BR''S'!$C$2:$C$104,"")</f>
        <v>BR0075727</v>
      </c>
      <c r="F14" s="345" t="str">
        <f>_xlfn.XLOOKUP(D14,'BR''S'!$B$2:$B$104,'BR''S'!$H$2:$H$104,"")</f>
        <v>24H</v>
      </c>
      <c r="G14" s="345" t="str">
        <f>_xlfn.XLOOKUP(D14,'BR''S'!$B$2:$B$104,'BR''S'!$D$2:$D$104,"")</f>
        <v>FADEL - FIXO - VAN</v>
      </c>
      <c r="H14" s="347">
        <f>IF(B14&lt;&gt;"",PUXADA!P11,"")</f>
        <v>351.1</v>
      </c>
      <c r="I14" s="345">
        <f>IF(B14&lt;&gt;"",PUXADA!G11,"")</f>
        <v>29</v>
      </c>
      <c r="J14" s="322"/>
      <c r="K14" s="87"/>
      <c r="L14" s="87"/>
      <c r="M14" s="87"/>
      <c r="N14" s="87">
        <f t="shared" si="4"/>
        <v>0</v>
      </c>
      <c r="O14" s="87"/>
      <c r="P14" s="87"/>
      <c r="Q14" s="88">
        <f>IF(B14&lt;&gt;"",SUMIFS(RECONVAN!I:I,RECONVAN!$A:$A,HORÁRIO!B14,RECONVAN!$F:$F,HORÁRIO!$Q$2),"")</f>
        <v>0</v>
      </c>
      <c r="R14" s="88">
        <f>IF(B14&lt;&gt;"",SUMIFS(RECONVAN!I:I,RECONVAN!$A:$A,HORÁRIO!B14,RECONVAN!$F:$F,HORÁRIO!$R$2),"")</f>
        <v>0</v>
      </c>
      <c r="S14" s="88">
        <f>IF(B14&lt;&gt;"",SUMIFS(RECONVAN!I:I,RECONVAN!$A:$A,HORÁRIO!B14,RECONVAN!$F:$F,HORÁRIO!$S$2),"")</f>
        <v>0</v>
      </c>
      <c r="T14" s="88">
        <f>IF(B14&lt;&gt;"",SUMIFS(RECONVAN!I:I,RECONVAN!$A:$A,HORÁRIO!B14,RECONVAN!$F:$F,HORÁRIO!$T$2),"")</f>
        <v>0</v>
      </c>
      <c r="U14" s="88">
        <f>IF(B14&lt;&gt;"",SUMIFS(RECONVAN!I:I,RECONVAN!$A:$A,HORÁRIO!B14,RECONVAN!$F:$F,HORÁRIO!$U$2),"")</f>
        <v>0</v>
      </c>
      <c r="V14" s="88">
        <f>IF(B14&lt;&gt;"",SUMIFS(RECONVAN!I:I,RECONVAN!$A:$A,HORÁRIO!B14,RECONVAN!$F:$F,HORÁRIO!$V$2),"")</f>
        <v>0</v>
      </c>
      <c r="W14" s="88">
        <f>IF(B14&lt;&gt;"",SUMIFS(RECONVAN!I:I,RECONVAN!$A:$A,HORÁRIO!B14,RECONVAN!$F:$F,HORÁRIO!$W$2),"")</f>
        <v>0</v>
      </c>
      <c r="X14" s="88">
        <f>IF(B14&lt;&gt;"",SUMIFS(RECONVAN!I:I,RECONVAN!$A:$A,HORÁRIO!B14,RECONVAN!$F:$F,HORÁRIO!$X$2),"")</f>
        <v>0</v>
      </c>
      <c r="Y14" s="88">
        <f>IF(B14&lt;&gt;"",SUMIFS(RECONVAN!I:I,RECONVAN!$A:$A,HORÁRIO!B14,RECONVAN!$F:$F,HORÁRIO!$Y$2),"")</f>
        <v>0</v>
      </c>
      <c r="Z14" s="88">
        <f>IF(B14&lt;&gt;"",SUMIFS(RECONVAN!I:I,RECONVAN!$A:$A,HORÁRIO!B14,RECONVAN!$F:$F,HORÁRIO!$Z$2),"")</f>
        <v>0</v>
      </c>
      <c r="AA14" s="88">
        <f>IF(B14&lt;&gt;"",SUMIFS(RECONVAN!I:I,RECONVAN!$A:$A,HORÁRIO!B14,RECONVAN!$F:$F,HORÁRIO!$AA$2),"")</f>
        <v>0</v>
      </c>
      <c r="AB14" s="88">
        <f>IF(B14&lt;&gt;"",SUMIFS(RECONVAN!I:I,RECONVAN!$A:$A,HORÁRIO!B14,RECONVAN!$F:$F,HORÁRIO!$AB$2),"")</f>
        <v>0</v>
      </c>
      <c r="AC14" s="88">
        <f>IF(B14&lt;&gt;"",SUMIFS(RECONVAN!I:I,RECONVAN!$A:$A,HORÁRIO!B14,RECONVAN!$F:$F,HORÁRIO!$AC$2),"")</f>
        <v>0</v>
      </c>
      <c r="AD14" s="89">
        <f t="shared" si="0"/>
        <v>0</v>
      </c>
      <c r="AE14" s="89">
        <f t="shared" si="1"/>
        <v>0</v>
      </c>
    </row>
    <row r="15" spans="1:31" ht="18" customHeight="1" x14ac:dyDescent="0.3">
      <c r="A15" s="344" t="str">
        <f t="shared" si="2"/>
        <v>BR07548546234</v>
      </c>
      <c r="B15" s="344" t="str">
        <f>PUXADA!B12</f>
        <v>BR075485462346497832</v>
      </c>
      <c r="C15" s="449">
        <f>IF(B15&lt;&gt;"",_xlfn.XLOOKUP(B15,PUXADA!$B$2:$B$939,PUXADA!$C$2:$C$939,""),"")</f>
        <v>46234</v>
      </c>
      <c r="D15" s="345" t="str">
        <f>IF(B15&lt;&gt;"",_xlfn.XLOOKUP(B15,PUXADA!$B$2:$B$939,PUXADA!$I$2:$I$939,""),"")</f>
        <v>BR075485</v>
      </c>
      <c r="E15" s="345" t="str">
        <f>_xlfn.XLOOKUP(D15,'BR''S'!$B$2:$B$104,'BR''S'!$C$2:$C$104,"")</f>
        <v>BR0075485</v>
      </c>
      <c r="F15" s="345" t="str">
        <f>_xlfn.XLOOKUP(D15,'BR''S'!$B$2:$B$104,'BR''S'!$H$2:$H$104,"")</f>
        <v>24H</v>
      </c>
      <c r="G15" s="345" t="str">
        <f>_xlfn.XLOOKUP(D15,'BR''S'!$B$2:$B$104,'BR''S'!$D$2:$D$104,"")</f>
        <v>FADEL - FIXO - FIORINO</v>
      </c>
      <c r="H15" s="347">
        <f>IF(B15&lt;&gt;"",PUXADA!P12,"")</f>
        <v>268.8</v>
      </c>
      <c r="I15" s="345">
        <f>IF(B15&lt;&gt;"",PUXADA!G12,"")</f>
        <v>20</v>
      </c>
      <c r="J15" s="323"/>
      <c r="K15" s="84"/>
      <c r="L15" s="84"/>
      <c r="M15" s="84"/>
      <c r="N15" s="84">
        <f t="shared" si="4"/>
        <v>0</v>
      </c>
      <c r="O15" s="84"/>
      <c r="P15" s="84"/>
      <c r="Q15" s="85">
        <f>IF(B15&lt;&gt;"",SUMIFS(RECONVAN!I:I,RECONVAN!$A:$A,HORÁRIO!B15,RECONVAN!$F:$F,HORÁRIO!$Q$2),"")</f>
        <v>0</v>
      </c>
      <c r="R15" s="85">
        <f>IF(B15&lt;&gt;"",SUMIFS(RECONVAN!I:I,RECONVAN!$A:$A,HORÁRIO!B15,RECONVAN!$F:$F,HORÁRIO!$R$2),"")</f>
        <v>0</v>
      </c>
      <c r="S15" s="85">
        <f>IF(B15&lt;&gt;"",SUMIFS(RECONVAN!I:I,RECONVAN!$A:$A,HORÁRIO!B15,RECONVAN!$F:$F,HORÁRIO!$S$2),"")</f>
        <v>0</v>
      </c>
      <c r="T15" s="85">
        <f>IF(B15&lt;&gt;"",SUMIFS(RECONVAN!I:I,RECONVAN!$A:$A,HORÁRIO!B15,RECONVAN!$F:$F,HORÁRIO!$T$2),"")</f>
        <v>0</v>
      </c>
      <c r="U15" s="85">
        <f>IF(B15&lt;&gt;"",SUMIFS(RECONVAN!I:I,RECONVAN!$A:$A,HORÁRIO!B15,RECONVAN!$F:$F,HORÁRIO!$U$2),"")</f>
        <v>0</v>
      </c>
      <c r="V15" s="85">
        <f>IF(B15&lt;&gt;"",SUMIFS(RECONVAN!I:I,RECONVAN!$A:$A,HORÁRIO!B15,RECONVAN!$F:$F,HORÁRIO!$V$2),"")</f>
        <v>0</v>
      </c>
      <c r="W15" s="85">
        <f>IF(B15&lt;&gt;"",SUMIFS(RECONVAN!I:I,RECONVAN!$A:$A,HORÁRIO!B15,RECONVAN!$F:$F,HORÁRIO!$W$2),"")</f>
        <v>0</v>
      </c>
      <c r="X15" s="85">
        <f>IF(B15&lt;&gt;"",SUMIFS(RECONVAN!I:I,RECONVAN!$A:$A,HORÁRIO!B15,RECONVAN!$F:$F,HORÁRIO!$X$2),"")</f>
        <v>0</v>
      </c>
      <c r="Y15" s="85">
        <f>IF(B15&lt;&gt;"",SUMIFS(RECONVAN!I:I,RECONVAN!$A:$A,HORÁRIO!B15,RECONVAN!$F:$F,HORÁRIO!$Y$2),"")</f>
        <v>0</v>
      </c>
      <c r="Z15" s="85">
        <f>IF(B15&lt;&gt;"",SUMIFS(RECONVAN!I:I,RECONVAN!$A:$A,HORÁRIO!B15,RECONVAN!$F:$F,HORÁRIO!$Z$2),"")</f>
        <v>0</v>
      </c>
      <c r="AA15" s="85">
        <f>IF(B15&lt;&gt;"",SUMIFS(RECONVAN!I:I,RECONVAN!$A:$A,HORÁRIO!B15,RECONVAN!$F:$F,HORÁRIO!$AA$2),"")</f>
        <v>0</v>
      </c>
      <c r="AB15" s="85">
        <f>IF(B15&lt;&gt;"",SUMIFS(RECONVAN!I:I,RECONVAN!$A:$A,HORÁRIO!B15,RECONVAN!$F:$F,HORÁRIO!$AB$2),"")</f>
        <v>0</v>
      </c>
      <c r="AC15" s="85">
        <f>IF(B15&lt;&gt;"",SUMIFS(RECONVAN!I:I,RECONVAN!$A:$A,HORÁRIO!B15,RECONVAN!$F:$F,HORÁRIO!$AC$2),"")</f>
        <v>0</v>
      </c>
      <c r="AD15" s="86">
        <f t="shared" si="0"/>
        <v>0</v>
      </c>
      <c r="AE15" s="86">
        <f t="shared" si="1"/>
        <v>0</v>
      </c>
    </row>
    <row r="16" spans="1:31" ht="18.75" x14ac:dyDescent="0.3">
      <c r="A16" s="344" t="str">
        <f t="shared" si="2"/>
        <v>BR07556446234</v>
      </c>
      <c r="B16" s="344" t="str">
        <f>PUXADA!B13</f>
        <v>BR075564462346497188</v>
      </c>
      <c r="C16" s="448">
        <f>IF(B16&lt;&gt;"",_xlfn.XLOOKUP(B16,PUXADA!$B$2:$B$939,PUXADA!$C$2:$C$939,""),"")</f>
        <v>46234</v>
      </c>
      <c r="D16" s="345" t="str">
        <f>IF(B16&lt;&gt;"",_xlfn.XLOOKUP(B16,PUXADA!$B$2:$B$939,PUXADA!$I$2:$I$939,""),"")</f>
        <v>BR075564</v>
      </c>
      <c r="E16" s="345" t="str">
        <f>_xlfn.XLOOKUP(D16,'BR''S'!$B$2:$B$104,'BR''S'!$C$2:$C$104,"")</f>
        <v>BR0075564</v>
      </c>
      <c r="F16" s="345" t="str">
        <f>_xlfn.XLOOKUP(D16,'BR''S'!$B$2:$B$104,'BR''S'!$H$2:$H$104,"")</f>
        <v>24H</v>
      </c>
      <c r="G16" s="345" t="str">
        <f>_xlfn.XLOOKUP(D16,'BR''S'!$B$2:$B$104,'BR''S'!$D$2:$D$104,"")</f>
        <v>FADEL - FIXO - VAN</v>
      </c>
      <c r="H16" s="347">
        <f>IF(B16&lt;&gt;"",PUXADA!P13,"")</f>
        <v>581.4</v>
      </c>
      <c r="I16" s="345">
        <f>IF(B16&lt;&gt;"",PUXADA!G13,"")</f>
        <v>28</v>
      </c>
      <c r="J16" s="322"/>
      <c r="K16" s="87"/>
      <c r="L16" s="87"/>
      <c r="M16" s="87"/>
      <c r="N16" s="87">
        <f t="shared" si="4"/>
        <v>0</v>
      </c>
      <c r="O16" s="87"/>
      <c r="P16" s="87"/>
      <c r="Q16" s="88">
        <f>IF(B16&lt;&gt;"",SUMIFS(RECONVAN!I:I,RECONVAN!$A:$A,HORÁRIO!B16,RECONVAN!$F:$F,HORÁRIO!$Q$2),"")</f>
        <v>0</v>
      </c>
      <c r="R16" s="88">
        <f>IF(B16&lt;&gt;"",SUMIFS(RECONVAN!I:I,RECONVAN!$A:$A,HORÁRIO!B16,RECONVAN!$F:$F,HORÁRIO!$R$2),"")</f>
        <v>0</v>
      </c>
      <c r="S16" s="88">
        <f>IF(B16&lt;&gt;"",SUMIFS(RECONVAN!I:I,RECONVAN!$A:$A,HORÁRIO!B16,RECONVAN!$F:$F,HORÁRIO!$S$2),"")</f>
        <v>0</v>
      </c>
      <c r="T16" s="88">
        <f>IF(B16&lt;&gt;"",SUMIFS(RECONVAN!I:I,RECONVAN!$A:$A,HORÁRIO!B16,RECONVAN!$F:$F,HORÁRIO!$T$2),"")</f>
        <v>0</v>
      </c>
      <c r="U16" s="88">
        <f>IF(B16&lt;&gt;"",SUMIFS(RECONVAN!I:I,RECONVAN!$A:$A,HORÁRIO!B16,RECONVAN!$F:$F,HORÁRIO!$U$2),"")</f>
        <v>0</v>
      </c>
      <c r="V16" s="88">
        <f>IF(B16&lt;&gt;"",SUMIFS(RECONVAN!I:I,RECONVAN!$A:$A,HORÁRIO!B16,RECONVAN!$F:$F,HORÁRIO!$V$2),"")</f>
        <v>0</v>
      </c>
      <c r="W16" s="88">
        <f>IF(B16&lt;&gt;"",SUMIFS(RECONVAN!I:I,RECONVAN!$A:$A,HORÁRIO!B16,RECONVAN!$F:$F,HORÁRIO!$W$2),"")</f>
        <v>0</v>
      </c>
      <c r="X16" s="88">
        <f>IF(B16&lt;&gt;"",SUMIFS(RECONVAN!I:I,RECONVAN!$A:$A,HORÁRIO!B16,RECONVAN!$F:$F,HORÁRIO!$X$2),"")</f>
        <v>0</v>
      </c>
      <c r="Y16" s="88">
        <f>IF(B16&lt;&gt;"",SUMIFS(RECONVAN!I:I,RECONVAN!$A:$A,HORÁRIO!B16,RECONVAN!$F:$F,HORÁRIO!$Y$2),"")</f>
        <v>0</v>
      </c>
      <c r="Z16" s="88">
        <f>IF(B16&lt;&gt;"",SUMIFS(RECONVAN!I:I,RECONVAN!$A:$A,HORÁRIO!B16,RECONVAN!$F:$F,HORÁRIO!$Z$2),"")</f>
        <v>0</v>
      </c>
      <c r="AA16" s="88">
        <f>IF(B16&lt;&gt;"",SUMIFS(RECONVAN!I:I,RECONVAN!$A:$A,HORÁRIO!B16,RECONVAN!$F:$F,HORÁRIO!$AA$2),"")</f>
        <v>0</v>
      </c>
      <c r="AB16" s="88">
        <f>IF(B16&lt;&gt;"",SUMIFS(RECONVAN!I:I,RECONVAN!$A:$A,HORÁRIO!B16,RECONVAN!$F:$F,HORÁRIO!$AB$2),"")</f>
        <v>0</v>
      </c>
      <c r="AC16" s="88">
        <f>IF(B16&lt;&gt;"",SUMIFS(RECONVAN!I:I,RECONVAN!$A:$A,HORÁRIO!B16,RECONVAN!$F:$F,HORÁRIO!$AC$2),"")</f>
        <v>0</v>
      </c>
      <c r="AD16" s="89">
        <f t="shared" si="0"/>
        <v>0</v>
      </c>
      <c r="AE16" s="89">
        <f t="shared" si="1"/>
        <v>0</v>
      </c>
    </row>
    <row r="17" spans="1:31" ht="18" customHeight="1" x14ac:dyDescent="0.3">
      <c r="A17" s="344" t="str">
        <f t="shared" ref="A17:A24" si="5">D17&amp;C17</f>
        <v>BR07549446234</v>
      </c>
      <c r="B17" s="344" t="str">
        <f>PUXADA!B14</f>
        <v>BR075494462346497525</v>
      </c>
      <c r="C17" s="449">
        <f>IF(B17&lt;&gt;"",_xlfn.XLOOKUP(B17,PUXADA!$B$2:$B$939,PUXADA!$C$2:$C$939,""),"")</f>
        <v>46234</v>
      </c>
      <c r="D17" s="345" t="str">
        <f>IF(B17&lt;&gt;"",_xlfn.XLOOKUP(B17,PUXADA!$B$2:$B$939,PUXADA!$I$2:$I$939,""),"")</f>
        <v>BR075494</v>
      </c>
      <c r="E17" s="345" t="str">
        <f>_xlfn.XLOOKUP(D17,'BR''S'!$B$2:$B$104,'BR''S'!$C$2:$C$104,"")</f>
        <v>BR0075494</v>
      </c>
      <c r="F17" s="345" t="str">
        <f>_xlfn.XLOOKUP(D17,'BR''S'!$B$2:$B$104,'BR''S'!$H$2:$H$104,"")</f>
        <v>24H</v>
      </c>
      <c r="G17" s="345" t="str">
        <f>_xlfn.XLOOKUP(D17,'BR''S'!$B$2:$B$104,'BR''S'!$D$2:$D$104,"")</f>
        <v>FADEL - FIXO - VAN</v>
      </c>
      <c r="H17" s="347">
        <f>IF(B17&lt;&gt;"",PUXADA!P14,"")</f>
        <v>388.5</v>
      </c>
      <c r="I17" s="345">
        <f>IF(B17&lt;&gt;"",PUXADA!G14,"")</f>
        <v>28</v>
      </c>
      <c r="J17" s="595"/>
      <c r="K17" s="84"/>
      <c r="L17" s="84"/>
      <c r="M17" s="84"/>
      <c r="N17" s="84">
        <f t="shared" si="4"/>
        <v>0</v>
      </c>
      <c r="O17" s="84"/>
      <c r="P17" s="84"/>
      <c r="Q17" s="85">
        <f>IF(B17&lt;&gt;"",SUMIFS(RECONVAN!I:I,RECONVAN!$A:$A,HORÁRIO!B17,RECONVAN!$F:$F,HORÁRIO!$Q$2),"")</f>
        <v>0</v>
      </c>
      <c r="R17" s="85">
        <f>IF(B17&lt;&gt;"",SUMIFS(RECONVAN!I:I,RECONVAN!$A:$A,HORÁRIO!B17,RECONVAN!$F:$F,HORÁRIO!$R$2),"")</f>
        <v>0</v>
      </c>
      <c r="S17" s="85">
        <f>IF(B17&lt;&gt;"",SUMIFS(RECONVAN!I:I,RECONVAN!$A:$A,HORÁRIO!B17,RECONVAN!$F:$F,HORÁRIO!$S$2),"")</f>
        <v>0</v>
      </c>
      <c r="T17" s="85">
        <f>IF(B17&lt;&gt;"",SUMIFS(RECONVAN!I:I,RECONVAN!$A:$A,HORÁRIO!B17,RECONVAN!$F:$F,HORÁRIO!$T$2),"")</f>
        <v>0</v>
      </c>
      <c r="U17" s="85">
        <f>IF(B17&lt;&gt;"",SUMIFS(RECONVAN!I:I,RECONVAN!$A:$A,HORÁRIO!B17,RECONVAN!$F:$F,HORÁRIO!$U$2),"")</f>
        <v>0</v>
      </c>
      <c r="V17" s="85">
        <f>IF(B17&lt;&gt;"",SUMIFS(RECONVAN!I:I,RECONVAN!$A:$A,HORÁRIO!B17,RECONVAN!$F:$F,HORÁRIO!$V$2),"")</f>
        <v>0</v>
      </c>
      <c r="W17" s="85">
        <f>IF(B17&lt;&gt;"",SUMIFS(RECONVAN!I:I,RECONVAN!$A:$A,HORÁRIO!B17,RECONVAN!$F:$F,HORÁRIO!$W$2),"")</f>
        <v>0</v>
      </c>
      <c r="X17" s="85">
        <f>IF(B17&lt;&gt;"",SUMIFS(RECONVAN!I:I,RECONVAN!$A:$A,HORÁRIO!B17,RECONVAN!$F:$F,HORÁRIO!$X$2),"")</f>
        <v>0</v>
      </c>
      <c r="Y17" s="85">
        <f>IF(B17&lt;&gt;"",SUMIFS(RECONVAN!I:I,RECONVAN!$A:$A,HORÁRIO!B17,RECONVAN!$F:$F,HORÁRIO!$Y$2),"")</f>
        <v>0</v>
      </c>
      <c r="Z17" s="85">
        <f>IF(B17&lt;&gt;"",SUMIFS(RECONVAN!I:I,RECONVAN!$A:$A,HORÁRIO!B17,RECONVAN!$F:$F,HORÁRIO!$Z$2),"")</f>
        <v>0</v>
      </c>
      <c r="AA17" s="85">
        <f>IF(B17&lt;&gt;"",SUMIFS(RECONVAN!I:I,RECONVAN!$A:$A,HORÁRIO!B17,RECONVAN!$F:$F,HORÁRIO!$AA$2),"")</f>
        <v>0</v>
      </c>
      <c r="AB17" s="85">
        <f>IF(B17&lt;&gt;"",SUMIFS(RECONVAN!I:I,RECONVAN!$A:$A,HORÁRIO!B17,RECONVAN!$F:$F,HORÁRIO!$AB$2),"")</f>
        <v>0</v>
      </c>
      <c r="AC17" s="85">
        <f>IF(B17&lt;&gt;"",SUMIFS(RECONVAN!I:I,RECONVAN!$A:$A,HORÁRIO!B17,RECONVAN!$F:$F,HORÁRIO!$AC$2),"")</f>
        <v>0</v>
      </c>
      <c r="AD17" s="86">
        <f t="shared" si="0"/>
        <v>0</v>
      </c>
      <c r="AE17" s="86">
        <f t="shared" si="1"/>
        <v>0</v>
      </c>
    </row>
    <row r="18" spans="1:31" ht="18.75" x14ac:dyDescent="0.3">
      <c r="A18" s="344" t="str">
        <f t="shared" si="5"/>
        <v>BR07551746234</v>
      </c>
      <c r="B18" s="344" t="str">
        <f>PUXADA!B15</f>
        <v>BR075517462346497537</v>
      </c>
      <c r="C18" s="448">
        <f>IF(B18&lt;&gt;"",_xlfn.XLOOKUP(B18,PUXADA!$B$2:$B$939,PUXADA!$C$2:$C$939,""),"")</f>
        <v>46234</v>
      </c>
      <c r="D18" s="345" t="str">
        <f>IF(B18&lt;&gt;"",_xlfn.XLOOKUP(B18,PUXADA!$B$2:$B$939,PUXADA!$I$2:$I$939,""),"")</f>
        <v>BR075517</v>
      </c>
      <c r="E18" s="345" t="str">
        <f>_xlfn.XLOOKUP(D18,'BR''S'!$B$2:$B$104,'BR''S'!$C$2:$C$104,"")</f>
        <v>BR0075517</v>
      </c>
      <c r="F18" s="345" t="str">
        <f>_xlfn.XLOOKUP(D18,'BR''S'!$B$2:$B$104,'BR''S'!$H$2:$H$104,"")</f>
        <v>24H</v>
      </c>
      <c r="G18" s="345" t="str">
        <f>_xlfn.XLOOKUP(D18,'BR''S'!$B$2:$B$104,'BR''S'!$D$2:$D$104,"")</f>
        <v>FADEL - FIXO - VAN</v>
      </c>
      <c r="H18" s="347">
        <f>IF(B18&lt;&gt;"",PUXADA!P15,"")</f>
        <v>66.599999999999994</v>
      </c>
      <c r="I18" s="345">
        <f>IF(B18&lt;&gt;"",PUXADA!G15,"")</f>
        <v>10</v>
      </c>
      <c r="J18" s="322"/>
      <c r="K18" s="87"/>
      <c r="L18" s="87"/>
      <c r="M18" s="87"/>
      <c r="N18" s="87">
        <f t="shared" si="4"/>
        <v>0</v>
      </c>
      <c r="O18" s="87"/>
      <c r="P18" s="87"/>
      <c r="Q18" s="88">
        <f>IF(B18&lt;&gt;"",SUMIFS(RECONVAN!I:I,RECONVAN!$A:$A,HORÁRIO!B18,RECONVAN!$F:$F,HORÁRIO!$Q$2),"")</f>
        <v>0</v>
      </c>
      <c r="R18" s="88">
        <f>IF(B18&lt;&gt;"",SUMIFS(RECONVAN!I:I,RECONVAN!$A:$A,HORÁRIO!B18,RECONVAN!$F:$F,HORÁRIO!$R$2),"")</f>
        <v>0</v>
      </c>
      <c r="S18" s="88">
        <f>IF(B18&lt;&gt;"",SUMIFS(RECONVAN!I:I,RECONVAN!$A:$A,HORÁRIO!B18,RECONVAN!$F:$F,HORÁRIO!$S$2),"")</f>
        <v>0</v>
      </c>
      <c r="T18" s="88">
        <f>IF(B18&lt;&gt;"",SUMIFS(RECONVAN!I:I,RECONVAN!$A:$A,HORÁRIO!B18,RECONVAN!$F:$F,HORÁRIO!$T$2),"")</f>
        <v>0</v>
      </c>
      <c r="U18" s="88">
        <f>IF(B18&lt;&gt;"",SUMIFS(RECONVAN!I:I,RECONVAN!$A:$A,HORÁRIO!B18,RECONVAN!$F:$F,HORÁRIO!$U$2),"")</f>
        <v>0</v>
      </c>
      <c r="V18" s="88">
        <f>IF(B18&lt;&gt;"",SUMIFS(RECONVAN!I:I,RECONVAN!$A:$A,HORÁRIO!B18,RECONVAN!$F:$F,HORÁRIO!$V$2),"")</f>
        <v>0</v>
      </c>
      <c r="W18" s="88">
        <f>IF(B18&lt;&gt;"",SUMIFS(RECONVAN!I:I,RECONVAN!$A:$A,HORÁRIO!B18,RECONVAN!$F:$F,HORÁRIO!$W$2),"")</f>
        <v>0</v>
      </c>
      <c r="X18" s="88">
        <f>IF(B18&lt;&gt;"",SUMIFS(RECONVAN!I:I,RECONVAN!$A:$A,HORÁRIO!B18,RECONVAN!$F:$F,HORÁRIO!$X$2),"")</f>
        <v>0</v>
      </c>
      <c r="Y18" s="88">
        <f>IF(B18&lt;&gt;"",SUMIFS(RECONVAN!I:I,RECONVAN!$A:$A,HORÁRIO!B18,RECONVAN!$F:$F,HORÁRIO!$Y$2),"")</f>
        <v>0</v>
      </c>
      <c r="Z18" s="88">
        <f>IF(B18&lt;&gt;"",SUMIFS(RECONVAN!I:I,RECONVAN!$A:$A,HORÁRIO!B18,RECONVAN!$F:$F,HORÁRIO!$Z$2),"")</f>
        <v>0</v>
      </c>
      <c r="AA18" s="88">
        <f>IF(B18&lt;&gt;"",SUMIFS(RECONVAN!I:I,RECONVAN!$A:$A,HORÁRIO!B18,RECONVAN!$F:$F,HORÁRIO!$AA$2),"")</f>
        <v>0</v>
      </c>
      <c r="AB18" s="88">
        <f>IF(B18&lt;&gt;"",SUMIFS(RECONVAN!I:I,RECONVAN!$A:$A,HORÁRIO!B18,RECONVAN!$F:$F,HORÁRIO!$AB$2),"")</f>
        <v>0</v>
      </c>
      <c r="AC18" s="88">
        <f>IF(B18&lt;&gt;"",SUMIFS(RECONVAN!I:I,RECONVAN!$A:$A,HORÁRIO!B18,RECONVAN!$F:$F,HORÁRIO!$AC$2),"")</f>
        <v>0</v>
      </c>
      <c r="AD18" s="89">
        <f t="shared" si="0"/>
        <v>0</v>
      </c>
      <c r="AE18" s="89">
        <f t="shared" si="1"/>
        <v>0</v>
      </c>
    </row>
    <row r="19" spans="1:31" ht="18" customHeight="1" x14ac:dyDescent="0.3">
      <c r="A19" s="344" t="str">
        <f t="shared" si="5"/>
        <v>BR44223246240</v>
      </c>
      <c r="B19" s="344" t="str">
        <f>PUXADA!B16</f>
        <v>BR442232462406497848</v>
      </c>
      <c r="C19" s="449">
        <f>IF(B19&lt;&gt;"",_xlfn.XLOOKUP(B19,PUXADA!$B$2:$B$939,PUXADA!$C$2:$C$939,""),"")</f>
        <v>46240</v>
      </c>
      <c r="D19" s="345" t="str">
        <f>IF(B19&lt;&gt;"",_xlfn.XLOOKUP(B19,PUXADA!$B$2:$B$939,PUXADA!$I$2:$I$939,""),"")</f>
        <v>BR442232</v>
      </c>
      <c r="E19" s="345" t="str">
        <f>_xlfn.XLOOKUP(D19,'BR''S'!$B$2:$B$104,'BR''S'!$C$2:$C$104,"")</f>
        <v>BR0442232</v>
      </c>
      <c r="F19" s="345" t="str">
        <f>_xlfn.XLOOKUP(D19,'BR''S'!$B$2:$B$104,'BR''S'!$H$2:$H$104,"")</f>
        <v>TPE</v>
      </c>
      <c r="G19" s="345" t="str">
        <f>_xlfn.XLOOKUP(D19,'BR''S'!$B$2:$B$104,'BR''S'!$D$2:$D$104,"")</f>
        <v>PONTA GROSSA</v>
      </c>
      <c r="H19" s="347">
        <f>IF(B19&lt;&gt;"",PUXADA!P16,"")</f>
        <v>0.8</v>
      </c>
      <c r="I19" s="345">
        <f>IF(B19&lt;&gt;"",PUXADA!G16,"")</f>
        <v>1</v>
      </c>
      <c r="J19" s="323"/>
      <c r="K19" s="84"/>
      <c r="L19" s="84"/>
      <c r="M19" s="84"/>
      <c r="N19" s="84">
        <f t="shared" si="4"/>
        <v>0</v>
      </c>
      <c r="O19" s="84"/>
      <c r="P19" s="84"/>
      <c r="Q19" s="85">
        <f>IF(B19&lt;&gt;"",SUMIFS(RECONVAN!I:I,RECONVAN!$A:$A,HORÁRIO!B19,RECONVAN!$F:$F,HORÁRIO!$Q$2),"")</f>
        <v>0</v>
      </c>
      <c r="R19" s="85">
        <f>IF(B19&lt;&gt;"",SUMIFS(RECONVAN!I:I,RECONVAN!$A:$A,HORÁRIO!B19,RECONVAN!$F:$F,HORÁRIO!$R$2),"")</f>
        <v>0</v>
      </c>
      <c r="S19" s="85">
        <f>IF(B19&lt;&gt;"",SUMIFS(RECONVAN!I:I,RECONVAN!$A:$A,HORÁRIO!B19,RECONVAN!$F:$F,HORÁRIO!$S$2),"")</f>
        <v>0</v>
      </c>
      <c r="T19" s="85">
        <f>IF(B19&lt;&gt;"",SUMIFS(RECONVAN!I:I,RECONVAN!$A:$A,HORÁRIO!B19,RECONVAN!$F:$F,HORÁRIO!$T$2),"")</f>
        <v>0</v>
      </c>
      <c r="U19" s="85">
        <f>IF(B19&lt;&gt;"",SUMIFS(RECONVAN!I:I,RECONVAN!$A:$A,HORÁRIO!B19,RECONVAN!$F:$F,HORÁRIO!$U$2),"")</f>
        <v>0</v>
      </c>
      <c r="V19" s="85">
        <f>IF(B19&lt;&gt;"",SUMIFS(RECONVAN!I:I,RECONVAN!$A:$A,HORÁRIO!B19,RECONVAN!$F:$F,HORÁRIO!$V$2),"")</f>
        <v>0</v>
      </c>
      <c r="W19" s="85">
        <f>IF(B19&lt;&gt;"",SUMIFS(RECONVAN!I:I,RECONVAN!$A:$A,HORÁRIO!B19,RECONVAN!$F:$F,HORÁRIO!$W$2),"")</f>
        <v>0</v>
      </c>
      <c r="X19" s="85">
        <f>IF(B19&lt;&gt;"",SUMIFS(RECONVAN!I:I,RECONVAN!$A:$A,HORÁRIO!B19,RECONVAN!$F:$F,HORÁRIO!$X$2),"")</f>
        <v>0</v>
      </c>
      <c r="Y19" s="85">
        <f>IF(B19&lt;&gt;"",SUMIFS(RECONVAN!I:I,RECONVAN!$A:$A,HORÁRIO!B19,RECONVAN!$F:$F,HORÁRIO!$Y$2),"")</f>
        <v>0</v>
      </c>
      <c r="Z19" s="85">
        <f>IF(B19&lt;&gt;"",SUMIFS(RECONVAN!I:I,RECONVAN!$A:$A,HORÁRIO!B19,RECONVAN!$F:$F,HORÁRIO!$Z$2),"")</f>
        <v>0</v>
      </c>
      <c r="AA19" s="85">
        <f>IF(B19&lt;&gt;"",SUMIFS(RECONVAN!I:I,RECONVAN!$A:$A,HORÁRIO!B19,RECONVAN!$F:$F,HORÁRIO!$AA$2),"")</f>
        <v>0</v>
      </c>
      <c r="AB19" s="85">
        <f>IF(B19&lt;&gt;"",SUMIFS(RECONVAN!I:I,RECONVAN!$A:$A,HORÁRIO!B19,RECONVAN!$F:$F,HORÁRIO!$AB$2),"")</f>
        <v>0</v>
      </c>
      <c r="AC19" s="85">
        <f>IF(B19&lt;&gt;"",SUMIFS(RECONVAN!I:I,RECONVAN!$A:$A,HORÁRIO!B19,RECONVAN!$F:$F,HORÁRIO!$AC$2),"")</f>
        <v>0</v>
      </c>
      <c r="AD19" s="86">
        <f t="shared" si="0"/>
        <v>0</v>
      </c>
      <c r="AE19" s="86">
        <f t="shared" si="1"/>
        <v>0</v>
      </c>
    </row>
    <row r="20" spans="1:31" ht="19.5" customHeight="1" x14ac:dyDescent="0.3">
      <c r="A20" s="344" t="str">
        <f t="shared" si="5"/>
        <v>BR44224546238</v>
      </c>
      <c r="B20" s="344" t="str">
        <f>PUXADA!B17</f>
        <v>BR442245462386498113</v>
      </c>
      <c r="C20" s="449">
        <f>IF(B20&lt;&gt;"",_xlfn.XLOOKUP(B20,PUXADA!$B$2:$B$939,PUXADA!$C$2:$C$939,""),"")</f>
        <v>46238</v>
      </c>
      <c r="D20" s="345" t="str">
        <f>IF(B20&lt;&gt;"",_xlfn.XLOOKUP(B20,PUXADA!$B$2:$B$939,PUXADA!$I$2:$I$939,""),"")</f>
        <v>BR442245</v>
      </c>
      <c r="E20" s="345" t="str">
        <f>_xlfn.XLOOKUP(D20,'BR''S'!$B$2:$B$104,'BR''S'!$C$2:$C$104,"")</f>
        <v>BR0442245</v>
      </c>
      <c r="F20" s="345" t="str">
        <f>_xlfn.XLOOKUP(D20,'BR''S'!$B$2:$B$104,'BR''S'!$H$2:$H$104,"")</f>
        <v>TPE</v>
      </c>
      <c r="G20" s="345" t="str">
        <f>_xlfn.XLOOKUP(D20,'BR''S'!$B$2:$B$104,'BR''S'!$D$2:$D$104,"")</f>
        <v>GUARAPUAVA</v>
      </c>
      <c r="H20" s="347">
        <f>IF(B20&lt;&gt;"",PUXADA!P17,"")</f>
        <v>30.6</v>
      </c>
      <c r="I20" s="345">
        <f>IF(B20&lt;&gt;"",PUXADA!G17,"")</f>
        <v>1</v>
      </c>
      <c r="J20" s="322"/>
      <c r="K20" s="87"/>
      <c r="L20" s="87"/>
      <c r="M20" s="87"/>
      <c r="N20" s="87">
        <f t="shared" si="4"/>
        <v>0</v>
      </c>
      <c r="O20" s="87"/>
      <c r="P20" s="87"/>
      <c r="Q20" s="88">
        <f>IF(B20&lt;&gt;"",SUMIFS(RECONVAN!I:I,RECONVAN!$A:$A,HORÁRIO!B20,RECONVAN!$F:$F,HORÁRIO!$Q$2),"")</f>
        <v>0</v>
      </c>
      <c r="R20" s="88">
        <f>IF(B20&lt;&gt;"",SUMIFS(RECONVAN!I:I,RECONVAN!$A:$A,HORÁRIO!B20,RECONVAN!$F:$F,HORÁRIO!$R$2),"")</f>
        <v>0</v>
      </c>
      <c r="S20" s="88">
        <f>IF(B20&lt;&gt;"",SUMIFS(RECONVAN!I:I,RECONVAN!$A:$A,HORÁRIO!B20,RECONVAN!$F:$F,HORÁRIO!$S$2),"")</f>
        <v>0</v>
      </c>
      <c r="T20" s="88">
        <f>IF(B20&lt;&gt;"",SUMIFS(RECONVAN!I:I,RECONVAN!$A:$A,HORÁRIO!B20,RECONVAN!$F:$F,HORÁRIO!$T$2),"")</f>
        <v>0</v>
      </c>
      <c r="U20" s="88">
        <f>IF(B20&lt;&gt;"",SUMIFS(RECONVAN!I:I,RECONVAN!$A:$A,HORÁRIO!B20,RECONVAN!$F:$F,HORÁRIO!$U$2),"")</f>
        <v>0</v>
      </c>
      <c r="V20" s="88">
        <f>IF(B20&lt;&gt;"",SUMIFS(RECONVAN!I:I,RECONVAN!$A:$A,HORÁRIO!B20,RECONVAN!$F:$F,HORÁRIO!$V$2),"")</f>
        <v>0</v>
      </c>
      <c r="W20" s="88">
        <f>IF(B20&lt;&gt;"",SUMIFS(RECONVAN!I:I,RECONVAN!$A:$A,HORÁRIO!B20,RECONVAN!$F:$F,HORÁRIO!$W$2),"")</f>
        <v>0</v>
      </c>
      <c r="X20" s="88">
        <f>IF(B20&lt;&gt;"",SUMIFS(RECONVAN!I:I,RECONVAN!$A:$A,HORÁRIO!B20,RECONVAN!$F:$F,HORÁRIO!$X$2),"")</f>
        <v>0</v>
      </c>
      <c r="Y20" s="88">
        <f>IF(B20&lt;&gt;"",SUMIFS(RECONVAN!I:I,RECONVAN!$A:$A,HORÁRIO!B20,RECONVAN!$F:$F,HORÁRIO!$Y$2),"")</f>
        <v>0</v>
      </c>
      <c r="Z20" s="88">
        <f>IF(B20&lt;&gt;"",SUMIFS(RECONVAN!I:I,RECONVAN!$A:$A,HORÁRIO!B20,RECONVAN!$F:$F,HORÁRIO!$Z$2),"")</f>
        <v>0</v>
      </c>
      <c r="AA20" s="88">
        <f>IF(B20&lt;&gt;"",SUMIFS(RECONVAN!I:I,RECONVAN!$A:$A,HORÁRIO!B20,RECONVAN!$F:$F,HORÁRIO!$AA$2),"")</f>
        <v>0</v>
      </c>
      <c r="AB20" s="88">
        <f>IF(B20&lt;&gt;"",SUMIFS(RECONVAN!I:I,RECONVAN!$A:$A,HORÁRIO!B20,RECONVAN!$F:$F,HORÁRIO!$AB$2),"")</f>
        <v>0</v>
      </c>
      <c r="AC20" s="88">
        <f>IF(B20&lt;&gt;"",SUMIFS(RECONVAN!I:I,RECONVAN!$A:$A,HORÁRIO!B20,RECONVAN!$F:$F,HORÁRIO!$AC$2),"")</f>
        <v>0</v>
      </c>
      <c r="AD20" s="89">
        <f t="shared" si="0"/>
        <v>0</v>
      </c>
      <c r="AE20" s="89">
        <f t="shared" si="1"/>
        <v>0</v>
      </c>
    </row>
    <row r="21" spans="1:31" ht="18" customHeight="1" x14ac:dyDescent="0.3">
      <c r="A21" s="344" t="str">
        <f t="shared" si="5"/>
        <v>BR44218646234</v>
      </c>
      <c r="B21" s="344" t="str">
        <f>PUXADA!B18</f>
        <v>BR442186462346497930</v>
      </c>
      <c r="C21" s="448">
        <f>IF(B21&lt;&gt;"",_xlfn.XLOOKUP(B21,PUXADA!$B$2:$B$939,PUXADA!$C$2:$C$939,""),"")</f>
        <v>46234</v>
      </c>
      <c r="D21" s="345" t="str">
        <f>IF(B21&lt;&gt;"",_xlfn.XLOOKUP(B21,PUXADA!$B$2:$B$939,PUXADA!$I$2:$I$939,""),"")</f>
        <v>BR442186</v>
      </c>
      <c r="E21" s="345" t="str">
        <f>_xlfn.XLOOKUP(D21,'BR''S'!$B$2:$B$104,'BR''S'!$C$2:$C$104,"")</f>
        <v>BR0442186</v>
      </c>
      <c r="F21" s="345" t="str">
        <f>_xlfn.XLOOKUP(D21,'BR''S'!$B$2:$B$104,'BR''S'!$H$2:$H$104,"")</f>
        <v>TPE</v>
      </c>
      <c r="G21" s="345" t="str">
        <f>_xlfn.XLOOKUP(D21,'BR''S'!$B$2:$B$104,'BR''S'!$D$2:$D$104,"")</f>
        <v>SUDOESTE</v>
      </c>
      <c r="H21" s="347">
        <f>IF(B21&lt;&gt;"",PUXADA!P18,"")</f>
        <v>33.799999999999997</v>
      </c>
      <c r="I21" s="345">
        <f>IF(B21&lt;&gt;"",PUXADA!G18,"")</f>
        <v>1</v>
      </c>
      <c r="J21" s="323"/>
      <c r="K21" s="84"/>
      <c r="L21" s="84"/>
      <c r="M21" s="84"/>
      <c r="N21" s="84">
        <f t="shared" si="4"/>
        <v>0</v>
      </c>
      <c r="O21" s="84"/>
      <c r="P21" s="84"/>
      <c r="Q21" s="85">
        <f>IF(B21&lt;&gt;"",SUMIFS(RECONVAN!I:I,RECONVAN!$A:$A,HORÁRIO!B21,RECONVAN!$F:$F,HORÁRIO!$Q$2),"")</f>
        <v>0</v>
      </c>
      <c r="R21" s="85">
        <f>IF(B21&lt;&gt;"",SUMIFS(RECONVAN!I:I,RECONVAN!$A:$A,HORÁRIO!B21,RECONVAN!$F:$F,HORÁRIO!$R$2),"")</f>
        <v>0</v>
      </c>
      <c r="S21" s="85">
        <f>IF(B21&lt;&gt;"",SUMIFS(RECONVAN!I:I,RECONVAN!$A:$A,HORÁRIO!B21,RECONVAN!$F:$F,HORÁRIO!$S$2),"")</f>
        <v>0</v>
      </c>
      <c r="T21" s="85">
        <f>IF(B21&lt;&gt;"",SUMIFS(RECONVAN!I:I,RECONVAN!$A:$A,HORÁRIO!B21,RECONVAN!$F:$F,HORÁRIO!$T$2),"")</f>
        <v>0</v>
      </c>
      <c r="U21" s="85">
        <f>IF(B21&lt;&gt;"",SUMIFS(RECONVAN!I:I,RECONVAN!$A:$A,HORÁRIO!B21,RECONVAN!$F:$F,HORÁRIO!$U$2),"")</f>
        <v>0</v>
      </c>
      <c r="V21" s="85">
        <f>IF(B21&lt;&gt;"",SUMIFS(RECONVAN!I:I,RECONVAN!$A:$A,HORÁRIO!B21,RECONVAN!$F:$F,HORÁRIO!$V$2),"")</f>
        <v>0</v>
      </c>
      <c r="W21" s="85">
        <f>IF(B21&lt;&gt;"",SUMIFS(RECONVAN!I:I,RECONVAN!$A:$A,HORÁRIO!B21,RECONVAN!$F:$F,HORÁRIO!$W$2),"")</f>
        <v>0</v>
      </c>
      <c r="X21" s="85">
        <f>IF(B21&lt;&gt;"",SUMIFS(RECONVAN!I:I,RECONVAN!$A:$A,HORÁRIO!B21,RECONVAN!$F:$F,HORÁRIO!$X$2),"")</f>
        <v>0</v>
      </c>
      <c r="Y21" s="85">
        <f>IF(B21&lt;&gt;"",SUMIFS(RECONVAN!I:I,RECONVAN!$A:$A,HORÁRIO!B21,RECONVAN!$F:$F,HORÁRIO!$Y$2),"")</f>
        <v>0</v>
      </c>
      <c r="Z21" s="85">
        <f>IF(B21&lt;&gt;"",SUMIFS(RECONVAN!I:I,RECONVAN!$A:$A,HORÁRIO!B21,RECONVAN!$F:$F,HORÁRIO!$Z$2),"")</f>
        <v>0</v>
      </c>
      <c r="AA21" s="85">
        <f>IF(B21&lt;&gt;"",SUMIFS(RECONVAN!I:I,RECONVAN!$A:$A,HORÁRIO!B21,RECONVAN!$F:$F,HORÁRIO!$AA$2),"")</f>
        <v>0</v>
      </c>
      <c r="AB21" s="85">
        <f>IF(B21&lt;&gt;"",SUMIFS(RECONVAN!I:I,RECONVAN!$A:$A,HORÁRIO!B21,RECONVAN!$F:$F,HORÁRIO!$AB$2),"")</f>
        <v>0</v>
      </c>
      <c r="AC21" s="85">
        <f>IF(B21&lt;&gt;"",SUMIFS(RECONVAN!I:I,RECONVAN!$A:$A,HORÁRIO!B21,RECONVAN!$F:$F,HORÁRIO!$AC$2),"")</f>
        <v>0</v>
      </c>
      <c r="AD21" s="86">
        <f t="shared" si="0"/>
        <v>0</v>
      </c>
      <c r="AE21" s="86">
        <f t="shared" si="1"/>
        <v>0</v>
      </c>
    </row>
    <row r="22" spans="1:31" ht="18.75" x14ac:dyDescent="0.3">
      <c r="A22" s="344" t="str">
        <f t="shared" si="5"/>
        <v>BR44223146234</v>
      </c>
      <c r="B22" s="344" t="str">
        <f>PUXADA!B19</f>
        <v>BR442231462346497919</v>
      </c>
      <c r="C22" s="449">
        <f>IF(B22&lt;&gt;"",_xlfn.XLOOKUP(B22,PUXADA!$B$2:$B$939,PUXADA!$C$2:$C$939,""),"")</f>
        <v>46234</v>
      </c>
      <c r="D22" s="345" t="str">
        <f>IF(B22&lt;&gt;"",_xlfn.XLOOKUP(B22,PUXADA!$B$2:$B$939,PUXADA!$I$2:$I$939,""),"")</f>
        <v>BR442231</v>
      </c>
      <c r="E22" s="345" t="str">
        <f>_xlfn.XLOOKUP(D22,'BR''S'!$B$2:$B$104,'BR''S'!$C$2:$C$104,"")</f>
        <v>BR0442231</v>
      </c>
      <c r="F22" s="345" t="str">
        <f>_xlfn.XLOOKUP(D22,'BR''S'!$B$2:$B$104,'BR''S'!$H$2:$H$104,"")</f>
        <v>TPE</v>
      </c>
      <c r="G22" s="345" t="str">
        <f>_xlfn.XLOOKUP(D22,'BR''S'!$B$2:$B$104,'BR''S'!$D$2:$D$104,"")</f>
        <v>SUDOESTE</v>
      </c>
      <c r="H22" s="347">
        <f>IF(B22&lt;&gt;"",PUXADA!P19,"")</f>
        <v>2</v>
      </c>
      <c r="I22" s="345">
        <f>IF(B22&lt;&gt;"",PUXADA!G19,"")</f>
        <v>2</v>
      </c>
      <c r="J22" s="322"/>
      <c r="K22" s="87"/>
      <c r="L22" s="87"/>
      <c r="M22" s="87"/>
      <c r="N22" s="87">
        <f t="shared" si="4"/>
        <v>0</v>
      </c>
      <c r="O22" s="87"/>
      <c r="P22" s="87"/>
      <c r="Q22" s="88">
        <f>IF(B22&lt;&gt;"",SUMIFS(RECONVAN!I:I,RECONVAN!$A:$A,HORÁRIO!B22,RECONVAN!$F:$F,HORÁRIO!$Q$2),"")</f>
        <v>0</v>
      </c>
      <c r="R22" s="88">
        <f>IF(B22&lt;&gt;"",SUMIFS(RECONVAN!I:I,RECONVAN!$A:$A,HORÁRIO!B22,RECONVAN!$F:$F,HORÁRIO!$R$2),"")</f>
        <v>0</v>
      </c>
      <c r="S22" s="88">
        <f>IF(B22&lt;&gt;"",SUMIFS(RECONVAN!I:I,RECONVAN!$A:$A,HORÁRIO!B22,RECONVAN!$F:$F,HORÁRIO!$S$2),"")</f>
        <v>0</v>
      </c>
      <c r="T22" s="88">
        <f>IF(B22&lt;&gt;"",SUMIFS(RECONVAN!I:I,RECONVAN!$A:$A,HORÁRIO!B22,RECONVAN!$F:$F,HORÁRIO!$T$2),"")</f>
        <v>0</v>
      </c>
      <c r="U22" s="88">
        <f>IF(B22&lt;&gt;"",SUMIFS(RECONVAN!I:I,RECONVAN!$A:$A,HORÁRIO!B22,RECONVAN!$F:$F,HORÁRIO!$U$2),"")</f>
        <v>0</v>
      </c>
      <c r="V22" s="88">
        <f>IF(B22&lt;&gt;"",SUMIFS(RECONVAN!I:I,RECONVAN!$A:$A,HORÁRIO!B22,RECONVAN!$F:$F,HORÁRIO!$V$2),"")</f>
        <v>0</v>
      </c>
      <c r="W22" s="88">
        <f>IF(B22&lt;&gt;"",SUMIFS(RECONVAN!I:I,RECONVAN!$A:$A,HORÁRIO!B22,RECONVAN!$F:$F,HORÁRIO!$W$2),"")</f>
        <v>0</v>
      </c>
      <c r="X22" s="88">
        <f>IF(B22&lt;&gt;"",SUMIFS(RECONVAN!I:I,RECONVAN!$A:$A,HORÁRIO!B22,RECONVAN!$F:$F,HORÁRIO!$X$2),"")</f>
        <v>0</v>
      </c>
      <c r="Y22" s="88">
        <f>IF(B22&lt;&gt;"",SUMIFS(RECONVAN!I:I,RECONVAN!$A:$A,HORÁRIO!B22,RECONVAN!$F:$F,HORÁRIO!$Y$2),"")</f>
        <v>0</v>
      </c>
      <c r="Z22" s="88">
        <f>IF(B22&lt;&gt;"",SUMIFS(RECONVAN!I:I,RECONVAN!$A:$A,HORÁRIO!B22,RECONVAN!$F:$F,HORÁRIO!$Z$2),"")</f>
        <v>0</v>
      </c>
      <c r="AA22" s="88">
        <f>IF(B22&lt;&gt;"",SUMIFS(RECONVAN!I:I,RECONVAN!$A:$A,HORÁRIO!B22,RECONVAN!$F:$F,HORÁRIO!$AA$2),"")</f>
        <v>0</v>
      </c>
      <c r="AB22" s="88">
        <f>IF(B22&lt;&gt;"",SUMIFS(RECONVAN!I:I,RECONVAN!$A:$A,HORÁRIO!B22,RECONVAN!$F:$F,HORÁRIO!$AB$2),"")</f>
        <v>0</v>
      </c>
      <c r="AC22" s="88">
        <f>IF(B22&lt;&gt;"",SUMIFS(RECONVAN!I:I,RECONVAN!$A:$A,HORÁRIO!B22,RECONVAN!$F:$F,HORÁRIO!$AC$2),"")</f>
        <v>0</v>
      </c>
      <c r="AD22" s="89">
        <f t="shared" si="0"/>
        <v>0</v>
      </c>
      <c r="AE22" s="89">
        <f t="shared" si="1"/>
        <v>0</v>
      </c>
    </row>
    <row r="23" spans="1:31" ht="18" customHeight="1" x14ac:dyDescent="0.3">
      <c r="A23" s="344" t="str">
        <f t="shared" si="5"/>
        <v>BR44224646240</v>
      </c>
      <c r="B23" s="344" t="str">
        <f>PUXADA!B20</f>
        <v>BR442246462406497509</v>
      </c>
      <c r="C23" s="448">
        <f>IF(B23&lt;&gt;"",_xlfn.XLOOKUP(B23,PUXADA!$B$2:$B$939,PUXADA!$C$2:$C$939,""),"")</f>
        <v>46240</v>
      </c>
      <c r="D23" s="345" t="str">
        <f>IF(B23&lt;&gt;"",_xlfn.XLOOKUP(B23,PUXADA!$B$2:$B$939,PUXADA!$I$2:$I$939,""),"")</f>
        <v>BR442246</v>
      </c>
      <c r="E23" s="345" t="str">
        <f>_xlfn.XLOOKUP(D23,'BR''S'!$B$2:$B$104,'BR''S'!$C$2:$C$104,"")</f>
        <v>BR0442246</v>
      </c>
      <c r="F23" s="345" t="str">
        <f>_xlfn.XLOOKUP(D23,'BR''S'!$B$2:$B$104,'BR''S'!$H$2:$H$104,"")</f>
        <v>TPE</v>
      </c>
      <c r="G23" s="345" t="str">
        <f>_xlfn.XLOOKUP(D23,'BR''S'!$B$2:$B$104,'BR''S'!$D$2:$D$104,"")</f>
        <v>SUDOESTE</v>
      </c>
      <c r="H23" s="347">
        <f>IF(B23&lt;&gt;"",PUXADA!P20,"")</f>
        <v>0.8</v>
      </c>
      <c r="I23" s="345">
        <f>IF(B23&lt;&gt;"",PUXADA!G20,"")</f>
        <v>1</v>
      </c>
      <c r="J23" s="323"/>
      <c r="K23" s="84"/>
      <c r="L23" s="84"/>
      <c r="M23" s="84"/>
      <c r="N23" s="84">
        <f t="shared" si="4"/>
        <v>0</v>
      </c>
      <c r="O23" s="84"/>
      <c r="P23" s="84"/>
      <c r="Q23" s="85">
        <f>IF(B23&lt;&gt;"",SUMIFS(RECONVAN!I:I,RECONVAN!$A:$A,HORÁRIO!B23,RECONVAN!$F:$F,HORÁRIO!$Q$2),"")</f>
        <v>0</v>
      </c>
      <c r="R23" s="85">
        <f>IF(B23&lt;&gt;"",SUMIFS(RECONVAN!I:I,RECONVAN!$A:$A,HORÁRIO!B23,RECONVAN!$F:$F,HORÁRIO!$R$2),"")</f>
        <v>0</v>
      </c>
      <c r="S23" s="85">
        <f>IF(B23&lt;&gt;"",SUMIFS(RECONVAN!I:I,RECONVAN!$A:$A,HORÁRIO!B23,RECONVAN!$F:$F,HORÁRIO!$S$2),"")</f>
        <v>0</v>
      </c>
      <c r="T23" s="85">
        <f>IF(B23&lt;&gt;"",SUMIFS(RECONVAN!I:I,RECONVAN!$A:$A,HORÁRIO!B23,RECONVAN!$F:$F,HORÁRIO!$T$2),"")</f>
        <v>0</v>
      </c>
      <c r="U23" s="85">
        <f>IF(B23&lt;&gt;"",SUMIFS(RECONVAN!I:I,RECONVAN!$A:$A,HORÁRIO!B23,RECONVAN!$F:$F,HORÁRIO!$U$2),"")</f>
        <v>0</v>
      </c>
      <c r="V23" s="85">
        <f>IF(B23&lt;&gt;"",SUMIFS(RECONVAN!I:I,RECONVAN!$A:$A,HORÁRIO!B23,RECONVAN!$F:$F,HORÁRIO!$V$2),"")</f>
        <v>0</v>
      </c>
      <c r="W23" s="85">
        <f>IF(B23&lt;&gt;"",SUMIFS(RECONVAN!I:I,RECONVAN!$A:$A,HORÁRIO!B23,RECONVAN!$F:$F,HORÁRIO!$W$2),"")</f>
        <v>0</v>
      </c>
      <c r="X23" s="85">
        <f>IF(B23&lt;&gt;"",SUMIFS(RECONVAN!I:I,RECONVAN!$A:$A,HORÁRIO!B23,RECONVAN!$F:$F,HORÁRIO!$X$2),"")</f>
        <v>0</v>
      </c>
      <c r="Y23" s="85">
        <f>IF(B23&lt;&gt;"",SUMIFS(RECONVAN!I:I,RECONVAN!$A:$A,HORÁRIO!B23,RECONVAN!$F:$F,HORÁRIO!$Y$2),"")</f>
        <v>0</v>
      </c>
      <c r="Z23" s="85">
        <f>IF(B23&lt;&gt;"",SUMIFS(RECONVAN!I:I,RECONVAN!$A:$A,HORÁRIO!B23,RECONVAN!$F:$F,HORÁRIO!$Z$2),"")</f>
        <v>0</v>
      </c>
      <c r="AA23" s="85">
        <f>IF(B23&lt;&gt;"",SUMIFS(RECONVAN!I:I,RECONVAN!$A:$A,HORÁRIO!B23,RECONVAN!$F:$F,HORÁRIO!$AA$2),"")</f>
        <v>0</v>
      </c>
      <c r="AB23" s="85">
        <f>IF(B23&lt;&gt;"",SUMIFS(RECONVAN!I:I,RECONVAN!$A:$A,HORÁRIO!B23,RECONVAN!$F:$F,HORÁRIO!$AB$2),"")</f>
        <v>0</v>
      </c>
      <c r="AC23" s="85">
        <f>IF(B23&lt;&gt;"",SUMIFS(RECONVAN!I:I,RECONVAN!$A:$A,HORÁRIO!B23,RECONVAN!$F:$F,HORÁRIO!$AC$2),"")</f>
        <v>0</v>
      </c>
      <c r="AD23" s="86">
        <f t="shared" si="0"/>
        <v>0</v>
      </c>
      <c r="AE23" s="86">
        <f t="shared" si="1"/>
        <v>0</v>
      </c>
    </row>
    <row r="24" spans="1:31" ht="19.5" customHeight="1" x14ac:dyDescent="0.3">
      <c r="A24" s="344" t="str">
        <f t="shared" si="5"/>
        <v>BR44223646239</v>
      </c>
      <c r="B24" s="344" t="str">
        <f>PUXADA!B21</f>
        <v>BR442236462396497309</v>
      </c>
      <c r="C24" s="449">
        <f>IF(B24&lt;&gt;"",_xlfn.XLOOKUP(B24,PUXADA!$B$2:$B$939,PUXADA!$C$2:$C$939,""),"")</f>
        <v>46239</v>
      </c>
      <c r="D24" s="345" t="str">
        <f>IF(B24&lt;&gt;"",_xlfn.XLOOKUP(B24,PUXADA!$B$2:$B$939,PUXADA!$I$2:$I$939,""),"")</f>
        <v>BR442236</v>
      </c>
      <c r="E24" s="345" t="str">
        <f>_xlfn.XLOOKUP(D24,'BR''S'!$B$2:$B$104,'BR''S'!$C$2:$C$104,"")</f>
        <v>BR0442236</v>
      </c>
      <c r="F24" s="345" t="str">
        <f>_xlfn.XLOOKUP(D24,'BR''S'!$B$2:$B$104,'BR''S'!$H$2:$H$104,"")</f>
        <v>TPE</v>
      </c>
      <c r="G24" s="345" t="str">
        <f>_xlfn.XLOOKUP(D24,'BR''S'!$B$2:$B$104,'BR''S'!$D$2:$D$104,"")</f>
        <v>LITORAL</v>
      </c>
      <c r="H24" s="347">
        <f>IF(B24&lt;&gt;"",PUXADA!P21,"")</f>
        <v>819</v>
      </c>
      <c r="I24" s="345">
        <f>IF(B24&lt;&gt;"",PUXADA!G21,"")</f>
        <v>1</v>
      </c>
      <c r="J24" s="322"/>
      <c r="K24" s="87"/>
      <c r="L24" s="87"/>
      <c r="M24" s="87"/>
      <c r="N24" s="87">
        <f t="shared" si="4"/>
        <v>0</v>
      </c>
      <c r="O24" s="87"/>
      <c r="P24" s="87"/>
      <c r="Q24" s="88">
        <f>IF(B24&lt;&gt;"",SUMIFS(RECONVAN!I:I,RECONVAN!$A:$A,HORÁRIO!B24,RECONVAN!$F:$F,HORÁRIO!$Q$2),"")</f>
        <v>0</v>
      </c>
      <c r="R24" s="88">
        <f>IF(B24&lt;&gt;"",SUMIFS(RECONVAN!I:I,RECONVAN!$A:$A,HORÁRIO!B24,RECONVAN!$F:$F,HORÁRIO!$R$2),"")</f>
        <v>0</v>
      </c>
      <c r="S24" s="88">
        <f>IF(B24&lt;&gt;"",SUMIFS(RECONVAN!I:I,RECONVAN!$A:$A,HORÁRIO!B24,RECONVAN!$F:$F,HORÁRIO!$S$2),"")</f>
        <v>0</v>
      </c>
      <c r="T24" s="88">
        <f>IF(B24&lt;&gt;"",SUMIFS(RECONVAN!I:I,RECONVAN!$A:$A,HORÁRIO!B24,RECONVAN!$F:$F,HORÁRIO!$T$2),"")</f>
        <v>0</v>
      </c>
      <c r="U24" s="88">
        <f>IF(B24&lt;&gt;"",SUMIFS(RECONVAN!I:I,RECONVAN!$A:$A,HORÁRIO!B24,RECONVAN!$F:$F,HORÁRIO!$U$2),"")</f>
        <v>0</v>
      </c>
      <c r="V24" s="88">
        <f>IF(B24&lt;&gt;"",SUMIFS(RECONVAN!I:I,RECONVAN!$A:$A,HORÁRIO!B24,RECONVAN!$F:$F,HORÁRIO!$V$2),"")</f>
        <v>0</v>
      </c>
      <c r="W24" s="88">
        <f>IF(B24&lt;&gt;"",SUMIFS(RECONVAN!I:I,RECONVAN!$A:$A,HORÁRIO!B24,RECONVAN!$F:$F,HORÁRIO!$W$2),"")</f>
        <v>0</v>
      </c>
      <c r="X24" s="88">
        <f>IF(B24&lt;&gt;"",SUMIFS(RECONVAN!I:I,RECONVAN!$A:$A,HORÁRIO!B24,RECONVAN!$F:$F,HORÁRIO!$X$2),"")</f>
        <v>0</v>
      </c>
      <c r="Y24" s="88">
        <f>IF(B24&lt;&gt;"",SUMIFS(RECONVAN!I:I,RECONVAN!$A:$A,HORÁRIO!B24,RECONVAN!$F:$F,HORÁRIO!$Y$2),"")</f>
        <v>0</v>
      </c>
      <c r="Z24" s="88">
        <f>IF(B24&lt;&gt;"",SUMIFS(RECONVAN!I:I,RECONVAN!$A:$A,HORÁRIO!B24,RECONVAN!$F:$F,HORÁRIO!$Z$2),"")</f>
        <v>0</v>
      </c>
      <c r="AA24" s="88">
        <f>IF(B24&lt;&gt;"",SUMIFS(RECONVAN!I:I,RECONVAN!$A:$A,HORÁRIO!B24,RECONVAN!$F:$F,HORÁRIO!$AA$2),"")</f>
        <v>0</v>
      </c>
      <c r="AB24" s="88">
        <f>IF(B24&lt;&gt;"",SUMIFS(RECONVAN!I:I,RECONVAN!$A:$A,HORÁRIO!B24,RECONVAN!$F:$F,HORÁRIO!$AB$2),"")</f>
        <v>0</v>
      </c>
      <c r="AC24" s="88">
        <f>IF(B24&lt;&gt;"",SUMIFS(RECONVAN!I:I,RECONVAN!$A:$A,HORÁRIO!B24,RECONVAN!$F:$F,HORÁRIO!$AC$2),"")</f>
        <v>0</v>
      </c>
      <c r="AD24" s="89">
        <f t="shared" si="0"/>
        <v>0</v>
      </c>
      <c r="AE24" s="89">
        <f t="shared" si="1"/>
        <v>0</v>
      </c>
    </row>
    <row r="25" spans="1:31" ht="18" customHeight="1" x14ac:dyDescent="0.3">
      <c r="A25" s="344" t="str">
        <f t="shared" ref="A25" si="6">D25&amp;C25</f>
        <v>BR44224346239</v>
      </c>
      <c r="B25" s="344" t="str">
        <f>PUXADA!B22</f>
        <v>BR442243462396498121</v>
      </c>
      <c r="C25" s="449">
        <f>IF(B25&lt;&gt;"",_xlfn.XLOOKUP(B25,PUXADA!$B$2:$B$939,PUXADA!$C$2:$C$939,""),"")</f>
        <v>46239</v>
      </c>
      <c r="D25" s="345" t="str">
        <f>IF(B25&lt;&gt;"",_xlfn.XLOOKUP(B25,PUXADA!$B$2:$B$939,PUXADA!$I$2:$I$939,""),"")</f>
        <v>BR442243</v>
      </c>
      <c r="E25" s="345" t="str">
        <f>_xlfn.XLOOKUP(D25,'BR''S'!$B$2:$B$104,'BR''S'!$C$2:$C$104,"")</f>
        <v>BR0442243</v>
      </c>
      <c r="F25" s="345" t="str">
        <f>_xlfn.XLOOKUP(D25,'BR''S'!$B$2:$B$104,'BR''S'!$H$2:$H$104,"")</f>
        <v>TPE</v>
      </c>
      <c r="G25" s="345" t="str">
        <f>_xlfn.XLOOKUP(D25,'BR''S'!$B$2:$B$104,'BR''S'!$D$2:$D$104,"")</f>
        <v>LITORAL</v>
      </c>
      <c r="H25" s="347">
        <f>IF(B25&lt;&gt;"",PUXADA!P22,"")</f>
        <v>926</v>
      </c>
      <c r="I25" s="345">
        <f>IF(B25&lt;&gt;"",PUXADA!G22,"")</f>
        <v>1</v>
      </c>
      <c r="J25" s="323"/>
      <c r="K25" s="84"/>
      <c r="L25" s="84"/>
      <c r="M25" s="84"/>
      <c r="N25" s="84">
        <f t="shared" si="4"/>
        <v>0</v>
      </c>
      <c r="O25" s="84"/>
      <c r="P25" s="84"/>
      <c r="Q25" s="85">
        <f>IF(B25&lt;&gt;"",SUMIFS(RECONVAN!I:I,RECONVAN!$A:$A,HORÁRIO!B25,RECONVAN!$F:$F,HORÁRIO!$Q$2),"")</f>
        <v>0</v>
      </c>
      <c r="R25" s="85">
        <f>IF(B25&lt;&gt;"",SUMIFS(RECONVAN!I:I,RECONVAN!$A:$A,HORÁRIO!B25,RECONVAN!$F:$F,HORÁRIO!$R$2),"")</f>
        <v>0</v>
      </c>
      <c r="S25" s="85">
        <f>IF(B25&lt;&gt;"",SUMIFS(RECONVAN!I:I,RECONVAN!$A:$A,HORÁRIO!B25,RECONVAN!$F:$F,HORÁRIO!$S$2),"")</f>
        <v>0</v>
      </c>
      <c r="T25" s="85">
        <f>IF(B25&lt;&gt;"",SUMIFS(RECONVAN!I:I,RECONVAN!$A:$A,HORÁRIO!B25,RECONVAN!$F:$F,HORÁRIO!$T$2),"")</f>
        <v>0</v>
      </c>
      <c r="U25" s="85">
        <f>IF(B25&lt;&gt;"",SUMIFS(RECONVAN!I:I,RECONVAN!$A:$A,HORÁRIO!B25,RECONVAN!$F:$F,HORÁRIO!$U$2),"")</f>
        <v>0</v>
      </c>
      <c r="V25" s="85">
        <f>IF(B25&lt;&gt;"",SUMIFS(RECONVAN!I:I,RECONVAN!$A:$A,HORÁRIO!B25,RECONVAN!$F:$F,HORÁRIO!$V$2),"")</f>
        <v>0</v>
      </c>
      <c r="W25" s="85">
        <f>IF(B25&lt;&gt;"",SUMIFS(RECONVAN!I:I,RECONVAN!$A:$A,HORÁRIO!B25,RECONVAN!$F:$F,HORÁRIO!$W$2),"")</f>
        <v>0</v>
      </c>
      <c r="X25" s="85">
        <f>IF(B25&lt;&gt;"",SUMIFS(RECONVAN!I:I,RECONVAN!$A:$A,HORÁRIO!B25,RECONVAN!$F:$F,HORÁRIO!$X$2),"")</f>
        <v>0</v>
      </c>
      <c r="Y25" s="85">
        <f>IF(B25&lt;&gt;"",SUMIFS(RECONVAN!I:I,RECONVAN!$A:$A,HORÁRIO!B25,RECONVAN!$F:$F,HORÁRIO!$Y$2),"")</f>
        <v>0</v>
      </c>
      <c r="Z25" s="85">
        <f>IF(B25&lt;&gt;"",SUMIFS(RECONVAN!I:I,RECONVAN!$A:$A,HORÁRIO!B25,RECONVAN!$F:$F,HORÁRIO!$Z$2),"")</f>
        <v>0</v>
      </c>
      <c r="AA25" s="85">
        <f>IF(B25&lt;&gt;"",SUMIFS(RECONVAN!I:I,RECONVAN!$A:$A,HORÁRIO!B25,RECONVAN!$F:$F,HORÁRIO!$AA$2),"")</f>
        <v>0</v>
      </c>
      <c r="AB25" s="85">
        <f>IF(B25&lt;&gt;"",SUMIFS(RECONVAN!I:I,RECONVAN!$A:$A,HORÁRIO!B25,RECONVAN!$F:$F,HORÁRIO!$AB$2),"")</f>
        <v>0</v>
      </c>
      <c r="AC25" s="85">
        <f>IF(B25&lt;&gt;"",SUMIFS(RECONVAN!I:I,RECONVAN!$A:$A,HORÁRIO!B25,RECONVAN!$F:$F,HORÁRIO!$AC$2),"")</f>
        <v>0</v>
      </c>
      <c r="AD25" s="86">
        <f t="shared" si="0"/>
        <v>0</v>
      </c>
      <c r="AE25" s="86">
        <f t="shared" si="1"/>
        <v>0</v>
      </c>
    </row>
    <row r="26" spans="1:31" ht="18.75" x14ac:dyDescent="0.3">
      <c r="A26" s="344" t="str">
        <f t="shared" ref="A26:A89" si="7">D26&amp;C26</f>
        <v>BR44223546238</v>
      </c>
      <c r="B26" s="344" t="str">
        <f>PUXADA!B23</f>
        <v>BR442235462386497770</v>
      </c>
      <c r="C26" s="448">
        <f>IF(B26&lt;&gt;"",_xlfn.XLOOKUP(B26,PUXADA!$B$2:$B$939,PUXADA!$C$2:$C$939,""),"")</f>
        <v>46238</v>
      </c>
      <c r="D26" s="345" t="str">
        <f>IF(B26&lt;&gt;"",_xlfn.XLOOKUP(B26,PUXADA!$B$2:$B$939,PUXADA!$I$2:$I$939,""),"")</f>
        <v>BR442235</v>
      </c>
      <c r="E26" s="345" t="str">
        <f>_xlfn.XLOOKUP(D26,'BR''S'!$B$2:$B$104,'BR''S'!$C$2:$C$104,"")</f>
        <v>BR0442235</v>
      </c>
      <c r="F26" s="345" t="str">
        <f>_xlfn.XLOOKUP(D26,'BR''S'!$B$2:$B$104,'BR''S'!$H$2:$H$104,"")</f>
        <v>TPE</v>
      </c>
      <c r="G26" s="345" t="str">
        <f>_xlfn.XLOOKUP(D26,'BR''S'!$B$2:$B$104,'BR''S'!$D$2:$D$104,"")</f>
        <v>GUARAPUAVA</v>
      </c>
      <c r="H26" s="347">
        <f>IF(B26&lt;&gt;"",PUXADA!P23,"")</f>
        <v>695</v>
      </c>
      <c r="I26" s="345">
        <f>IF(B26&lt;&gt;"",PUXADA!G23,"")</f>
        <v>1</v>
      </c>
      <c r="J26" s="322"/>
      <c r="K26" s="87"/>
      <c r="L26" s="87"/>
      <c r="M26" s="87"/>
      <c r="N26" s="87">
        <f t="shared" si="4"/>
        <v>0</v>
      </c>
      <c r="O26" s="87"/>
      <c r="P26" s="87"/>
      <c r="Q26" s="88">
        <f>IF(B26&lt;&gt;"",SUMIFS(RECONVAN!I:I,RECONVAN!$A:$A,HORÁRIO!B26,RECONVAN!$F:$F,HORÁRIO!$Q$2),"")</f>
        <v>0</v>
      </c>
      <c r="R26" s="88">
        <f>IF(B26&lt;&gt;"",SUMIFS(RECONVAN!I:I,RECONVAN!$A:$A,HORÁRIO!B26,RECONVAN!$F:$F,HORÁRIO!$R$2),"")</f>
        <v>0</v>
      </c>
      <c r="S26" s="88">
        <f>IF(B26&lt;&gt;"",SUMIFS(RECONVAN!I:I,RECONVAN!$A:$A,HORÁRIO!B26,RECONVAN!$F:$F,HORÁRIO!$S$2),"")</f>
        <v>0</v>
      </c>
      <c r="T26" s="88">
        <f>IF(B26&lt;&gt;"",SUMIFS(RECONVAN!I:I,RECONVAN!$A:$A,HORÁRIO!B26,RECONVAN!$F:$F,HORÁRIO!$T$2),"")</f>
        <v>0</v>
      </c>
      <c r="U26" s="88">
        <f>IF(B26&lt;&gt;"",SUMIFS(RECONVAN!I:I,RECONVAN!$A:$A,HORÁRIO!B26,RECONVAN!$F:$F,HORÁRIO!$U$2),"")</f>
        <v>0</v>
      </c>
      <c r="V26" s="88">
        <f>IF(B26&lt;&gt;"",SUMIFS(RECONVAN!I:I,RECONVAN!$A:$A,HORÁRIO!B26,RECONVAN!$F:$F,HORÁRIO!$V$2),"")</f>
        <v>0</v>
      </c>
      <c r="W26" s="88">
        <f>IF(B26&lt;&gt;"",SUMIFS(RECONVAN!I:I,RECONVAN!$A:$A,HORÁRIO!B26,RECONVAN!$F:$F,HORÁRIO!$W$2),"")</f>
        <v>0</v>
      </c>
      <c r="X26" s="88">
        <f>IF(B26&lt;&gt;"",SUMIFS(RECONVAN!I:I,RECONVAN!$A:$A,HORÁRIO!B26,RECONVAN!$F:$F,HORÁRIO!$X$2),"")</f>
        <v>0</v>
      </c>
      <c r="Y26" s="88">
        <f>IF(B26&lt;&gt;"",SUMIFS(RECONVAN!I:I,RECONVAN!$A:$A,HORÁRIO!B26,RECONVAN!$F:$F,HORÁRIO!$Y$2),"")</f>
        <v>0</v>
      </c>
      <c r="Z26" s="88">
        <f>IF(B26&lt;&gt;"",SUMIFS(RECONVAN!I:I,RECONVAN!$A:$A,HORÁRIO!B26,RECONVAN!$F:$F,HORÁRIO!$Z$2),"")</f>
        <v>0</v>
      </c>
      <c r="AA26" s="88">
        <f>IF(B26&lt;&gt;"",SUMIFS(RECONVAN!I:I,RECONVAN!$A:$A,HORÁRIO!B26,RECONVAN!$F:$F,HORÁRIO!$AA$2),"")</f>
        <v>0</v>
      </c>
      <c r="AB26" s="88">
        <f>IF(B26&lt;&gt;"",SUMIFS(RECONVAN!I:I,RECONVAN!$A:$A,HORÁRIO!B26,RECONVAN!$F:$F,HORÁRIO!$AB$2),"")</f>
        <v>0</v>
      </c>
      <c r="AC26" s="88">
        <f>IF(B26&lt;&gt;"",SUMIFS(RECONVAN!I:I,RECONVAN!$A:$A,HORÁRIO!B26,RECONVAN!$F:$F,HORÁRIO!$AC$2),"")</f>
        <v>0</v>
      </c>
      <c r="AD26" s="89">
        <f t="shared" si="0"/>
        <v>0</v>
      </c>
      <c r="AE26" s="89">
        <f t="shared" si="1"/>
        <v>0</v>
      </c>
    </row>
    <row r="27" spans="1:31" ht="18" customHeight="1" x14ac:dyDescent="0.3">
      <c r="A27" s="344" t="str">
        <f t="shared" si="7"/>
        <v>BR44223346238</v>
      </c>
      <c r="B27" s="344" t="str">
        <f>PUXADA!B24</f>
        <v>BR442233462386498005</v>
      </c>
      <c r="C27" s="449">
        <f>IF(B27&lt;&gt;"",_xlfn.XLOOKUP(B27,PUXADA!$B$2:$B$939,PUXADA!$C$2:$C$939,""),"")</f>
        <v>46238</v>
      </c>
      <c r="D27" s="345" t="str">
        <f>IF(B27&lt;&gt;"",_xlfn.XLOOKUP(B27,PUXADA!$B$2:$B$939,PUXADA!$I$2:$I$939,""),"")</f>
        <v>BR442233</v>
      </c>
      <c r="E27" s="345" t="str">
        <f>_xlfn.XLOOKUP(D27,'BR''S'!$B$2:$B$104,'BR''S'!$C$2:$C$104,"")</f>
        <v>BR0442233</v>
      </c>
      <c r="F27" s="345" t="str">
        <f>_xlfn.XLOOKUP(D27,'BR''S'!$B$2:$B$104,'BR''S'!$H$2:$H$104,"")</f>
        <v>TPE</v>
      </c>
      <c r="G27" s="345" t="str">
        <f>_xlfn.XLOOKUP(D27,'BR''S'!$B$2:$B$104,'BR''S'!$D$2:$D$104,"")</f>
        <v>GUARAPUAVA</v>
      </c>
      <c r="H27" s="347">
        <f>IF(B27&lt;&gt;"",PUXADA!P24,"")</f>
        <v>433.6</v>
      </c>
      <c r="I27" s="345">
        <f>IF(B27&lt;&gt;"",PUXADA!G24,"")</f>
        <v>1</v>
      </c>
      <c r="J27" s="323"/>
      <c r="K27" s="84"/>
      <c r="L27" s="84"/>
      <c r="M27" s="84"/>
      <c r="N27" s="84">
        <f t="shared" si="4"/>
        <v>0</v>
      </c>
      <c r="O27" s="84"/>
      <c r="P27" s="84"/>
      <c r="Q27" s="85">
        <f>IF(B27&lt;&gt;"",SUMIFS(RECONVAN!I:I,RECONVAN!$A:$A,HORÁRIO!B27,RECONVAN!$F:$F,HORÁRIO!$Q$2),"")</f>
        <v>0</v>
      </c>
      <c r="R27" s="85">
        <f>IF(B27&lt;&gt;"",SUMIFS(RECONVAN!I:I,RECONVAN!$A:$A,HORÁRIO!B27,RECONVAN!$F:$F,HORÁRIO!$R$2),"")</f>
        <v>0</v>
      </c>
      <c r="S27" s="85">
        <f>IF(B27&lt;&gt;"",SUMIFS(RECONVAN!I:I,RECONVAN!$A:$A,HORÁRIO!B27,RECONVAN!$F:$F,HORÁRIO!$S$2),"")</f>
        <v>0</v>
      </c>
      <c r="T27" s="85">
        <f>IF(B27&lt;&gt;"",SUMIFS(RECONVAN!I:I,RECONVAN!$A:$A,HORÁRIO!B27,RECONVAN!$F:$F,HORÁRIO!$T$2),"")</f>
        <v>0</v>
      </c>
      <c r="U27" s="85">
        <f>IF(B27&lt;&gt;"",SUMIFS(RECONVAN!I:I,RECONVAN!$A:$A,HORÁRIO!B27,RECONVAN!$F:$F,HORÁRIO!$U$2),"")</f>
        <v>0</v>
      </c>
      <c r="V27" s="85">
        <f>IF(B27&lt;&gt;"",SUMIFS(RECONVAN!I:I,RECONVAN!$A:$A,HORÁRIO!B27,RECONVAN!$F:$F,HORÁRIO!$V$2),"")</f>
        <v>0</v>
      </c>
      <c r="W27" s="85">
        <f>IF(B27&lt;&gt;"",SUMIFS(RECONVAN!I:I,RECONVAN!$A:$A,HORÁRIO!B27,RECONVAN!$F:$F,HORÁRIO!$W$2),"")</f>
        <v>0</v>
      </c>
      <c r="X27" s="85">
        <f>IF(B27&lt;&gt;"",SUMIFS(RECONVAN!I:I,RECONVAN!$A:$A,HORÁRIO!B27,RECONVAN!$F:$F,HORÁRIO!$X$2),"")</f>
        <v>0</v>
      </c>
      <c r="Y27" s="85">
        <f>IF(B27&lt;&gt;"",SUMIFS(RECONVAN!I:I,RECONVAN!$A:$A,HORÁRIO!B27,RECONVAN!$F:$F,HORÁRIO!$Y$2),"")</f>
        <v>0</v>
      </c>
      <c r="Z27" s="85">
        <f>IF(B27&lt;&gt;"",SUMIFS(RECONVAN!I:I,RECONVAN!$A:$A,HORÁRIO!B27,RECONVAN!$F:$F,HORÁRIO!$Z$2),"")</f>
        <v>0</v>
      </c>
      <c r="AA27" s="85">
        <f>IF(B27&lt;&gt;"",SUMIFS(RECONVAN!I:I,RECONVAN!$A:$A,HORÁRIO!B27,RECONVAN!$F:$F,HORÁRIO!$AA$2),"")</f>
        <v>0</v>
      </c>
      <c r="AB27" s="85">
        <f>IF(B27&lt;&gt;"",SUMIFS(RECONVAN!I:I,RECONVAN!$A:$A,HORÁRIO!B27,RECONVAN!$F:$F,HORÁRIO!$AB$2),"")</f>
        <v>0</v>
      </c>
      <c r="AC27" s="85">
        <f>IF(B27&lt;&gt;"",SUMIFS(RECONVAN!I:I,RECONVAN!$A:$A,HORÁRIO!B27,RECONVAN!$F:$F,HORÁRIO!$AC$2),"")</f>
        <v>0</v>
      </c>
      <c r="AD27" s="86">
        <f t="shared" si="0"/>
        <v>0</v>
      </c>
      <c r="AE27" s="86">
        <f t="shared" si="1"/>
        <v>0</v>
      </c>
    </row>
    <row r="28" spans="1:31" ht="18.75" x14ac:dyDescent="0.3">
      <c r="A28" s="344" t="str">
        <f t="shared" si="7"/>
        <v/>
      </c>
      <c r="B28" s="344" t="str">
        <f>PUXADA!B25</f>
        <v/>
      </c>
      <c r="C28" s="448" t="str">
        <f>IF(B28&lt;&gt;"",_xlfn.XLOOKUP(B28,PUXADA!$B$2:$B$939,PUXADA!$C$2:$C$939,""),"")</f>
        <v/>
      </c>
      <c r="D28" s="345" t="str">
        <f>IF(B28&lt;&gt;"",_xlfn.XLOOKUP(B28,PUXADA!$B$2:$B$939,PUXADA!$I$2:$I$939,""),"")</f>
        <v/>
      </c>
      <c r="E28" s="344" t="str">
        <f>_xlfn.XLOOKUP(D28,'BR''S'!$B$2:$B$104,'BR''S'!$C$2:$C$104,"")</f>
        <v/>
      </c>
      <c r="F28" s="345" t="str">
        <f>_xlfn.XLOOKUP(D28,'BR''S'!$B$2:$B$104,'BR''S'!$H$2:$H$104,"")</f>
        <v/>
      </c>
      <c r="G28" s="345" t="str">
        <f>_xlfn.XLOOKUP(D28,'BR''S'!$B$2:$B$104,'BR''S'!$D$2:$D$104,"")</f>
        <v/>
      </c>
      <c r="H28" s="347" t="str">
        <f>IF(B28&lt;&gt;"",PUXADA!P25,"")</f>
        <v/>
      </c>
      <c r="I28" s="345" t="str">
        <f>IF(B28&lt;&gt;"",PUXADA!G25,"")</f>
        <v/>
      </c>
      <c r="J28" s="322"/>
      <c r="K28" s="87"/>
      <c r="L28" s="87"/>
      <c r="M28" s="87"/>
      <c r="N28" s="87" t="str">
        <f t="shared" si="4"/>
        <v/>
      </c>
      <c r="O28" s="87"/>
      <c r="P28" s="87"/>
      <c r="Q28" s="88" t="str">
        <f>IF(B28&lt;&gt;"",SUMIFS(RECONVAN!I:I,RECONVAN!$A:$A,HORÁRIO!B28,RECONVAN!$F:$F,HORÁRIO!$Q$2),"")</f>
        <v/>
      </c>
      <c r="R28" s="88" t="str">
        <f>IF(B28&lt;&gt;"",SUMIFS(RECONVAN!I:I,RECONVAN!$A:$A,HORÁRIO!B28,RECONVAN!$F:$F,HORÁRIO!$R$2),"")</f>
        <v/>
      </c>
      <c r="S28" s="88" t="str">
        <f>IF(B28&lt;&gt;"",SUMIFS(RECONVAN!I:I,RECONVAN!$A:$A,HORÁRIO!B28,RECONVAN!$F:$F,HORÁRIO!$S$2),"")</f>
        <v/>
      </c>
      <c r="T28" s="88" t="str">
        <f>IF(B28&lt;&gt;"",SUMIFS(RECONVAN!I:I,RECONVAN!$A:$A,HORÁRIO!B28,RECONVAN!$F:$F,HORÁRIO!$T$2),"")</f>
        <v/>
      </c>
      <c r="U28" s="88" t="str">
        <f>IF(B28&lt;&gt;"",SUMIFS(RECONVAN!I:I,RECONVAN!$A:$A,HORÁRIO!B28,RECONVAN!$F:$F,HORÁRIO!$U$2),"")</f>
        <v/>
      </c>
      <c r="V28" s="88" t="str">
        <f>IF(B28&lt;&gt;"",SUMIFS(RECONVAN!I:I,RECONVAN!$A:$A,HORÁRIO!B28,RECONVAN!$F:$F,HORÁRIO!$V$2),"")</f>
        <v/>
      </c>
      <c r="W28" s="88" t="str">
        <f>IF(B28&lt;&gt;"",SUMIFS(RECONVAN!I:I,RECONVAN!$A:$A,HORÁRIO!B28,RECONVAN!$F:$F,HORÁRIO!$W$2),"")</f>
        <v/>
      </c>
      <c r="X28" s="88" t="str">
        <f>IF(B28&lt;&gt;"",SUMIFS(RECONVAN!I:I,RECONVAN!$A:$A,HORÁRIO!B28,RECONVAN!$F:$F,HORÁRIO!$X$2),"")</f>
        <v/>
      </c>
      <c r="Y28" s="88" t="str">
        <f>IF(B28&lt;&gt;"",SUMIFS(RECONVAN!I:I,RECONVAN!$A:$A,HORÁRIO!B28,RECONVAN!$F:$F,HORÁRIO!$Y$2),"")</f>
        <v/>
      </c>
      <c r="Z28" s="88" t="str">
        <f>IF(B28&lt;&gt;"",SUMIFS(RECONVAN!I:I,RECONVAN!$A:$A,HORÁRIO!B28,RECONVAN!$F:$F,HORÁRIO!$Z$2),"")</f>
        <v/>
      </c>
      <c r="AA28" s="88" t="str">
        <f>IF(B28&lt;&gt;"",SUMIFS(RECONVAN!I:I,RECONVAN!$A:$A,HORÁRIO!B28,RECONVAN!$F:$F,HORÁRIO!$AA$2),"")</f>
        <v/>
      </c>
      <c r="AB28" s="88" t="str">
        <f>IF(B28&lt;&gt;"",SUMIFS(RECONVAN!I:I,RECONVAN!$A:$A,HORÁRIO!B28,RECONVAN!$F:$F,HORÁRIO!$AB$2),"")</f>
        <v/>
      </c>
      <c r="AC28" s="88" t="str">
        <f>IF(B28&lt;&gt;"",SUMIFS(RECONVAN!I:I,RECONVAN!$A:$A,HORÁRIO!B28,RECONVAN!$F:$F,HORÁRIO!$AC$2),"")</f>
        <v/>
      </c>
      <c r="AD28" s="89" t="str">
        <f t="shared" si="0"/>
        <v/>
      </c>
      <c r="AE28" s="89" t="str">
        <f t="shared" si="1"/>
        <v/>
      </c>
    </row>
    <row r="29" spans="1:31" ht="18" customHeight="1" x14ac:dyDescent="0.3">
      <c r="A29" s="344" t="str">
        <f t="shared" si="7"/>
        <v/>
      </c>
      <c r="B29" s="344" t="str">
        <f>PUXADA!B26</f>
        <v/>
      </c>
      <c r="C29" s="449" t="str">
        <f>IF(B29&lt;&gt;"",_xlfn.XLOOKUP(B29,PUXADA!$B$2:$B$939,PUXADA!$C$2:$C$939,""),"")</f>
        <v/>
      </c>
      <c r="D29" s="345" t="str">
        <f>IF(B29&lt;&gt;"",_xlfn.XLOOKUP(B29,PUXADA!$B$2:$B$939,PUXADA!$I$2:$I$939,""),"")</f>
        <v/>
      </c>
      <c r="E29" s="345" t="str">
        <f>_xlfn.XLOOKUP(D29,'BR''S'!$B$2:$B$104,'BR''S'!$C$2:$C$104,"")</f>
        <v/>
      </c>
      <c r="F29" s="345" t="str">
        <f>_xlfn.XLOOKUP(D29,'BR''S'!$B$2:$B$104,'BR''S'!$H$2:$H$104,"")</f>
        <v/>
      </c>
      <c r="G29" s="345" t="str">
        <f>_xlfn.XLOOKUP(D29,'BR''S'!$B$2:$B$104,'BR''S'!$D$2:$D$104,"")</f>
        <v/>
      </c>
      <c r="H29" s="347" t="str">
        <f>IF(B29&lt;&gt;"",PUXADA!P26,"")</f>
        <v/>
      </c>
      <c r="I29" s="345" t="str">
        <f>IF(B29&lt;&gt;"",PUXADA!G26,"")</f>
        <v/>
      </c>
      <c r="J29" s="323"/>
      <c r="K29" s="84"/>
      <c r="L29" s="84"/>
      <c r="M29" s="84"/>
      <c r="N29" s="84" t="str">
        <f t="shared" si="4"/>
        <v/>
      </c>
      <c r="O29" s="84"/>
      <c r="P29" s="84"/>
      <c r="Q29" s="85" t="str">
        <f>IF(B29&lt;&gt;"",SUMIFS(RECONVAN!I:I,RECONVAN!$A:$A,HORÁRIO!B29,RECONVAN!$F:$F,HORÁRIO!$Q$2),"")</f>
        <v/>
      </c>
      <c r="R29" s="85" t="str">
        <f>IF(B29&lt;&gt;"",SUMIFS(RECONVAN!I:I,RECONVAN!$A:$A,HORÁRIO!B29,RECONVAN!$F:$F,HORÁRIO!$R$2),"")</f>
        <v/>
      </c>
      <c r="S29" s="85" t="str">
        <f>IF(B29&lt;&gt;"",SUMIFS(RECONVAN!I:I,RECONVAN!$A:$A,HORÁRIO!B29,RECONVAN!$F:$F,HORÁRIO!$S$2),"")</f>
        <v/>
      </c>
      <c r="T29" s="85" t="str">
        <f>IF(B29&lt;&gt;"",SUMIFS(RECONVAN!I:I,RECONVAN!$A:$A,HORÁRIO!B29,RECONVAN!$F:$F,HORÁRIO!$T$2),"")</f>
        <v/>
      </c>
      <c r="U29" s="85" t="str">
        <f>IF(B29&lt;&gt;"",SUMIFS(RECONVAN!I:I,RECONVAN!$A:$A,HORÁRIO!B29,RECONVAN!$F:$F,HORÁRIO!$U$2),"")</f>
        <v/>
      </c>
      <c r="V29" s="85" t="str">
        <f>IF(B29&lt;&gt;"",SUMIFS(RECONVAN!I:I,RECONVAN!$A:$A,HORÁRIO!B29,RECONVAN!$F:$F,HORÁRIO!$V$2),"")</f>
        <v/>
      </c>
      <c r="W29" s="85" t="str">
        <f>IF(B29&lt;&gt;"",SUMIFS(RECONVAN!I:I,RECONVAN!$A:$A,HORÁRIO!B29,RECONVAN!$F:$F,HORÁRIO!$W$2),"")</f>
        <v/>
      </c>
      <c r="X29" s="85" t="str">
        <f>IF(B29&lt;&gt;"",SUMIFS(RECONVAN!I:I,RECONVAN!$A:$A,HORÁRIO!B29,RECONVAN!$F:$F,HORÁRIO!$X$2),"")</f>
        <v/>
      </c>
      <c r="Y29" s="85" t="str">
        <f>IF(B29&lt;&gt;"",SUMIFS(RECONVAN!I:I,RECONVAN!$A:$A,HORÁRIO!B29,RECONVAN!$F:$F,HORÁRIO!$Y$2),"")</f>
        <v/>
      </c>
      <c r="Z29" s="85" t="str">
        <f>IF(B29&lt;&gt;"",SUMIFS(RECONVAN!I:I,RECONVAN!$A:$A,HORÁRIO!B29,RECONVAN!$F:$F,HORÁRIO!$Z$2),"")</f>
        <v/>
      </c>
      <c r="AA29" s="85" t="str">
        <f>IF(B29&lt;&gt;"",SUMIFS(RECONVAN!I:I,RECONVAN!$A:$A,HORÁRIO!B29,RECONVAN!$F:$F,HORÁRIO!$AA$2),"")</f>
        <v/>
      </c>
      <c r="AB29" s="85" t="str">
        <f>IF(B29&lt;&gt;"",SUMIFS(RECONVAN!I:I,RECONVAN!$A:$A,HORÁRIO!B29,RECONVAN!$F:$F,HORÁRIO!$AB$2),"")</f>
        <v/>
      </c>
      <c r="AC29" s="85" t="str">
        <f>IF(B29&lt;&gt;"",SUMIFS(RECONVAN!I:I,RECONVAN!$A:$A,HORÁRIO!B29,RECONVAN!$F:$F,HORÁRIO!$AC$2),"")</f>
        <v/>
      </c>
      <c r="AD29" s="86" t="str">
        <f t="shared" si="0"/>
        <v/>
      </c>
      <c r="AE29" s="86" t="str">
        <f t="shared" si="1"/>
        <v/>
      </c>
    </row>
    <row r="30" spans="1:31" ht="18.75" x14ac:dyDescent="0.3">
      <c r="A30" s="344" t="str">
        <f t="shared" si="7"/>
        <v/>
      </c>
      <c r="B30" s="344" t="str">
        <f>PUXADA!B27</f>
        <v/>
      </c>
      <c r="C30" s="449" t="str">
        <f>IF(B30&lt;&gt;"",_xlfn.XLOOKUP(B30,PUXADA!$B$2:$B$939,PUXADA!$C$2:$C$939,""),"")</f>
        <v/>
      </c>
      <c r="D30" s="345" t="str">
        <f>IF(B30&lt;&gt;"",_xlfn.XLOOKUP(B30,PUXADA!$B$2:$B$939,PUXADA!$I$2:$I$939,""),"")</f>
        <v/>
      </c>
      <c r="E30" s="345" t="str">
        <f>_xlfn.XLOOKUP(D30,'BR''S'!$B$2:$B$104,'BR''S'!$C$2:$C$104,"")</f>
        <v/>
      </c>
      <c r="F30" s="345" t="str">
        <f>_xlfn.XLOOKUP(D30,'BR''S'!$B$2:$B$104,'BR''S'!$H$2:$H$104,"")</f>
        <v/>
      </c>
      <c r="G30" s="345" t="str">
        <f>_xlfn.XLOOKUP(D30,'BR''S'!$B$2:$B$104,'BR''S'!$D$2:$D$104,"")</f>
        <v/>
      </c>
      <c r="H30" s="347" t="str">
        <f>IF(B30&lt;&gt;"",PUXADA!P27,"")</f>
        <v/>
      </c>
      <c r="I30" s="345" t="str">
        <f>IF(B30&lt;&gt;"",PUXADA!G27,"")</f>
        <v/>
      </c>
      <c r="J30" s="322"/>
      <c r="K30" s="87"/>
      <c r="L30" s="87"/>
      <c r="M30" s="87"/>
      <c r="N30" s="87" t="str">
        <f t="shared" si="4"/>
        <v/>
      </c>
      <c r="O30" s="87"/>
      <c r="P30" s="87"/>
      <c r="Q30" s="88" t="str">
        <f>IF(B30&lt;&gt;"",SUMIFS(RECONVAN!I:I,RECONVAN!$A:$A,HORÁRIO!B30,RECONVAN!$F:$F,HORÁRIO!$Q$2),"")</f>
        <v/>
      </c>
      <c r="R30" s="88" t="str">
        <f>IF(B30&lt;&gt;"",SUMIFS(RECONVAN!I:I,RECONVAN!$A:$A,HORÁRIO!B30,RECONVAN!$F:$F,HORÁRIO!$R$2),"")</f>
        <v/>
      </c>
      <c r="S30" s="88" t="str">
        <f>IF(B30&lt;&gt;"",SUMIFS(RECONVAN!I:I,RECONVAN!$A:$A,HORÁRIO!B30,RECONVAN!$F:$F,HORÁRIO!$S$2),"")</f>
        <v/>
      </c>
      <c r="T30" s="88" t="str">
        <f>IF(B30&lt;&gt;"",SUMIFS(RECONVAN!I:I,RECONVAN!$A:$A,HORÁRIO!B30,RECONVAN!$F:$F,HORÁRIO!$T$2),"")</f>
        <v/>
      </c>
      <c r="U30" s="88" t="str">
        <f>IF(B30&lt;&gt;"",SUMIFS(RECONVAN!I:I,RECONVAN!$A:$A,HORÁRIO!B30,RECONVAN!$F:$F,HORÁRIO!$U$2),"")</f>
        <v/>
      </c>
      <c r="V30" s="88" t="str">
        <f>IF(B30&lt;&gt;"",SUMIFS(RECONVAN!I:I,RECONVAN!$A:$A,HORÁRIO!B30,RECONVAN!$F:$F,HORÁRIO!$V$2),"")</f>
        <v/>
      </c>
      <c r="W30" s="88" t="str">
        <f>IF(B30&lt;&gt;"",SUMIFS(RECONVAN!I:I,RECONVAN!$A:$A,HORÁRIO!B30,RECONVAN!$F:$F,HORÁRIO!$W$2),"")</f>
        <v/>
      </c>
      <c r="X30" s="88" t="str">
        <f>IF(B30&lt;&gt;"",SUMIFS(RECONVAN!I:I,RECONVAN!$A:$A,HORÁRIO!B30,RECONVAN!$F:$F,HORÁRIO!$X$2),"")</f>
        <v/>
      </c>
      <c r="Y30" s="88" t="str">
        <f>IF(B30&lt;&gt;"",SUMIFS(RECONVAN!I:I,RECONVAN!$A:$A,HORÁRIO!B30,RECONVAN!$F:$F,HORÁRIO!$Y$2),"")</f>
        <v/>
      </c>
      <c r="Z30" s="88" t="str">
        <f>IF(B30&lt;&gt;"",SUMIFS(RECONVAN!I:I,RECONVAN!$A:$A,HORÁRIO!B30,RECONVAN!$F:$F,HORÁRIO!$Z$2),"")</f>
        <v/>
      </c>
      <c r="AA30" s="88" t="str">
        <f>IF(B30&lt;&gt;"",SUMIFS(RECONVAN!I:I,RECONVAN!$A:$A,HORÁRIO!B30,RECONVAN!$F:$F,HORÁRIO!$AA$2),"")</f>
        <v/>
      </c>
      <c r="AB30" s="88" t="str">
        <f>IF(B30&lt;&gt;"",SUMIFS(RECONVAN!I:I,RECONVAN!$A:$A,HORÁRIO!B30,RECONVAN!$F:$F,HORÁRIO!$AB$2),"")</f>
        <v/>
      </c>
      <c r="AC30" s="88" t="str">
        <f>IF(B30&lt;&gt;"",SUMIFS(RECONVAN!I:I,RECONVAN!$A:$A,HORÁRIO!B30,RECONVAN!$F:$F,HORÁRIO!$AC$2),"")</f>
        <v/>
      </c>
      <c r="AD30" s="89" t="str">
        <f t="shared" si="0"/>
        <v/>
      </c>
      <c r="AE30" s="89" t="str">
        <f t="shared" si="1"/>
        <v/>
      </c>
    </row>
    <row r="31" spans="1:31" ht="18" customHeight="1" x14ac:dyDescent="0.3">
      <c r="A31" s="344" t="str">
        <f t="shared" si="7"/>
        <v/>
      </c>
      <c r="B31" s="344" t="str">
        <f>PUXADA!B28</f>
        <v/>
      </c>
      <c r="C31" s="448" t="str">
        <f>IF(B31&lt;&gt;"",_xlfn.XLOOKUP(B31,PUXADA!$B$2:$B$939,PUXADA!$C$2:$C$939,""),"")</f>
        <v/>
      </c>
      <c r="D31" s="344" t="str">
        <f>IF(B31&lt;&gt;"",_xlfn.XLOOKUP(B31,PUXADA!$B$2:$B$939,PUXADA!$I$2:$I$939,""),"")</f>
        <v/>
      </c>
      <c r="E31" s="344" t="str">
        <f>_xlfn.XLOOKUP(D31,'BR''S'!$B$2:$B$104,'BR''S'!$C$2:$C$104,"")</f>
        <v/>
      </c>
      <c r="F31" s="345" t="str">
        <f>_xlfn.XLOOKUP(D31,'BR''S'!$B$2:$B$104,'BR''S'!$H$2:$H$104,"")</f>
        <v/>
      </c>
      <c r="G31" s="345" t="str">
        <f>_xlfn.XLOOKUP(D31,'BR''S'!$B$2:$B$104,'BR''S'!$D$2:$D$104,"")</f>
        <v/>
      </c>
      <c r="H31" s="346" t="str">
        <f>IF(B31&lt;&gt;"",PUXADA!P28,"")</f>
        <v/>
      </c>
      <c r="I31" s="344" t="str">
        <f>IF(B31&lt;&gt;"",PUXADA!G28,"")</f>
        <v/>
      </c>
      <c r="J31" s="323"/>
      <c r="K31" s="84"/>
      <c r="L31" s="84"/>
      <c r="M31" s="84"/>
      <c r="N31" s="84" t="str">
        <f t="shared" si="4"/>
        <v/>
      </c>
      <c r="O31" s="84"/>
      <c r="P31" s="84"/>
      <c r="Q31" s="85" t="str">
        <f>IF(B31&lt;&gt;"",SUMIFS(RECONVAN!I:I,RECONVAN!$A:$A,HORÁRIO!B31,RECONVAN!$F:$F,HORÁRIO!$Q$2),"")</f>
        <v/>
      </c>
      <c r="R31" s="85" t="str">
        <f>IF(B31&lt;&gt;"",SUMIFS(RECONVAN!I:I,RECONVAN!$A:$A,HORÁRIO!B31,RECONVAN!$F:$F,HORÁRIO!$R$2),"")</f>
        <v/>
      </c>
      <c r="S31" s="85" t="str">
        <f>IF(B31&lt;&gt;"",SUMIFS(RECONVAN!I:I,RECONVAN!$A:$A,HORÁRIO!B31,RECONVAN!$F:$F,HORÁRIO!$S$2),"")</f>
        <v/>
      </c>
      <c r="T31" s="85" t="str">
        <f>IF(B31&lt;&gt;"",SUMIFS(RECONVAN!I:I,RECONVAN!$A:$A,HORÁRIO!B31,RECONVAN!$F:$F,HORÁRIO!$T$2),"")</f>
        <v/>
      </c>
      <c r="U31" s="85" t="str">
        <f>IF(B31&lt;&gt;"",SUMIFS(RECONVAN!I:I,RECONVAN!$A:$A,HORÁRIO!B31,RECONVAN!$F:$F,HORÁRIO!$U$2),"")</f>
        <v/>
      </c>
      <c r="V31" s="85" t="str">
        <f>IF(B31&lt;&gt;"",SUMIFS(RECONVAN!I:I,RECONVAN!$A:$A,HORÁRIO!B31,RECONVAN!$F:$F,HORÁRIO!$V$2),"")</f>
        <v/>
      </c>
      <c r="W31" s="85" t="str">
        <f>IF(B31&lt;&gt;"",SUMIFS(RECONVAN!I:I,RECONVAN!$A:$A,HORÁRIO!B31,RECONVAN!$F:$F,HORÁRIO!$W$2),"")</f>
        <v/>
      </c>
      <c r="X31" s="85" t="str">
        <f>IF(B31&lt;&gt;"",SUMIFS(RECONVAN!I:I,RECONVAN!$A:$A,HORÁRIO!B31,RECONVAN!$F:$F,HORÁRIO!$X$2),"")</f>
        <v/>
      </c>
      <c r="Y31" s="85" t="str">
        <f>IF(B31&lt;&gt;"",SUMIFS(RECONVAN!I:I,RECONVAN!$A:$A,HORÁRIO!B31,RECONVAN!$F:$F,HORÁRIO!$Y$2),"")</f>
        <v/>
      </c>
      <c r="Z31" s="85" t="str">
        <f>IF(B31&lt;&gt;"",SUMIFS(RECONVAN!I:I,RECONVAN!$A:$A,HORÁRIO!B31,RECONVAN!$F:$F,HORÁRIO!$Z$2),"")</f>
        <v/>
      </c>
      <c r="AA31" s="85" t="str">
        <f>IF(B31&lt;&gt;"",SUMIFS(RECONVAN!I:I,RECONVAN!$A:$A,HORÁRIO!B31,RECONVAN!$F:$F,HORÁRIO!$AA$2),"")</f>
        <v/>
      </c>
      <c r="AB31" s="85" t="str">
        <f>IF(B31&lt;&gt;"",SUMIFS(RECONVAN!I:I,RECONVAN!$A:$A,HORÁRIO!B31,RECONVAN!$F:$F,HORÁRIO!$AB$2),"")</f>
        <v/>
      </c>
      <c r="AC31" s="85" t="str">
        <f>IF(B31&lt;&gt;"",SUMIFS(RECONVAN!I:I,RECONVAN!$A:$A,HORÁRIO!B31,RECONVAN!$F:$F,HORÁRIO!$AC$2),"")</f>
        <v/>
      </c>
      <c r="AD31" s="86" t="str">
        <f t="shared" si="0"/>
        <v/>
      </c>
      <c r="AE31" s="86" t="str">
        <f t="shared" si="1"/>
        <v/>
      </c>
    </row>
    <row r="32" spans="1:31" ht="18.75" x14ac:dyDescent="0.3">
      <c r="A32" s="344" t="str">
        <f t="shared" si="7"/>
        <v/>
      </c>
      <c r="B32" s="344" t="str">
        <f>PUXADA!B30</f>
        <v/>
      </c>
      <c r="C32" s="449" t="str">
        <f>IF(B32&lt;&gt;"",_xlfn.XLOOKUP(B32,PUXADA!$B$2:$B$939,PUXADA!$C$2:$C$939,""),"")</f>
        <v/>
      </c>
      <c r="D32" s="345" t="str">
        <f>IF(B32&lt;&gt;"",_xlfn.XLOOKUP(B32,PUXADA!$B$2:$B$939,PUXADA!$I$2:$I$939,""),"")</f>
        <v/>
      </c>
      <c r="E32" s="345" t="str">
        <f>_xlfn.XLOOKUP(D32,'BR''S'!$B$2:$B$104,'BR''S'!$C$2:$C$104,"")</f>
        <v/>
      </c>
      <c r="F32" s="345" t="str">
        <f>_xlfn.XLOOKUP(D32,'BR''S'!$B$2:$B$104,'BR''S'!$H$2:$H$104,"")</f>
        <v/>
      </c>
      <c r="G32" s="345" t="str">
        <f>_xlfn.XLOOKUP(D32,'BR''S'!$B$2:$B$104,'BR''S'!$D$2:$D$104,"")</f>
        <v/>
      </c>
      <c r="H32" s="347" t="str">
        <f>IF(B32&lt;&gt;"",PUXADA!P30,"")</f>
        <v/>
      </c>
      <c r="I32" s="345" t="str">
        <f>IF(B32&lt;&gt;"",PUXADA!G30,"")</f>
        <v/>
      </c>
      <c r="J32" s="322"/>
      <c r="K32" s="87"/>
      <c r="L32" s="87"/>
      <c r="M32" s="87"/>
      <c r="N32" s="87" t="str">
        <f t="shared" si="4"/>
        <v/>
      </c>
      <c r="O32" s="87"/>
      <c r="P32" s="87"/>
      <c r="Q32" s="88" t="str">
        <f>IF(B32&lt;&gt;"",SUMIFS(RECONVAN!I:I,RECONVAN!$A:$A,HORÁRIO!B32,RECONVAN!$F:$F,HORÁRIO!$Q$2),"")</f>
        <v/>
      </c>
      <c r="R32" s="88" t="str">
        <f>IF(B32&lt;&gt;"",SUMIFS(RECONVAN!I:I,RECONVAN!$A:$A,HORÁRIO!B32,RECONVAN!$F:$F,HORÁRIO!$R$2),"")</f>
        <v/>
      </c>
      <c r="S32" s="88" t="str">
        <f>IF(B32&lt;&gt;"",SUMIFS(RECONVAN!I:I,RECONVAN!$A:$A,HORÁRIO!B32,RECONVAN!$F:$F,HORÁRIO!$S$2),"")</f>
        <v/>
      </c>
      <c r="T32" s="88" t="str">
        <f>IF(B32&lt;&gt;"",SUMIFS(RECONVAN!I:I,RECONVAN!$A:$A,HORÁRIO!B32,RECONVAN!$F:$F,HORÁRIO!$T$2),"")</f>
        <v/>
      </c>
      <c r="U32" s="88" t="str">
        <f>IF(B32&lt;&gt;"",SUMIFS(RECONVAN!I:I,RECONVAN!$A:$A,HORÁRIO!B32,RECONVAN!$F:$F,HORÁRIO!$U$2),"")</f>
        <v/>
      </c>
      <c r="V32" s="88" t="str">
        <f>IF(B32&lt;&gt;"",SUMIFS(RECONVAN!I:I,RECONVAN!$A:$A,HORÁRIO!B32,RECONVAN!$F:$F,HORÁRIO!$V$2),"")</f>
        <v/>
      </c>
      <c r="W32" s="88" t="str">
        <f>IF(B32&lt;&gt;"",SUMIFS(RECONVAN!I:I,RECONVAN!$A:$A,HORÁRIO!B32,RECONVAN!$F:$F,HORÁRIO!$W$2),"")</f>
        <v/>
      </c>
      <c r="X32" s="88" t="str">
        <f>IF(B32&lt;&gt;"",SUMIFS(RECONVAN!I:I,RECONVAN!$A:$A,HORÁRIO!B32,RECONVAN!$F:$F,HORÁRIO!$X$2),"")</f>
        <v/>
      </c>
      <c r="Y32" s="88" t="str">
        <f>IF(B32&lt;&gt;"",SUMIFS(RECONVAN!I:I,RECONVAN!$A:$A,HORÁRIO!B32,RECONVAN!$F:$F,HORÁRIO!$Y$2),"")</f>
        <v/>
      </c>
      <c r="Z32" s="88" t="str">
        <f>IF(B32&lt;&gt;"",SUMIFS(RECONVAN!I:I,RECONVAN!$A:$A,HORÁRIO!B32,RECONVAN!$F:$F,HORÁRIO!$Z$2),"")</f>
        <v/>
      </c>
      <c r="AA32" s="88" t="str">
        <f>IF(B32&lt;&gt;"",SUMIFS(RECONVAN!I:I,RECONVAN!$A:$A,HORÁRIO!B32,RECONVAN!$F:$F,HORÁRIO!$AA$2),"")</f>
        <v/>
      </c>
      <c r="AB32" s="88" t="str">
        <f>IF(B32&lt;&gt;"",SUMIFS(RECONVAN!I:I,RECONVAN!$A:$A,HORÁRIO!B32,RECONVAN!$F:$F,HORÁRIO!$AB$2),"")</f>
        <v/>
      </c>
      <c r="AC32" s="88" t="str">
        <f>IF(B32&lt;&gt;"",SUMIFS(RECONVAN!I:I,RECONVAN!$A:$A,HORÁRIO!B32,RECONVAN!$F:$F,HORÁRIO!$AC$2),"")</f>
        <v/>
      </c>
      <c r="AD32" s="89" t="str">
        <f t="shared" si="0"/>
        <v/>
      </c>
      <c r="AE32" s="89" t="str">
        <f t="shared" si="1"/>
        <v/>
      </c>
    </row>
    <row r="33" spans="1:31" ht="18" customHeight="1" x14ac:dyDescent="0.3">
      <c r="A33" s="344" t="str">
        <f t="shared" si="7"/>
        <v/>
      </c>
      <c r="B33" s="344" t="str">
        <f>PUXADA!B31</f>
        <v/>
      </c>
      <c r="C33" s="448" t="str">
        <f>IF(B33&lt;&gt;"",_xlfn.XLOOKUP(B33,PUXADA!$B$2:$B$939,PUXADA!$C$2:$C$939,""),"")</f>
        <v/>
      </c>
      <c r="D33" s="344" t="str">
        <f>IF(B33&lt;&gt;"",_xlfn.XLOOKUP(B33,PUXADA!$B$2:$B$939,PUXADA!$I$2:$I$939,""),"")</f>
        <v/>
      </c>
      <c r="E33" s="344" t="str">
        <f>_xlfn.XLOOKUP(D33,'BR''S'!$B$2:$B$104,'BR''S'!$C$2:$C$104,"")</f>
        <v/>
      </c>
      <c r="F33" s="345" t="str">
        <f>_xlfn.XLOOKUP(D33,'BR''S'!$B$2:$B$104,'BR''S'!$H$2:$H$104,"")</f>
        <v/>
      </c>
      <c r="G33" s="344" t="str">
        <f>_xlfn.XLOOKUP(D33,'BR''S'!$B$2:$B$104,'BR''S'!$D$2:$D$104,"")</f>
        <v/>
      </c>
      <c r="H33" s="346" t="str">
        <f>IF(B33&lt;&gt;"",PUXADA!P31,"")</f>
        <v/>
      </c>
      <c r="I33" s="344" t="str">
        <f>IF(B33&lt;&gt;"",PUXADA!G31,"")</f>
        <v/>
      </c>
      <c r="J33" s="323"/>
      <c r="K33" s="84"/>
      <c r="L33" s="84"/>
      <c r="M33" s="84"/>
      <c r="N33" s="84" t="str">
        <f t="shared" si="4"/>
        <v/>
      </c>
      <c r="O33" s="84"/>
      <c r="P33" s="84"/>
      <c r="Q33" s="85" t="str">
        <f>IF(B33&lt;&gt;"",SUMIFS(RECONVAN!I:I,RECONVAN!$A:$A,HORÁRIO!B33,RECONVAN!$F:$F,HORÁRIO!$Q$2),"")</f>
        <v/>
      </c>
      <c r="R33" s="85" t="str">
        <f>IF(B33&lt;&gt;"",SUMIFS(RECONVAN!I:I,RECONVAN!$A:$A,HORÁRIO!B33,RECONVAN!$F:$F,HORÁRIO!$R$2),"")</f>
        <v/>
      </c>
      <c r="S33" s="85" t="str">
        <f>IF(B33&lt;&gt;"",SUMIFS(RECONVAN!I:I,RECONVAN!$A:$A,HORÁRIO!B33,RECONVAN!$F:$F,HORÁRIO!$S$2),"")</f>
        <v/>
      </c>
      <c r="T33" s="85" t="str">
        <f>IF(B33&lt;&gt;"",SUMIFS(RECONVAN!I:I,RECONVAN!$A:$A,HORÁRIO!B33,RECONVAN!$F:$F,HORÁRIO!$T$2),"")</f>
        <v/>
      </c>
      <c r="U33" s="85" t="str">
        <f>IF(B33&lt;&gt;"",SUMIFS(RECONVAN!I:I,RECONVAN!$A:$A,HORÁRIO!B33,RECONVAN!$F:$F,HORÁRIO!$U$2),"")</f>
        <v/>
      </c>
      <c r="V33" s="85" t="str">
        <f>IF(B33&lt;&gt;"",SUMIFS(RECONVAN!I:I,RECONVAN!$A:$A,HORÁRIO!B33,RECONVAN!$F:$F,HORÁRIO!$V$2),"")</f>
        <v/>
      </c>
      <c r="W33" s="85" t="str">
        <f>IF(B33&lt;&gt;"",SUMIFS(RECONVAN!I:I,RECONVAN!$A:$A,HORÁRIO!B33,RECONVAN!$F:$F,HORÁRIO!$W$2),"")</f>
        <v/>
      </c>
      <c r="X33" s="85" t="str">
        <f>IF(B33&lt;&gt;"",SUMIFS(RECONVAN!I:I,RECONVAN!$A:$A,HORÁRIO!B33,RECONVAN!$F:$F,HORÁRIO!$X$2),"")</f>
        <v/>
      </c>
      <c r="Y33" s="85" t="str">
        <f>IF(B33&lt;&gt;"",SUMIFS(RECONVAN!I:I,RECONVAN!$A:$A,HORÁRIO!B33,RECONVAN!$F:$F,HORÁRIO!$Y$2),"")</f>
        <v/>
      </c>
      <c r="Z33" s="85" t="str">
        <f>IF(B33&lt;&gt;"",SUMIFS(RECONVAN!I:I,RECONVAN!$A:$A,HORÁRIO!B33,RECONVAN!$F:$F,HORÁRIO!$Z$2),"")</f>
        <v/>
      </c>
      <c r="AA33" s="85" t="str">
        <f>IF(B33&lt;&gt;"",SUMIFS(RECONVAN!I:I,RECONVAN!$A:$A,HORÁRIO!B33,RECONVAN!$F:$F,HORÁRIO!$AA$2),"")</f>
        <v/>
      </c>
      <c r="AB33" s="85" t="str">
        <f>IF(B33&lt;&gt;"",SUMIFS(RECONVAN!I:I,RECONVAN!$A:$A,HORÁRIO!B33,RECONVAN!$F:$F,HORÁRIO!$AB$2),"")</f>
        <v/>
      </c>
      <c r="AC33" s="85" t="str">
        <f>IF(B33&lt;&gt;"",SUMIFS(RECONVAN!I:I,RECONVAN!$A:$A,HORÁRIO!B33,RECONVAN!$F:$F,HORÁRIO!$AC$2),"")</f>
        <v/>
      </c>
      <c r="AD33" s="86" t="str">
        <f t="shared" si="0"/>
        <v/>
      </c>
      <c r="AE33" s="86" t="str">
        <f t="shared" si="1"/>
        <v/>
      </c>
    </row>
    <row r="34" spans="1:31" ht="18.75" x14ac:dyDescent="0.3">
      <c r="A34" s="344" t="str">
        <f t="shared" si="7"/>
        <v/>
      </c>
      <c r="B34" s="344" t="str">
        <f>PUXADA!B32</f>
        <v/>
      </c>
      <c r="C34" s="449" t="str">
        <f>IF(B34&lt;&gt;"",_xlfn.XLOOKUP(B34,PUXADA!$B$2:$B$939,PUXADA!$C$2:$C$939,""),"")</f>
        <v/>
      </c>
      <c r="D34" s="345" t="str">
        <f>IF(B34&lt;&gt;"",_xlfn.XLOOKUP(B34,PUXADA!$B$2:$B$939,PUXADA!$I$2:$I$939,""),"")</f>
        <v/>
      </c>
      <c r="E34" s="345" t="str">
        <f>_xlfn.XLOOKUP(D34,'BR''S'!$B$2:$B$104,'BR''S'!$C$2:$C$104,"")</f>
        <v/>
      </c>
      <c r="F34" s="345" t="str">
        <f>_xlfn.XLOOKUP(D34,'BR''S'!$B$2:$B$104,'BR''S'!$H$2:$H$104,"")</f>
        <v/>
      </c>
      <c r="G34" s="345" t="str">
        <f>_xlfn.XLOOKUP(D34,'BR''S'!$B$2:$B$104,'BR''S'!$D$2:$D$104,"")</f>
        <v/>
      </c>
      <c r="H34" s="347" t="str">
        <f>IF(B34&lt;&gt;"",PUXADA!P32,"")</f>
        <v/>
      </c>
      <c r="I34" s="345" t="str">
        <f>IF(B34&lt;&gt;"",PUXADA!G32,"")</f>
        <v/>
      </c>
      <c r="J34" s="322"/>
      <c r="K34" s="87"/>
      <c r="L34" s="87"/>
      <c r="M34" s="87"/>
      <c r="N34" s="87" t="str">
        <f t="shared" si="4"/>
        <v/>
      </c>
      <c r="O34" s="87"/>
      <c r="P34" s="87"/>
      <c r="Q34" s="88" t="str">
        <f>IF(B34&lt;&gt;"",SUMIFS(RECONVAN!I:I,RECONVAN!$A:$A,HORÁRIO!B34,RECONVAN!$F:$F,HORÁRIO!$Q$2),"")</f>
        <v/>
      </c>
      <c r="R34" s="88" t="str">
        <f>IF(B34&lt;&gt;"",SUMIFS(RECONVAN!I:I,RECONVAN!$A:$A,HORÁRIO!B34,RECONVAN!$F:$F,HORÁRIO!$R$2),"")</f>
        <v/>
      </c>
      <c r="S34" s="88" t="str">
        <f>IF(B34&lt;&gt;"",SUMIFS(RECONVAN!I:I,RECONVAN!$A:$A,HORÁRIO!B34,RECONVAN!$F:$F,HORÁRIO!$S$2),"")</f>
        <v/>
      </c>
      <c r="T34" s="88" t="str">
        <f>IF(B34&lt;&gt;"",SUMIFS(RECONVAN!I:I,RECONVAN!$A:$A,HORÁRIO!B34,RECONVAN!$F:$F,HORÁRIO!$T$2),"")</f>
        <v/>
      </c>
      <c r="U34" s="88" t="str">
        <f>IF(B34&lt;&gt;"",SUMIFS(RECONVAN!I:I,RECONVAN!$A:$A,HORÁRIO!B34,RECONVAN!$F:$F,HORÁRIO!$U$2),"")</f>
        <v/>
      </c>
      <c r="V34" s="88" t="str">
        <f>IF(B34&lt;&gt;"",SUMIFS(RECONVAN!I:I,RECONVAN!$A:$A,HORÁRIO!B34,RECONVAN!$F:$F,HORÁRIO!$V$2),"")</f>
        <v/>
      </c>
      <c r="W34" s="88" t="str">
        <f>IF(B34&lt;&gt;"",SUMIFS(RECONVAN!I:I,RECONVAN!$A:$A,HORÁRIO!B34,RECONVAN!$F:$F,HORÁRIO!$W$2),"")</f>
        <v/>
      </c>
      <c r="X34" s="88" t="str">
        <f>IF(B34&lt;&gt;"",SUMIFS(RECONVAN!I:I,RECONVAN!$A:$A,HORÁRIO!B34,RECONVAN!$F:$F,HORÁRIO!$X$2),"")</f>
        <v/>
      </c>
      <c r="Y34" s="88" t="str">
        <f>IF(B34&lt;&gt;"",SUMIFS(RECONVAN!I:I,RECONVAN!$A:$A,HORÁRIO!B34,RECONVAN!$F:$F,HORÁRIO!$Y$2),"")</f>
        <v/>
      </c>
      <c r="Z34" s="88" t="str">
        <f>IF(B34&lt;&gt;"",SUMIFS(RECONVAN!I:I,RECONVAN!$A:$A,HORÁRIO!B34,RECONVAN!$F:$F,HORÁRIO!$Z$2),"")</f>
        <v/>
      </c>
      <c r="AA34" s="88" t="str">
        <f>IF(B34&lt;&gt;"",SUMIFS(RECONVAN!I:I,RECONVAN!$A:$A,HORÁRIO!B34,RECONVAN!$F:$F,HORÁRIO!$AA$2),"")</f>
        <v/>
      </c>
      <c r="AB34" s="88" t="str">
        <f>IF(B34&lt;&gt;"",SUMIFS(RECONVAN!I:I,RECONVAN!$A:$A,HORÁRIO!B34,RECONVAN!$F:$F,HORÁRIO!$AB$2),"")</f>
        <v/>
      </c>
      <c r="AC34" s="88" t="str">
        <f>IF(B34&lt;&gt;"",SUMIFS(RECONVAN!I:I,RECONVAN!$A:$A,HORÁRIO!B34,RECONVAN!$F:$F,HORÁRIO!$AC$2),"")</f>
        <v/>
      </c>
      <c r="AD34" s="89" t="str">
        <f t="shared" si="0"/>
        <v/>
      </c>
      <c r="AE34" s="89" t="str">
        <f t="shared" si="1"/>
        <v/>
      </c>
    </row>
    <row r="35" spans="1:31" ht="18" customHeight="1" x14ac:dyDescent="0.3">
      <c r="A35" s="344" t="str">
        <f t="shared" si="7"/>
        <v/>
      </c>
      <c r="B35" s="344" t="str">
        <f>PUXADA!B33</f>
        <v/>
      </c>
      <c r="C35" s="448" t="str">
        <f>IF(B35&lt;&gt;"",_xlfn.XLOOKUP(B35,PUXADA!$B$2:$B$939,PUXADA!$C$2:$C$939,""),"")</f>
        <v/>
      </c>
      <c r="D35" s="344" t="str">
        <f>IF(B35&lt;&gt;"",_xlfn.XLOOKUP(B35,PUXADA!$B$2:$B$939,PUXADA!$I$2:$I$939,""),"")</f>
        <v/>
      </c>
      <c r="E35" s="344" t="str">
        <f>_xlfn.XLOOKUP(D35,'BR''S'!$B$2:$B$104,'BR''S'!$C$2:$C$104,"")</f>
        <v/>
      </c>
      <c r="F35" s="344" t="str">
        <f>_xlfn.XLOOKUP(D35,'BR''S'!$B$2:$B$104,'BR''S'!$H$2:$H$104,"")</f>
        <v/>
      </c>
      <c r="G35" s="344" t="str">
        <f>_xlfn.XLOOKUP(D35,'BR''S'!$B$2:$B$104,'BR''S'!$D$2:$D$104,"")</f>
        <v/>
      </c>
      <c r="H35" s="346" t="str">
        <f>IF(B35&lt;&gt;"",PUXADA!P33,"")</f>
        <v/>
      </c>
      <c r="I35" s="344" t="str">
        <f>IF(B35&lt;&gt;"",PUXADA!G33,"")</f>
        <v/>
      </c>
      <c r="J35" s="323"/>
      <c r="K35" s="84"/>
      <c r="L35" s="84"/>
      <c r="M35" s="84"/>
      <c r="N35" s="84" t="str">
        <f t="shared" si="4"/>
        <v/>
      </c>
      <c r="O35" s="84"/>
      <c r="P35" s="84"/>
      <c r="Q35" s="85" t="str">
        <f>IF(B35&lt;&gt;"",SUMIFS(RECONVAN!I:I,RECONVAN!$A:$A,HORÁRIO!B35,RECONVAN!$F:$F,HORÁRIO!$Q$2),"")</f>
        <v/>
      </c>
      <c r="R35" s="85" t="str">
        <f>IF(B35&lt;&gt;"",SUMIFS(RECONVAN!I:I,RECONVAN!$A:$A,HORÁRIO!B35,RECONVAN!$F:$F,HORÁRIO!$R$2),"")</f>
        <v/>
      </c>
      <c r="S35" s="85" t="str">
        <f>IF(B35&lt;&gt;"",SUMIFS(RECONVAN!I:I,RECONVAN!$A:$A,HORÁRIO!B35,RECONVAN!$F:$F,HORÁRIO!$S$2),"")</f>
        <v/>
      </c>
      <c r="T35" s="85" t="str">
        <f>IF(B35&lt;&gt;"",SUMIFS(RECONVAN!I:I,RECONVAN!$A:$A,HORÁRIO!B35,RECONVAN!$F:$F,HORÁRIO!$T$2),"")</f>
        <v/>
      </c>
      <c r="U35" s="85" t="str">
        <f>IF(B35&lt;&gt;"",SUMIFS(RECONVAN!I:I,RECONVAN!$A:$A,HORÁRIO!B35,RECONVAN!$F:$F,HORÁRIO!$U$2),"")</f>
        <v/>
      </c>
      <c r="V35" s="85" t="str">
        <f>IF(B35&lt;&gt;"",SUMIFS(RECONVAN!I:I,RECONVAN!$A:$A,HORÁRIO!B35,RECONVAN!$F:$F,HORÁRIO!$V$2),"")</f>
        <v/>
      </c>
      <c r="W35" s="85" t="str">
        <f>IF(B35&lt;&gt;"",SUMIFS(RECONVAN!I:I,RECONVAN!$A:$A,HORÁRIO!B35,RECONVAN!$F:$F,HORÁRIO!$W$2),"")</f>
        <v/>
      </c>
      <c r="X35" s="85" t="str">
        <f>IF(B35&lt;&gt;"",SUMIFS(RECONVAN!I:I,RECONVAN!$A:$A,HORÁRIO!B35,RECONVAN!$F:$F,HORÁRIO!$X$2),"")</f>
        <v/>
      </c>
      <c r="Y35" s="85" t="str">
        <f>IF(B35&lt;&gt;"",SUMIFS(RECONVAN!I:I,RECONVAN!$A:$A,HORÁRIO!B35,RECONVAN!$F:$F,HORÁRIO!$Y$2),"")</f>
        <v/>
      </c>
      <c r="Z35" s="85" t="str">
        <f>IF(B35&lt;&gt;"",SUMIFS(RECONVAN!I:I,RECONVAN!$A:$A,HORÁRIO!B35,RECONVAN!$F:$F,HORÁRIO!$Z$2),"")</f>
        <v/>
      </c>
      <c r="AA35" s="85" t="str">
        <f>IF(B35&lt;&gt;"",SUMIFS(RECONVAN!I:I,RECONVAN!$A:$A,HORÁRIO!B35,RECONVAN!$F:$F,HORÁRIO!$AA$2),"")</f>
        <v/>
      </c>
      <c r="AB35" s="85" t="str">
        <f>IF(B35&lt;&gt;"",SUMIFS(RECONVAN!I:I,RECONVAN!$A:$A,HORÁRIO!B35,RECONVAN!$F:$F,HORÁRIO!$AB$2),"")</f>
        <v/>
      </c>
      <c r="AC35" s="85" t="str">
        <f>IF(B35&lt;&gt;"",SUMIFS(RECONVAN!I:I,RECONVAN!$A:$A,HORÁRIO!B35,RECONVAN!$F:$F,HORÁRIO!$AC$2),"")</f>
        <v/>
      </c>
      <c r="AD35" s="86" t="str">
        <f t="shared" si="0"/>
        <v/>
      </c>
      <c r="AE35" s="86" t="str">
        <f t="shared" si="1"/>
        <v/>
      </c>
    </row>
    <row r="36" spans="1:31" ht="18.75" x14ac:dyDescent="0.3">
      <c r="A36" s="344" t="str">
        <f t="shared" si="7"/>
        <v/>
      </c>
      <c r="B36" s="344" t="str">
        <f>PUXADA!B34</f>
        <v/>
      </c>
      <c r="C36" s="449" t="str">
        <f>IF(B36&lt;&gt;"",_xlfn.XLOOKUP(B36,PUXADA!$B$2:$B$939,PUXADA!$C$2:$C$939,""),"")</f>
        <v/>
      </c>
      <c r="D36" s="345" t="str">
        <f>IF(B36&lt;&gt;"",_xlfn.XLOOKUP(B36,PUXADA!$B$2:$B$939,PUXADA!$I$2:$I$939,""),"")</f>
        <v/>
      </c>
      <c r="E36" s="345" t="str">
        <f>_xlfn.XLOOKUP(D36,'BR''S'!$B$2:$B$104,'BR''S'!$C$2:$C$104,"")</f>
        <v/>
      </c>
      <c r="F36" s="345" t="str">
        <f>_xlfn.XLOOKUP(D36,'BR''S'!$B$2:$B$104,'BR''S'!$H$2:$H$104,"")</f>
        <v/>
      </c>
      <c r="G36" s="345" t="str">
        <f>_xlfn.XLOOKUP(D36,'BR''S'!$B$2:$B$104,'BR''S'!$D$2:$D$104,"")</f>
        <v/>
      </c>
      <c r="H36" s="347" t="str">
        <f>IF(B36&lt;&gt;"",PUXADA!P34,"")</f>
        <v/>
      </c>
      <c r="I36" s="345" t="str">
        <f>IF(B36&lt;&gt;"",PUXADA!G34,"")</f>
        <v/>
      </c>
      <c r="J36" s="322"/>
      <c r="K36" s="87"/>
      <c r="L36" s="87"/>
      <c r="M36" s="87"/>
      <c r="N36" s="87" t="str">
        <f t="shared" si="4"/>
        <v/>
      </c>
      <c r="O36" s="87"/>
      <c r="P36" s="87"/>
      <c r="Q36" s="88" t="str">
        <f>IF(B36&lt;&gt;"",SUMIFS(RECONVAN!I:I,RECONVAN!$A:$A,HORÁRIO!B36,RECONVAN!$F:$F,HORÁRIO!$Q$2),"")</f>
        <v/>
      </c>
      <c r="R36" s="88" t="str">
        <f>IF(B36&lt;&gt;"",SUMIFS(RECONVAN!I:I,RECONVAN!$A:$A,HORÁRIO!B36,RECONVAN!$F:$F,HORÁRIO!$R$2),"")</f>
        <v/>
      </c>
      <c r="S36" s="88" t="str">
        <f>IF(B36&lt;&gt;"",SUMIFS(RECONVAN!I:I,RECONVAN!$A:$A,HORÁRIO!B36,RECONVAN!$F:$F,HORÁRIO!$S$2),"")</f>
        <v/>
      </c>
      <c r="T36" s="88" t="str">
        <f>IF(B36&lt;&gt;"",SUMIFS(RECONVAN!I:I,RECONVAN!$A:$A,HORÁRIO!B36,RECONVAN!$F:$F,HORÁRIO!$T$2),"")</f>
        <v/>
      </c>
      <c r="U36" s="88" t="str">
        <f>IF(B36&lt;&gt;"",SUMIFS(RECONVAN!I:I,RECONVAN!$A:$A,HORÁRIO!B36,RECONVAN!$F:$F,HORÁRIO!$U$2),"")</f>
        <v/>
      </c>
      <c r="V36" s="88" t="str">
        <f>IF(B36&lt;&gt;"",SUMIFS(RECONVAN!I:I,RECONVAN!$A:$A,HORÁRIO!B36,RECONVAN!$F:$F,HORÁRIO!$V$2),"")</f>
        <v/>
      </c>
      <c r="W36" s="88" t="str">
        <f>IF(B36&lt;&gt;"",SUMIFS(RECONVAN!I:I,RECONVAN!$A:$A,HORÁRIO!B36,RECONVAN!$F:$F,HORÁRIO!$W$2),"")</f>
        <v/>
      </c>
      <c r="X36" s="88" t="str">
        <f>IF(B36&lt;&gt;"",SUMIFS(RECONVAN!I:I,RECONVAN!$A:$A,HORÁRIO!B36,RECONVAN!$F:$F,HORÁRIO!$X$2),"")</f>
        <v/>
      </c>
      <c r="Y36" s="88" t="str">
        <f>IF(B36&lt;&gt;"",SUMIFS(RECONVAN!I:I,RECONVAN!$A:$A,HORÁRIO!B36,RECONVAN!$F:$F,HORÁRIO!$Y$2),"")</f>
        <v/>
      </c>
      <c r="Z36" s="88" t="str">
        <f>IF(B36&lt;&gt;"",SUMIFS(RECONVAN!I:I,RECONVAN!$A:$A,HORÁRIO!B36,RECONVAN!$F:$F,HORÁRIO!$Z$2),"")</f>
        <v/>
      </c>
      <c r="AA36" s="88" t="str">
        <f>IF(B36&lt;&gt;"",SUMIFS(RECONVAN!I:I,RECONVAN!$A:$A,HORÁRIO!B36,RECONVAN!$F:$F,HORÁRIO!$AA$2),"")</f>
        <v/>
      </c>
      <c r="AB36" s="88" t="str">
        <f>IF(B36&lt;&gt;"",SUMIFS(RECONVAN!I:I,RECONVAN!$A:$A,HORÁRIO!B36,RECONVAN!$F:$F,HORÁRIO!$AB$2),"")</f>
        <v/>
      </c>
      <c r="AC36" s="88" t="str">
        <f>IF(B36&lt;&gt;"",SUMIFS(RECONVAN!I:I,RECONVAN!$A:$A,HORÁRIO!B36,RECONVAN!$F:$F,HORÁRIO!$AC$2),"")</f>
        <v/>
      </c>
      <c r="AD36" s="89" t="str">
        <f t="shared" si="0"/>
        <v/>
      </c>
      <c r="AE36" s="89" t="str">
        <f t="shared" si="1"/>
        <v/>
      </c>
    </row>
    <row r="37" spans="1:31" ht="18" customHeight="1" x14ac:dyDescent="0.3">
      <c r="A37" s="344" t="str">
        <f t="shared" si="7"/>
        <v/>
      </c>
      <c r="B37" s="344" t="str">
        <f>PUXADA!B35</f>
        <v/>
      </c>
      <c r="C37" s="448" t="str">
        <f>IF(B37&lt;&gt;"",_xlfn.XLOOKUP(B37,PUXADA!$B$2:$B$939,PUXADA!$C$2:$C$939,""),"")</f>
        <v/>
      </c>
      <c r="D37" s="344" t="str">
        <f>IF(B37&lt;&gt;"",_xlfn.XLOOKUP(B37,PUXADA!$B$2:$B$939,PUXADA!$I$2:$I$939,""),"")</f>
        <v/>
      </c>
      <c r="E37" s="344" t="str">
        <f>_xlfn.XLOOKUP(D37,'BR''S'!$B$2:$B$104,'BR''S'!$C$2:$C$104,"")</f>
        <v/>
      </c>
      <c r="F37" s="344" t="str">
        <f>_xlfn.XLOOKUP(D37,'BR''S'!$B$2:$B$104,'BR''S'!$H$2:$H$104,"")</f>
        <v/>
      </c>
      <c r="G37" s="344" t="str">
        <f>_xlfn.XLOOKUP(D37,'BR''S'!$B$2:$B$104,'BR''S'!$D$2:$D$104,"")</f>
        <v/>
      </c>
      <c r="H37" s="346" t="str">
        <f>IF(B37&lt;&gt;"",PUXADA!P35,"")</f>
        <v/>
      </c>
      <c r="I37" s="344" t="str">
        <f>IF(B37&lt;&gt;"",PUXADA!G35,"")</f>
        <v/>
      </c>
      <c r="J37" s="323"/>
      <c r="K37" s="84"/>
      <c r="L37" s="84"/>
      <c r="M37" s="84"/>
      <c r="N37" s="84" t="str">
        <f t="shared" si="4"/>
        <v/>
      </c>
      <c r="O37" s="84"/>
      <c r="P37" s="84"/>
      <c r="Q37" s="85" t="str">
        <f>IF(B37&lt;&gt;"",SUMIFS(RECONVAN!I:I,RECONVAN!$A:$A,HORÁRIO!B37,RECONVAN!$F:$F,HORÁRIO!$Q$2),"")</f>
        <v/>
      </c>
      <c r="R37" s="85" t="str">
        <f>IF(B37&lt;&gt;"",SUMIFS(RECONVAN!I:I,RECONVAN!$A:$A,HORÁRIO!B37,RECONVAN!$F:$F,HORÁRIO!$R$2),"")</f>
        <v/>
      </c>
      <c r="S37" s="85" t="str">
        <f>IF(B37&lt;&gt;"",SUMIFS(RECONVAN!I:I,RECONVAN!$A:$A,HORÁRIO!B37,RECONVAN!$F:$F,HORÁRIO!$S$2),"")</f>
        <v/>
      </c>
      <c r="T37" s="85" t="str">
        <f>IF(B37&lt;&gt;"",SUMIFS(RECONVAN!I:I,RECONVAN!$A:$A,HORÁRIO!B37,RECONVAN!$F:$F,HORÁRIO!$T$2),"")</f>
        <v/>
      </c>
      <c r="U37" s="85" t="str">
        <f>IF(B37&lt;&gt;"",SUMIFS(RECONVAN!I:I,RECONVAN!$A:$A,HORÁRIO!B37,RECONVAN!$F:$F,HORÁRIO!$U$2),"")</f>
        <v/>
      </c>
      <c r="V37" s="85" t="str">
        <f>IF(B37&lt;&gt;"",SUMIFS(RECONVAN!I:I,RECONVAN!$A:$A,HORÁRIO!B37,RECONVAN!$F:$F,HORÁRIO!$V$2),"")</f>
        <v/>
      </c>
      <c r="W37" s="85" t="str">
        <f>IF(B37&lt;&gt;"",SUMIFS(RECONVAN!I:I,RECONVAN!$A:$A,HORÁRIO!B37,RECONVAN!$F:$F,HORÁRIO!$W$2),"")</f>
        <v/>
      </c>
      <c r="X37" s="85" t="str">
        <f>IF(B37&lt;&gt;"",SUMIFS(RECONVAN!I:I,RECONVAN!$A:$A,HORÁRIO!B37,RECONVAN!$F:$F,HORÁRIO!$X$2),"")</f>
        <v/>
      </c>
      <c r="Y37" s="85" t="str">
        <f>IF(B37&lt;&gt;"",SUMIFS(RECONVAN!I:I,RECONVAN!$A:$A,HORÁRIO!B37,RECONVAN!$F:$F,HORÁRIO!$Y$2),"")</f>
        <v/>
      </c>
      <c r="Z37" s="85" t="str">
        <f>IF(B37&lt;&gt;"",SUMIFS(RECONVAN!I:I,RECONVAN!$A:$A,HORÁRIO!B37,RECONVAN!$F:$F,HORÁRIO!$Z$2),"")</f>
        <v/>
      </c>
      <c r="AA37" s="85" t="str">
        <f>IF(B37&lt;&gt;"",SUMIFS(RECONVAN!I:I,RECONVAN!$A:$A,HORÁRIO!B37,RECONVAN!$F:$F,HORÁRIO!$AA$2),"")</f>
        <v/>
      </c>
      <c r="AB37" s="85" t="str">
        <f>IF(B37&lt;&gt;"",SUMIFS(RECONVAN!I:I,RECONVAN!$A:$A,HORÁRIO!B37,RECONVAN!$F:$F,HORÁRIO!$AB$2),"")</f>
        <v/>
      </c>
      <c r="AC37" s="85" t="str">
        <f>IF(B37&lt;&gt;"",SUMIFS(RECONVAN!I:I,RECONVAN!$A:$A,HORÁRIO!B37,RECONVAN!$F:$F,HORÁRIO!$AC$2),"")</f>
        <v/>
      </c>
      <c r="AD37" s="86" t="str">
        <f t="shared" ref="AD37:AD68" si="8">IF(B37&lt;&gt;"",SUM(Z37:AC37),"")</f>
        <v/>
      </c>
      <c r="AE37" s="86" t="str">
        <f t="shared" ref="AE37:AE68" si="9">IF(B37&lt;&gt;"",SUM(U37:Y37),"")</f>
        <v/>
      </c>
    </row>
    <row r="38" spans="1:31" ht="18.75" x14ac:dyDescent="0.3">
      <c r="A38" s="344" t="str">
        <f t="shared" si="7"/>
        <v/>
      </c>
      <c r="B38" s="344" t="str">
        <f>PUXADA!B36</f>
        <v/>
      </c>
      <c r="C38" s="449" t="str">
        <f>IF(B38&lt;&gt;"",_xlfn.XLOOKUP(B38,PUXADA!$B$2:$B$939,PUXADA!$C$2:$C$939,""),"")</f>
        <v/>
      </c>
      <c r="D38" s="345" t="str">
        <f>IF(B38&lt;&gt;"",_xlfn.XLOOKUP(B38,PUXADA!$B$2:$B$939,PUXADA!$I$2:$I$939,""),"")</f>
        <v/>
      </c>
      <c r="E38" s="345" t="str">
        <f>_xlfn.XLOOKUP(D38,'BR''S'!$B$2:$B$104,'BR''S'!$C$2:$C$104,"")</f>
        <v/>
      </c>
      <c r="F38" s="345" t="str">
        <f>_xlfn.XLOOKUP(D38,'BR''S'!$B$2:$B$104,'BR''S'!$H$2:$H$104,"")</f>
        <v/>
      </c>
      <c r="G38" s="345" t="str">
        <f>_xlfn.XLOOKUP(D38,'BR''S'!$B$2:$B$104,'BR''S'!$D$2:$D$104,"")</f>
        <v/>
      </c>
      <c r="H38" s="347" t="str">
        <f>IF(B38&lt;&gt;"",PUXADA!P35,"")</f>
        <v/>
      </c>
      <c r="I38" s="345" t="str">
        <f>IF(B38&lt;&gt;"",PUXADA!G35,"")</f>
        <v/>
      </c>
      <c r="J38" s="322"/>
      <c r="K38" s="87"/>
      <c r="L38" s="87"/>
      <c r="M38" s="87"/>
      <c r="N38" s="87" t="str">
        <f t="shared" si="4"/>
        <v/>
      </c>
      <c r="O38" s="87"/>
      <c r="P38" s="87"/>
      <c r="Q38" s="88" t="str">
        <f>IF(B38&lt;&gt;"",SUMIFS(RECONVAN!I:I,RECONVAN!$A:$A,HORÁRIO!B38,RECONVAN!$F:$F,HORÁRIO!$Q$2),"")</f>
        <v/>
      </c>
      <c r="R38" s="88" t="str">
        <f>IF(B38&lt;&gt;"",SUMIFS(RECONVAN!I:I,RECONVAN!$A:$A,HORÁRIO!B38,RECONVAN!$F:$F,HORÁRIO!$R$2),"")</f>
        <v/>
      </c>
      <c r="S38" s="88" t="str">
        <f>IF(B38&lt;&gt;"",SUMIFS(RECONVAN!I:I,RECONVAN!$A:$A,HORÁRIO!B38,RECONVAN!$F:$F,HORÁRIO!$S$2),"")</f>
        <v/>
      </c>
      <c r="T38" s="88" t="str">
        <f>IF(B38&lt;&gt;"",SUMIFS(RECONVAN!I:I,RECONVAN!$A:$A,HORÁRIO!B38,RECONVAN!$F:$F,HORÁRIO!$T$2),"")</f>
        <v/>
      </c>
      <c r="U38" s="88" t="str">
        <f>IF(B38&lt;&gt;"",SUMIFS(RECONVAN!I:I,RECONVAN!$A:$A,HORÁRIO!B38,RECONVAN!$F:$F,HORÁRIO!$U$2),"")</f>
        <v/>
      </c>
      <c r="V38" s="88" t="str">
        <f>IF(B38&lt;&gt;"",SUMIFS(RECONVAN!I:I,RECONVAN!$A:$A,HORÁRIO!B38,RECONVAN!$F:$F,HORÁRIO!$V$2),"")</f>
        <v/>
      </c>
      <c r="W38" s="88" t="str">
        <f>IF(B38&lt;&gt;"",SUMIFS(RECONVAN!I:I,RECONVAN!$A:$A,HORÁRIO!B38,RECONVAN!$F:$F,HORÁRIO!$W$2),"")</f>
        <v/>
      </c>
      <c r="X38" s="88" t="str">
        <f>IF(B38&lt;&gt;"",SUMIFS(RECONVAN!I:I,RECONVAN!$A:$A,HORÁRIO!B38,RECONVAN!$F:$F,HORÁRIO!$X$2),"")</f>
        <v/>
      </c>
      <c r="Y38" s="88" t="str">
        <f>IF(B38&lt;&gt;"",SUMIFS(RECONVAN!I:I,RECONVAN!$A:$A,HORÁRIO!B38,RECONVAN!$F:$F,HORÁRIO!$Y$2),"")</f>
        <v/>
      </c>
      <c r="Z38" s="88" t="str">
        <f>IF(B38&lt;&gt;"",SUMIFS(RECONVAN!I:I,RECONVAN!$A:$A,HORÁRIO!B38,RECONVAN!$F:$F,HORÁRIO!$Z$2),"")</f>
        <v/>
      </c>
      <c r="AA38" s="88" t="str">
        <f>IF(B38&lt;&gt;"",SUMIFS(RECONVAN!I:I,RECONVAN!$A:$A,HORÁRIO!B38,RECONVAN!$F:$F,HORÁRIO!$AA$2),"")</f>
        <v/>
      </c>
      <c r="AB38" s="88" t="str">
        <f>IF(B38&lt;&gt;"",SUMIFS(RECONVAN!I:I,RECONVAN!$A:$A,HORÁRIO!B38,RECONVAN!$F:$F,HORÁRIO!$AB$2),"")</f>
        <v/>
      </c>
      <c r="AC38" s="88" t="str">
        <f>IF(B38&lt;&gt;"",SUMIFS(RECONVAN!I:I,RECONVAN!$A:$A,HORÁRIO!B38,RECONVAN!$F:$F,HORÁRIO!$AC$2),"")</f>
        <v/>
      </c>
      <c r="AD38" s="89" t="str">
        <f t="shared" si="8"/>
        <v/>
      </c>
      <c r="AE38" s="89" t="str">
        <f t="shared" si="9"/>
        <v/>
      </c>
    </row>
    <row r="39" spans="1:31" ht="18" customHeight="1" x14ac:dyDescent="0.3">
      <c r="A39" s="344" t="str">
        <f t="shared" si="7"/>
        <v/>
      </c>
      <c r="B39" s="344" t="str">
        <f>PUXADA!B37</f>
        <v/>
      </c>
      <c r="C39" s="448" t="str">
        <f>IF(B39&lt;&gt;"",_xlfn.XLOOKUP(B39,PUXADA!$B$2:$B$939,PUXADA!$C$2:$C$939,""),"")</f>
        <v/>
      </c>
      <c r="D39" s="344" t="str">
        <f>IF(B39&lt;&gt;"",_xlfn.XLOOKUP(B39,PUXADA!$B$2:$B$939,PUXADA!$I$2:$I$939,""),"")</f>
        <v/>
      </c>
      <c r="E39" s="344" t="str">
        <f>_xlfn.XLOOKUP(D39,'BR''S'!$B$2:$B$104,'BR''S'!$C$2:$C$104,"")</f>
        <v/>
      </c>
      <c r="F39" s="344" t="str">
        <f>_xlfn.XLOOKUP(D39,'BR''S'!$B$2:$B$104,'BR''S'!$H$2:$H$104,"")</f>
        <v/>
      </c>
      <c r="G39" s="344" t="str">
        <f>_xlfn.XLOOKUP(D39,'BR''S'!$B$2:$B$104,'BR''S'!$D$2:$D$104,"")</f>
        <v/>
      </c>
      <c r="H39" s="346" t="str">
        <f>IF(B39&lt;&gt;"",PUXADA!P36,"")</f>
        <v/>
      </c>
      <c r="I39" s="344" t="str">
        <f>IF(B39&lt;&gt;"",PUXADA!G36,"")</f>
        <v/>
      </c>
      <c r="J39" s="323"/>
      <c r="K39" s="84"/>
      <c r="L39" s="84"/>
      <c r="M39" s="84"/>
      <c r="N39" s="84" t="str">
        <f t="shared" si="4"/>
        <v/>
      </c>
      <c r="O39" s="84"/>
      <c r="P39" s="84"/>
      <c r="Q39" s="85" t="str">
        <f>IF(B39&lt;&gt;"",SUMIFS(RECONVAN!I:I,RECONVAN!$A:$A,HORÁRIO!B39,RECONVAN!$F:$F,HORÁRIO!$Q$2),"")</f>
        <v/>
      </c>
      <c r="R39" s="85" t="str">
        <f>IF(B39&lt;&gt;"",SUMIFS(RECONVAN!I:I,RECONVAN!$A:$A,HORÁRIO!B39,RECONVAN!$F:$F,HORÁRIO!$R$2),"")</f>
        <v/>
      </c>
      <c r="S39" s="85" t="str">
        <f>IF(B39&lt;&gt;"",SUMIFS(RECONVAN!I:I,RECONVAN!$A:$A,HORÁRIO!B39,RECONVAN!$F:$F,HORÁRIO!$S$2),"")</f>
        <v/>
      </c>
      <c r="T39" s="85" t="str">
        <f>IF(B39&lt;&gt;"",SUMIFS(RECONVAN!I:I,RECONVAN!$A:$A,HORÁRIO!B39,RECONVAN!$F:$F,HORÁRIO!$T$2),"")</f>
        <v/>
      </c>
      <c r="U39" s="85" t="str">
        <f>IF(B39&lt;&gt;"",SUMIFS(RECONVAN!I:I,RECONVAN!$A:$A,HORÁRIO!B39,RECONVAN!$F:$F,HORÁRIO!$U$2),"")</f>
        <v/>
      </c>
      <c r="V39" s="85" t="str">
        <f>IF(B39&lt;&gt;"",SUMIFS(RECONVAN!I:I,RECONVAN!$A:$A,HORÁRIO!B39,RECONVAN!$F:$F,HORÁRIO!$V$2),"")</f>
        <v/>
      </c>
      <c r="W39" s="85" t="str">
        <f>IF(B39&lt;&gt;"",SUMIFS(RECONVAN!I:I,RECONVAN!$A:$A,HORÁRIO!B39,RECONVAN!$F:$F,HORÁRIO!$W$2),"")</f>
        <v/>
      </c>
      <c r="X39" s="85" t="str">
        <f>IF(B39&lt;&gt;"",SUMIFS(RECONVAN!I:I,RECONVAN!$A:$A,HORÁRIO!B39,RECONVAN!$F:$F,HORÁRIO!$X$2),"")</f>
        <v/>
      </c>
      <c r="Y39" s="85" t="str">
        <f>IF(B39&lt;&gt;"",SUMIFS(RECONVAN!I:I,RECONVAN!$A:$A,HORÁRIO!B39,RECONVAN!$F:$F,HORÁRIO!$Y$2),"")</f>
        <v/>
      </c>
      <c r="Z39" s="85" t="str">
        <f>IF(B39&lt;&gt;"",SUMIFS(RECONVAN!I:I,RECONVAN!$A:$A,HORÁRIO!B39,RECONVAN!$F:$F,HORÁRIO!$Z$2),"")</f>
        <v/>
      </c>
      <c r="AA39" s="85" t="str">
        <f>IF(B39&lt;&gt;"",SUMIFS(RECONVAN!I:I,RECONVAN!$A:$A,HORÁRIO!B39,RECONVAN!$F:$F,HORÁRIO!$AA$2),"")</f>
        <v/>
      </c>
      <c r="AB39" s="85" t="str">
        <f>IF(B39&lt;&gt;"",SUMIFS(RECONVAN!I:I,RECONVAN!$A:$A,HORÁRIO!B39,RECONVAN!$F:$F,HORÁRIO!$AB$2),"")</f>
        <v/>
      </c>
      <c r="AC39" s="85" t="str">
        <f>IF(B39&lt;&gt;"",SUMIFS(RECONVAN!I:I,RECONVAN!$A:$A,HORÁRIO!B39,RECONVAN!$F:$F,HORÁRIO!$AC$2),"")</f>
        <v/>
      </c>
      <c r="AD39" s="86" t="str">
        <f t="shared" si="8"/>
        <v/>
      </c>
      <c r="AE39" s="86" t="str">
        <f t="shared" si="9"/>
        <v/>
      </c>
    </row>
    <row r="40" spans="1:31" ht="18.75" x14ac:dyDescent="0.3">
      <c r="A40" s="344" t="str">
        <f t="shared" si="7"/>
        <v/>
      </c>
      <c r="B40" s="344" t="str">
        <f>PUXADA!B38</f>
        <v/>
      </c>
      <c r="C40" s="449" t="str">
        <f>IF(B40&lt;&gt;"",_xlfn.XLOOKUP(B40,PUXADA!$B$2:$B$939,PUXADA!$C$2:$C$939,""),"")</f>
        <v/>
      </c>
      <c r="D40" s="345" t="str">
        <f>IF(B40&lt;&gt;"",_xlfn.XLOOKUP(B40,PUXADA!$B$2:$B$939,PUXADA!$I$2:$I$939,""),"")</f>
        <v/>
      </c>
      <c r="E40" s="345" t="str">
        <f>_xlfn.XLOOKUP(D40,'BR''S'!$B$2:$B$104,'BR''S'!$C$2:$C$104,"")</f>
        <v/>
      </c>
      <c r="F40" s="345" t="str">
        <f>_xlfn.XLOOKUP(D40,'BR''S'!$B$2:$B$104,'BR''S'!$H$2:$H$104,"")</f>
        <v/>
      </c>
      <c r="G40" s="345" t="str">
        <f>_xlfn.XLOOKUP(D40,'BR''S'!$B$2:$B$104,'BR''S'!$D$2:$D$104,"")</f>
        <v/>
      </c>
      <c r="H40" s="347" t="str">
        <f>IF(B40&lt;&gt;"",PUXADA!P37,"")</f>
        <v/>
      </c>
      <c r="I40" s="345" t="str">
        <f>IF(B40&lt;&gt;"",PUXADA!G37,"")</f>
        <v/>
      </c>
      <c r="J40" s="322"/>
      <c r="K40" s="87"/>
      <c r="L40" s="87"/>
      <c r="M40" s="87"/>
      <c r="N40" s="87" t="str">
        <f t="shared" si="4"/>
        <v/>
      </c>
      <c r="O40" s="87"/>
      <c r="P40" s="87"/>
      <c r="Q40" s="88" t="str">
        <f>IF(B40&lt;&gt;"",SUMIFS(RECONVAN!I:I,RECONVAN!$A:$A,HORÁRIO!B40,RECONVAN!$F:$F,HORÁRIO!$Q$2),"")</f>
        <v/>
      </c>
      <c r="R40" s="88" t="str">
        <f>IF(B40&lt;&gt;"",SUMIFS(RECONVAN!I:I,RECONVAN!$A:$A,HORÁRIO!B40,RECONVAN!$F:$F,HORÁRIO!$R$2),"")</f>
        <v/>
      </c>
      <c r="S40" s="88" t="str">
        <f>IF(B40&lt;&gt;"",SUMIFS(RECONVAN!I:I,RECONVAN!$A:$A,HORÁRIO!B40,RECONVAN!$F:$F,HORÁRIO!$S$2),"")</f>
        <v/>
      </c>
      <c r="T40" s="88" t="str">
        <f>IF(B40&lt;&gt;"",SUMIFS(RECONVAN!I:I,RECONVAN!$A:$A,HORÁRIO!B40,RECONVAN!$F:$F,HORÁRIO!$T$2),"")</f>
        <v/>
      </c>
      <c r="U40" s="88" t="str">
        <f>IF(B40&lt;&gt;"",SUMIFS(RECONVAN!I:I,RECONVAN!$A:$A,HORÁRIO!B40,RECONVAN!$F:$F,HORÁRIO!$U$2),"")</f>
        <v/>
      </c>
      <c r="V40" s="88" t="str">
        <f>IF(B40&lt;&gt;"",SUMIFS(RECONVAN!I:I,RECONVAN!$A:$A,HORÁRIO!B40,RECONVAN!$F:$F,HORÁRIO!$V$2),"")</f>
        <v/>
      </c>
      <c r="W40" s="88" t="str">
        <f>IF(B40&lt;&gt;"",SUMIFS(RECONVAN!I:I,RECONVAN!$A:$A,HORÁRIO!B40,RECONVAN!$F:$F,HORÁRIO!$W$2),"")</f>
        <v/>
      </c>
      <c r="X40" s="88" t="str">
        <f>IF(B40&lt;&gt;"",SUMIFS(RECONVAN!I:I,RECONVAN!$A:$A,HORÁRIO!B40,RECONVAN!$F:$F,HORÁRIO!$X$2),"")</f>
        <v/>
      </c>
      <c r="Y40" s="88" t="str">
        <f>IF(B40&lt;&gt;"",SUMIFS(RECONVAN!I:I,RECONVAN!$A:$A,HORÁRIO!B40,RECONVAN!$F:$F,HORÁRIO!$Y$2),"")</f>
        <v/>
      </c>
      <c r="Z40" s="88" t="str">
        <f>IF(B40&lt;&gt;"",SUMIFS(RECONVAN!I:I,RECONVAN!$A:$A,HORÁRIO!B40,RECONVAN!$F:$F,HORÁRIO!$Z$2),"")</f>
        <v/>
      </c>
      <c r="AA40" s="88" t="str">
        <f>IF(B40&lt;&gt;"",SUMIFS(RECONVAN!I:I,RECONVAN!$A:$A,HORÁRIO!B40,RECONVAN!$F:$F,HORÁRIO!$AA$2),"")</f>
        <v/>
      </c>
      <c r="AB40" s="88" t="str">
        <f>IF(B40&lt;&gt;"",SUMIFS(RECONVAN!I:I,RECONVAN!$A:$A,HORÁRIO!B40,RECONVAN!$F:$F,HORÁRIO!$AB$2),"")</f>
        <v/>
      </c>
      <c r="AC40" s="88" t="str">
        <f>IF(B40&lt;&gt;"",SUMIFS(RECONVAN!I:I,RECONVAN!$A:$A,HORÁRIO!B40,RECONVAN!$F:$F,HORÁRIO!$AC$2),"")</f>
        <v/>
      </c>
      <c r="AD40" s="89" t="str">
        <f t="shared" si="8"/>
        <v/>
      </c>
      <c r="AE40" s="89" t="str">
        <f t="shared" si="9"/>
        <v/>
      </c>
    </row>
    <row r="41" spans="1:31" ht="18" customHeight="1" x14ac:dyDescent="0.3">
      <c r="A41" s="344" t="str">
        <f t="shared" si="7"/>
        <v/>
      </c>
      <c r="B41" s="344" t="str">
        <f>PUXADA!B39</f>
        <v/>
      </c>
      <c r="C41" s="448" t="str">
        <f>IF(B41&lt;&gt;"",_xlfn.XLOOKUP(B41,PUXADA!$B$2:$B$939,PUXADA!$C$2:$C$939,""),"")</f>
        <v/>
      </c>
      <c r="D41" s="344" t="str">
        <f>IF(B41&lt;&gt;"",_xlfn.XLOOKUP(B41,PUXADA!$B$2:$B$939,PUXADA!$I$2:$I$939,""),"")</f>
        <v/>
      </c>
      <c r="E41" s="344" t="str">
        <f>_xlfn.XLOOKUP(D41,'BR''S'!$B$2:$B$104,'BR''S'!$C$2:$C$104,"")</f>
        <v/>
      </c>
      <c r="F41" s="344" t="str">
        <f>_xlfn.XLOOKUP(D41,'BR''S'!$B$2:$B$104,'BR''S'!$H$2:$H$104,"")</f>
        <v/>
      </c>
      <c r="G41" s="344" t="str">
        <f>_xlfn.XLOOKUP(D41,'BR''S'!$B$2:$B$104,'BR''S'!$D$2:$D$104,"")</f>
        <v/>
      </c>
      <c r="H41" s="346" t="str">
        <f>IF(B41&lt;&gt;"",PUXADA!P39,"")</f>
        <v/>
      </c>
      <c r="I41" s="344" t="str">
        <f>IF(B41&lt;&gt;"",PUXADA!G39,"")</f>
        <v/>
      </c>
      <c r="J41" s="323"/>
      <c r="K41" s="84"/>
      <c r="L41" s="84"/>
      <c r="M41" s="84"/>
      <c r="N41" s="84" t="str">
        <f t="shared" ref="N41:N98" si="10">AE41</f>
        <v/>
      </c>
      <c r="O41" s="84"/>
      <c r="P41" s="84"/>
      <c r="Q41" s="85" t="str">
        <f>IF(B41&lt;&gt;"",SUMIFS(RECONVAN!I:I,RECONVAN!$A:$A,HORÁRIO!B41,RECONVAN!$F:$F,HORÁRIO!$Q$2),"")</f>
        <v/>
      </c>
      <c r="R41" s="85" t="str">
        <f>IF(B41&lt;&gt;"",SUMIFS(RECONVAN!I:I,RECONVAN!$A:$A,HORÁRIO!B41,RECONVAN!$F:$F,HORÁRIO!$R$2),"")</f>
        <v/>
      </c>
      <c r="S41" s="85" t="str">
        <f>IF(B41&lt;&gt;"",SUMIFS(RECONVAN!I:I,RECONVAN!$A:$A,HORÁRIO!B41,RECONVAN!$F:$F,HORÁRIO!$S$2),"")</f>
        <v/>
      </c>
      <c r="T41" s="85" t="str">
        <f>IF(B41&lt;&gt;"",SUMIFS(RECONVAN!I:I,RECONVAN!$A:$A,HORÁRIO!B41,RECONVAN!$F:$F,HORÁRIO!$T$2),"")</f>
        <v/>
      </c>
      <c r="U41" s="85" t="str">
        <f>IF(B41&lt;&gt;"",SUMIFS(RECONVAN!I:I,RECONVAN!$A:$A,HORÁRIO!B41,RECONVAN!$F:$F,HORÁRIO!$U$2),"")</f>
        <v/>
      </c>
      <c r="V41" s="85" t="str">
        <f>IF(B41&lt;&gt;"",SUMIFS(RECONVAN!I:I,RECONVAN!$A:$A,HORÁRIO!B41,RECONVAN!$F:$F,HORÁRIO!$V$2),"")</f>
        <v/>
      </c>
      <c r="W41" s="85" t="str">
        <f>IF(B41&lt;&gt;"",SUMIFS(RECONVAN!I:I,RECONVAN!$A:$A,HORÁRIO!B41,RECONVAN!$F:$F,HORÁRIO!$W$2),"")</f>
        <v/>
      </c>
      <c r="X41" s="85" t="str">
        <f>IF(B41&lt;&gt;"",SUMIFS(RECONVAN!I:I,RECONVAN!$A:$A,HORÁRIO!B41,RECONVAN!$F:$F,HORÁRIO!$X$2),"")</f>
        <v/>
      </c>
      <c r="Y41" s="85" t="str">
        <f>IF(B41&lt;&gt;"",SUMIFS(RECONVAN!I:I,RECONVAN!$A:$A,HORÁRIO!B41,RECONVAN!$F:$F,HORÁRIO!$Y$2),"")</f>
        <v/>
      </c>
      <c r="Z41" s="85" t="str">
        <f>IF(B41&lt;&gt;"",SUMIFS(RECONVAN!I:I,RECONVAN!$A:$A,HORÁRIO!B41,RECONVAN!$F:$F,HORÁRIO!$Z$2),"")</f>
        <v/>
      </c>
      <c r="AA41" s="85" t="str">
        <f>IF(B41&lt;&gt;"",SUMIFS(RECONVAN!I:I,RECONVAN!$A:$A,HORÁRIO!B41,RECONVAN!$F:$F,HORÁRIO!$AA$2),"")</f>
        <v/>
      </c>
      <c r="AB41" s="85" t="str">
        <f>IF(B41&lt;&gt;"",SUMIFS(RECONVAN!I:I,RECONVAN!$A:$A,HORÁRIO!B41,RECONVAN!$F:$F,HORÁRIO!$AB$2),"")</f>
        <v/>
      </c>
      <c r="AC41" s="85" t="str">
        <f>IF(B41&lt;&gt;"",SUMIFS(RECONVAN!I:I,RECONVAN!$A:$A,HORÁRIO!B41,RECONVAN!$F:$F,HORÁRIO!$AC$2),"")</f>
        <v/>
      </c>
      <c r="AD41" s="86" t="str">
        <f t="shared" si="8"/>
        <v/>
      </c>
      <c r="AE41" s="86" t="str">
        <f t="shared" si="9"/>
        <v/>
      </c>
    </row>
    <row r="42" spans="1:31" ht="18.75" x14ac:dyDescent="0.3">
      <c r="A42" s="344" t="str">
        <f t="shared" si="7"/>
        <v/>
      </c>
      <c r="B42" s="344" t="str">
        <f>PUXADA!B40</f>
        <v/>
      </c>
      <c r="C42" s="449" t="str">
        <f>IF(B42&lt;&gt;"",_xlfn.XLOOKUP(B42,PUXADA!$B$2:$B$939,PUXADA!$C$2:$C$939,""),"")</f>
        <v/>
      </c>
      <c r="D42" s="345" t="str">
        <f>IF(B42&lt;&gt;"",_xlfn.XLOOKUP(B42,PUXADA!$B$2:$B$939,PUXADA!$I$2:$I$939,""),"")</f>
        <v/>
      </c>
      <c r="E42" s="345" t="str">
        <f>_xlfn.XLOOKUP(D42,'BR''S'!$B$2:$B$104,'BR''S'!$C$2:$C$104,"")</f>
        <v/>
      </c>
      <c r="F42" s="345" t="str">
        <f>_xlfn.XLOOKUP(D42,'BR''S'!$B$2:$B$104,'BR''S'!$H$2:$H$104,"")</f>
        <v/>
      </c>
      <c r="G42" s="345" t="str">
        <f>_xlfn.XLOOKUP(D42,'BR''S'!$B$2:$B$104,'BR''S'!$D$2:$D$104,"")</f>
        <v/>
      </c>
      <c r="H42" s="347" t="str">
        <f>IF(B42&lt;&gt;"",PUXADA!P40,"")</f>
        <v/>
      </c>
      <c r="I42" s="345" t="str">
        <f>IF(B42&lt;&gt;"",PUXADA!G40,"")</f>
        <v/>
      </c>
      <c r="J42" s="322"/>
      <c r="K42" s="87"/>
      <c r="L42" s="87"/>
      <c r="M42" s="87"/>
      <c r="N42" s="87" t="str">
        <f t="shared" si="10"/>
        <v/>
      </c>
      <c r="O42" s="87"/>
      <c r="P42" s="87"/>
      <c r="Q42" s="88" t="str">
        <f>IF(B42&lt;&gt;"",SUMIFS(RECONVAN!I:I,RECONVAN!$A:$A,HORÁRIO!B42,RECONVAN!$F:$F,HORÁRIO!$Q$2),"")</f>
        <v/>
      </c>
      <c r="R42" s="88" t="str">
        <f>IF(B42&lt;&gt;"",SUMIFS(RECONVAN!I:I,RECONVAN!$A:$A,HORÁRIO!B42,RECONVAN!$F:$F,HORÁRIO!$R$2),"")</f>
        <v/>
      </c>
      <c r="S42" s="88" t="str">
        <f>IF(B42&lt;&gt;"",SUMIFS(RECONVAN!I:I,RECONVAN!$A:$A,HORÁRIO!B42,RECONVAN!$F:$F,HORÁRIO!$S$2),"")</f>
        <v/>
      </c>
      <c r="T42" s="88" t="str">
        <f>IF(B42&lt;&gt;"",SUMIFS(RECONVAN!I:I,RECONVAN!$A:$A,HORÁRIO!B42,RECONVAN!$F:$F,HORÁRIO!$T$2),"")</f>
        <v/>
      </c>
      <c r="U42" s="88" t="str">
        <f>IF(B42&lt;&gt;"",SUMIFS(RECONVAN!I:I,RECONVAN!$A:$A,HORÁRIO!B42,RECONVAN!$F:$F,HORÁRIO!$U$2),"")</f>
        <v/>
      </c>
      <c r="V42" s="88" t="str">
        <f>IF(B42&lt;&gt;"",SUMIFS(RECONVAN!I:I,RECONVAN!$A:$A,HORÁRIO!B42,RECONVAN!$F:$F,HORÁRIO!$V$2),"")</f>
        <v/>
      </c>
      <c r="W42" s="88" t="str">
        <f>IF(B42&lt;&gt;"",SUMIFS(RECONVAN!I:I,RECONVAN!$A:$A,HORÁRIO!B42,RECONVAN!$F:$F,HORÁRIO!$W$2),"")</f>
        <v/>
      </c>
      <c r="X42" s="88" t="str">
        <f>IF(B42&lt;&gt;"",SUMIFS(RECONVAN!I:I,RECONVAN!$A:$A,HORÁRIO!B42,RECONVAN!$F:$F,HORÁRIO!$X$2),"")</f>
        <v/>
      </c>
      <c r="Y42" s="88" t="str">
        <f>IF(B42&lt;&gt;"",SUMIFS(RECONVAN!I:I,RECONVAN!$A:$A,HORÁRIO!B42,RECONVAN!$F:$F,HORÁRIO!$Y$2),"")</f>
        <v/>
      </c>
      <c r="Z42" s="88" t="str">
        <f>IF(B42&lt;&gt;"",SUMIFS(RECONVAN!I:I,RECONVAN!$A:$A,HORÁRIO!B42,RECONVAN!$F:$F,HORÁRIO!$Z$2),"")</f>
        <v/>
      </c>
      <c r="AA42" s="88" t="str">
        <f>IF(B42&lt;&gt;"",SUMIFS(RECONVAN!I:I,RECONVAN!$A:$A,HORÁRIO!B42,RECONVAN!$F:$F,HORÁRIO!$AA$2),"")</f>
        <v/>
      </c>
      <c r="AB42" s="88" t="str">
        <f>IF(B42&lt;&gt;"",SUMIFS(RECONVAN!I:I,RECONVAN!$A:$A,HORÁRIO!B42,RECONVAN!$F:$F,HORÁRIO!$AB$2),"")</f>
        <v/>
      </c>
      <c r="AC42" s="88" t="str">
        <f>IF(B42&lt;&gt;"",SUMIFS(RECONVAN!I:I,RECONVAN!$A:$A,HORÁRIO!B42,RECONVAN!$F:$F,HORÁRIO!$AC$2),"")</f>
        <v/>
      </c>
      <c r="AD42" s="89" t="str">
        <f t="shared" si="8"/>
        <v/>
      </c>
      <c r="AE42" s="89" t="str">
        <f t="shared" si="9"/>
        <v/>
      </c>
    </row>
    <row r="43" spans="1:31" ht="18" customHeight="1" x14ac:dyDescent="0.3">
      <c r="A43" s="344" t="str">
        <f t="shared" si="7"/>
        <v/>
      </c>
      <c r="B43" s="344" t="str">
        <f>PUXADA!B41</f>
        <v/>
      </c>
      <c r="C43" s="448" t="str">
        <f>IF(B43&lt;&gt;"",_xlfn.XLOOKUP(B43,PUXADA!$B$2:$B$939,PUXADA!$C$2:$C$939,""),"")</f>
        <v/>
      </c>
      <c r="D43" s="344" t="str">
        <f>IF(B43&lt;&gt;"",_xlfn.XLOOKUP(B43,PUXADA!$B$2:$B$939,PUXADA!$I$2:$I$939,""),"")</f>
        <v/>
      </c>
      <c r="E43" s="344" t="str">
        <f>_xlfn.XLOOKUP(D43,'BR''S'!$B$2:$B$104,'BR''S'!$C$2:$C$104,"")</f>
        <v/>
      </c>
      <c r="F43" s="344" t="str">
        <f>_xlfn.XLOOKUP(D43,'BR''S'!$B$2:$B$104,'BR''S'!$H$2:$H$104,"")</f>
        <v/>
      </c>
      <c r="G43" s="344" t="str">
        <f>_xlfn.XLOOKUP(D43,'BR''S'!$B$2:$B$104,'BR''S'!$D$2:$D$104,"")</f>
        <v/>
      </c>
      <c r="H43" s="346" t="str">
        <f>IF(B43&lt;&gt;"",PUXADA!P41,"")</f>
        <v/>
      </c>
      <c r="I43" s="344" t="str">
        <f>IF(B43&lt;&gt;"",PUXADA!G41,"")</f>
        <v/>
      </c>
      <c r="J43" s="323"/>
      <c r="K43" s="84"/>
      <c r="L43" s="84"/>
      <c r="M43" s="84"/>
      <c r="N43" s="84" t="str">
        <f t="shared" ref="N43:N45" si="11">AE43</f>
        <v/>
      </c>
      <c r="O43" s="84"/>
      <c r="P43" s="84"/>
      <c r="Q43" s="85" t="str">
        <f>IF(B43&lt;&gt;"",SUMIFS(RECONVAN!I:I,RECONVAN!$A:$A,HORÁRIO!B43,RECONVAN!$F:$F,HORÁRIO!$Q$2),"")</f>
        <v/>
      </c>
      <c r="R43" s="85" t="str">
        <f>IF(B43&lt;&gt;"",SUMIFS(RECONVAN!I:I,RECONVAN!$A:$A,HORÁRIO!B43,RECONVAN!$F:$F,HORÁRIO!$R$2),"")</f>
        <v/>
      </c>
      <c r="S43" s="85" t="str">
        <f>IF(B43&lt;&gt;"",SUMIFS(RECONVAN!I:I,RECONVAN!$A:$A,HORÁRIO!B43,RECONVAN!$F:$F,HORÁRIO!$S$2),"")</f>
        <v/>
      </c>
      <c r="T43" s="85" t="str">
        <f>IF(B43&lt;&gt;"",SUMIFS(RECONVAN!I:I,RECONVAN!$A:$A,HORÁRIO!B43,RECONVAN!$F:$F,HORÁRIO!$T$2),"")</f>
        <v/>
      </c>
      <c r="U43" s="85" t="str">
        <f>IF(B43&lt;&gt;"",SUMIFS(RECONVAN!I:I,RECONVAN!$A:$A,HORÁRIO!B43,RECONVAN!$F:$F,HORÁRIO!$U$2),"")</f>
        <v/>
      </c>
      <c r="V43" s="85" t="str">
        <f>IF(B43&lt;&gt;"",SUMIFS(RECONVAN!I:I,RECONVAN!$A:$A,HORÁRIO!B43,RECONVAN!$F:$F,HORÁRIO!$V$2),"")</f>
        <v/>
      </c>
      <c r="W43" s="85" t="str">
        <f>IF(B43&lt;&gt;"",SUMIFS(RECONVAN!I:I,RECONVAN!$A:$A,HORÁRIO!B43,RECONVAN!$F:$F,HORÁRIO!$W$2),"")</f>
        <v/>
      </c>
      <c r="X43" s="85" t="str">
        <f>IF(B43&lt;&gt;"",SUMIFS(RECONVAN!I:I,RECONVAN!$A:$A,HORÁRIO!B43,RECONVAN!$F:$F,HORÁRIO!$X$2),"")</f>
        <v/>
      </c>
      <c r="Y43" s="85" t="str">
        <f>IF(B43&lt;&gt;"",SUMIFS(RECONVAN!I:I,RECONVAN!$A:$A,HORÁRIO!B43,RECONVAN!$F:$F,HORÁRIO!$Y$2),"")</f>
        <v/>
      </c>
      <c r="Z43" s="85" t="str">
        <f>IF(B43&lt;&gt;"",SUMIFS(RECONVAN!I:I,RECONVAN!$A:$A,HORÁRIO!B43,RECONVAN!$F:$F,HORÁRIO!$Z$2),"")</f>
        <v/>
      </c>
      <c r="AA43" s="85" t="str">
        <f>IF(B43&lt;&gt;"",SUMIFS(RECONVAN!I:I,RECONVAN!$A:$A,HORÁRIO!B43,RECONVAN!$F:$F,HORÁRIO!$AA$2),"")</f>
        <v/>
      </c>
      <c r="AB43" s="85" t="str">
        <f>IF(B43&lt;&gt;"",SUMIFS(RECONVAN!I:I,RECONVAN!$A:$A,HORÁRIO!B43,RECONVAN!$F:$F,HORÁRIO!$AB$2),"")</f>
        <v/>
      </c>
      <c r="AC43" s="85" t="str">
        <f>IF(B43&lt;&gt;"",SUMIFS(RECONVAN!I:I,RECONVAN!$A:$A,HORÁRIO!B43,RECONVAN!$F:$F,HORÁRIO!$AC$2),"")</f>
        <v/>
      </c>
      <c r="AD43" s="86" t="str">
        <f t="shared" si="8"/>
        <v/>
      </c>
      <c r="AE43" s="86" t="str">
        <f t="shared" si="9"/>
        <v/>
      </c>
    </row>
    <row r="44" spans="1:31" ht="18.75" x14ac:dyDescent="0.3">
      <c r="A44" s="344" t="str">
        <f t="shared" si="7"/>
        <v/>
      </c>
      <c r="B44" s="344" t="str">
        <f>PUXADA!B42</f>
        <v/>
      </c>
      <c r="C44" s="449" t="str">
        <f>IF(B44&lt;&gt;"",_xlfn.XLOOKUP(B44,PUXADA!$B$2:$B$939,PUXADA!$C$2:$C$939,""),"")</f>
        <v/>
      </c>
      <c r="D44" s="345" t="str">
        <f>IF(B44&lt;&gt;"",_xlfn.XLOOKUP(B44,PUXADA!$B$2:$B$939,PUXADA!$I$2:$I$939,""),"")</f>
        <v/>
      </c>
      <c r="E44" s="345" t="str">
        <f>_xlfn.XLOOKUP(D44,'BR''S'!$B$2:$B$104,'BR''S'!$C$2:$C$104,"")</f>
        <v/>
      </c>
      <c r="F44" s="345" t="str">
        <f>_xlfn.XLOOKUP(D44,'BR''S'!$B$2:$B$104,'BR''S'!$H$2:$H$104,"")</f>
        <v/>
      </c>
      <c r="G44" s="345" t="str">
        <f>_xlfn.XLOOKUP(D44,'BR''S'!$B$2:$B$104,'BR''S'!$D$2:$D$104,"")</f>
        <v/>
      </c>
      <c r="H44" s="347" t="str">
        <f>IF(B44&lt;&gt;"",PUXADA!P42,"")</f>
        <v/>
      </c>
      <c r="I44" s="345" t="str">
        <f>IF(B44&lt;&gt;"",PUXADA!G42,"")</f>
        <v/>
      </c>
      <c r="J44" s="322"/>
      <c r="K44" s="487"/>
      <c r="L44" s="87"/>
      <c r="M44" s="87"/>
      <c r="N44" s="87" t="str">
        <f t="shared" si="11"/>
        <v/>
      </c>
      <c r="O44" s="87"/>
      <c r="P44" s="87"/>
      <c r="Q44" s="88" t="str">
        <f>IF(B44&lt;&gt;"",SUMIFS(RECONVAN!I:I,RECONVAN!$A:$A,HORÁRIO!B44,RECONVAN!$F:$F,HORÁRIO!$Q$2),"")</f>
        <v/>
      </c>
      <c r="R44" s="88" t="str">
        <f>IF(B44&lt;&gt;"",SUMIFS(RECONVAN!I:I,RECONVAN!$A:$A,HORÁRIO!B44,RECONVAN!$F:$F,HORÁRIO!$R$2),"")</f>
        <v/>
      </c>
      <c r="S44" s="88" t="str">
        <f>IF(B44&lt;&gt;"",SUMIFS(RECONVAN!I:I,RECONVAN!$A:$A,HORÁRIO!B44,RECONVAN!$F:$F,HORÁRIO!$S$2),"")</f>
        <v/>
      </c>
      <c r="T44" s="88" t="str">
        <f>IF(B44&lt;&gt;"",SUMIFS(RECONVAN!I:I,RECONVAN!$A:$A,HORÁRIO!B44,RECONVAN!$F:$F,HORÁRIO!$T$2),"")</f>
        <v/>
      </c>
      <c r="U44" s="88" t="str">
        <f>IF(B44&lt;&gt;"",SUMIFS(RECONVAN!I:I,RECONVAN!$A:$A,HORÁRIO!B44,RECONVAN!$F:$F,HORÁRIO!$U$2),"")</f>
        <v/>
      </c>
      <c r="V44" s="88" t="str">
        <f>IF(B44&lt;&gt;"",SUMIFS(RECONVAN!I:I,RECONVAN!$A:$A,HORÁRIO!B44,RECONVAN!$F:$F,HORÁRIO!$V$2),"")</f>
        <v/>
      </c>
      <c r="W44" s="88" t="str">
        <f>IF(B44&lt;&gt;"",SUMIFS(RECONVAN!I:I,RECONVAN!$A:$A,HORÁRIO!B44,RECONVAN!$F:$F,HORÁRIO!$W$2),"")</f>
        <v/>
      </c>
      <c r="X44" s="88" t="str">
        <f>IF(B44&lt;&gt;"",SUMIFS(RECONVAN!I:I,RECONVAN!$A:$A,HORÁRIO!B44,RECONVAN!$F:$F,HORÁRIO!$X$2),"")</f>
        <v/>
      </c>
      <c r="Y44" s="88" t="str">
        <f>IF(B44&lt;&gt;"",SUMIFS(RECONVAN!I:I,RECONVAN!$A:$A,HORÁRIO!B44,RECONVAN!$F:$F,HORÁRIO!$Y$2),"")</f>
        <v/>
      </c>
      <c r="Z44" s="88" t="str">
        <f>IF(B44&lt;&gt;"",SUMIFS(RECONVAN!I:I,RECONVAN!$A:$A,HORÁRIO!B44,RECONVAN!$F:$F,HORÁRIO!$Z$2),"")</f>
        <v/>
      </c>
      <c r="AA44" s="88" t="str">
        <f>IF(B44&lt;&gt;"",SUMIFS(RECONVAN!I:I,RECONVAN!$A:$A,HORÁRIO!B44,RECONVAN!$F:$F,HORÁRIO!$AA$2),"")</f>
        <v/>
      </c>
      <c r="AB44" s="88" t="str">
        <f>IF(B44&lt;&gt;"",SUMIFS(RECONVAN!I:I,RECONVAN!$A:$A,HORÁRIO!B44,RECONVAN!$F:$F,HORÁRIO!$AB$2),"")</f>
        <v/>
      </c>
      <c r="AC44" s="88" t="str">
        <f>IF(B44&lt;&gt;"",SUMIFS(RECONVAN!I:I,RECONVAN!$A:$A,HORÁRIO!B44,RECONVAN!$F:$F,HORÁRIO!$AC$2),"")</f>
        <v/>
      </c>
      <c r="AD44" s="89" t="str">
        <f t="shared" si="8"/>
        <v/>
      </c>
      <c r="AE44" s="89" t="str">
        <f t="shared" si="9"/>
        <v/>
      </c>
    </row>
    <row r="45" spans="1:31" ht="18" customHeight="1" x14ac:dyDescent="0.3">
      <c r="A45" s="344" t="str">
        <f t="shared" si="7"/>
        <v/>
      </c>
      <c r="B45" s="344" t="str">
        <f>PUXADA!B43</f>
        <v/>
      </c>
      <c r="C45" s="448" t="str">
        <f>IF(B45&lt;&gt;"",_xlfn.XLOOKUP(B45,PUXADA!$B$2:$B$939,PUXADA!$C$2:$C$939,""),"")</f>
        <v/>
      </c>
      <c r="D45" s="344" t="str">
        <f>IF(B45&lt;&gt;"",_xlfn.XLOOKUP(B45,PUXADA!$B$2:$B$939,PUXADA!$I$2:$I$939,""),"")</f>
        <v/>
      </c>
      <c r="E45" s="344" t="str">
        <f>_xlfn.XLOOKUP(D45,'BR''S'!$B$2:$B$104,'BR''S'!$C$2:$C$104,"")</f>
        <v/>
      </c>
      <c r="F45" s="344" t="str">
        <f>_xlfn.XLOOKUP(D45,'BR''S'!$B$2:$B$104,'BR''S'!$H$2:$H$104,"")</f>
        <v/>
      </c>
      <c r="G45" s="344" t="str">
        <f>_xlfn.XLOOKUP(D45,'BR''S'!$B$2:$B$104,'BR''S'!$D$2:$D$104,"")</f>
        <v/>
      </c>
      <c r="H45" s="346" t="str">
        <f>IF(B45&lt;&gt;"",PUXADA!P43,"")</f>
        <v/>
      </c>
      <c r="I45" s="344" t="str">
        <f>IF(B45&lt;&gt;"",PUXADA!G43,"")</f>
        <v/>
      </c>
      <c r="J45" s="323"/>
      <c r="K45" s="84"/>
      <c r="L45" s="84"/>
      <c r="M45" s="84"/>
      <c r="N45" s="84" t="str">
        <f t="shared" si="11"/>
        <v/>
      </c>
      <c r="O45" s="84"/>
      <c r="P45" s="84"/>
      <c r="Q45" s="85" t="str">
        <f>IF(B45&lt;&gt;"",SUMIFS(RECONVAN!I:I,RECONVAN!$A:$A,HORÁRIO!B45,RECONVAN!$F:$F,HORÁRIO!$Q$2),"")</f>
        <v/>
      </c>
      <c r="R45" s="85" t="str">
        <f>IF(B45&lt;&gt;"",SUMIFS(RECONVAN!I:I,RECONVAN!$A:$A,HORÁRIO!B45,RECONVAN!$F:$F,HORÁRIO!$R$2),"")</f>
        <v/>
      </c>
      <c r="S45" s="85" t="str">
        <f>IF(B45&lt;&gt;"",SUMIFS(RECONVAN!I:I,RECONVAN!$A:$A,HORÁRIO!B45,RECONVAN!$F:$F,HORÁRIO!$S$2),"")</f>
        <v/>
      </c>
      <c r="T45" s="85" t="str">
        <f>IF(B45&lt;&gt;"",SUMIFS(RECONVAN!I:I,RECONVAN!$A:$A,HORÁRIO!B45,RECONVAN!$F:$F,HORÁRIO!$T$2),"")</f>
        <v/>
      </c>
      <c r="U45" s="85" t="str">
        <f>IF(B45&lt;&gt;"",SUMIFS(RECONVAN!I:I,RECONVAN!$A:$A,HORÁRIO!B45,RECONVAN!$F:$F,HORÁRIO!$U$2),"")</f>
        <v/>
      </c>
      <c r="V45" s="85" t="str">
        <f>IF(B45&lt;&gt;"",SUMIFS(RECONVAN!I:I,RECONVAN!$A:$A,HORÁRIO!B45,RECONVAN!$F:$F,HORÁRIO!$V$2),"")</f>
        <v/>
      </c>
      <c r="W45" s="85" t="str">
        <f>IF(B45&lt;&gt;"",SUMIFS(RECONVAN!I:I,RECONVAN!$A:$A,HORÁRIO!B45,RECONVAN!$F:$F,HORÁRIO!$W$2),"")</f>
        <v/>
      </c>
      <c r="X45" s="85" t="str">
        <f>IF(B45&lt;&gt;"",SUMIFS(RECONVAN!I:I,RECONVAN!$A:$A,HORÁRIO!B45,RECONVAN!$F:$F,HORÁRIO!$X$2),"")</f>
        <v/>
      </c>
      <c r="Y45" s="85" t="str">
        <f>IF(B45&lt;&gt;"",SUMIFS(RECONVAN!I:I,RECONVAN!$A:$A,HORÁRIO!B45,RECONVAN!$F:$F,HORÁRIO!$Y$2),"")</f>
        <v/>
      </c>
      <c r="Z45" s="85" t="str">
        <f>IF(B45&lt;&gt;"",SUMIFS(RECONVAN!I:I,RECONVAN!$A:$A,HORÁRIO!B45,RECONVAN!$F:$F,HORÁRIO!$Z$2),"")</f>
        <v/>
      </c>
      <c r="AA45" s="85" t="str">
        <f>IF(B45&lt;&gt;"",SUMIFS(RECONVAN!I:I,RECONVAN!$A:$A,HORÁRIO!B45,RECONVAN!$F:$F,HORÁRIO!$AA$2),"")</f>
        <v/>
      </c>
      <c r="AB45" s="85" t="str">
        <f>IF(B45&lt;&gt;"",SUMIFS(RECONVAN!I:I,RECONVAN!$A:$A,HORÁRIO!B45,RECONVAN!$F:$F,HORÁRIO!$AB$2),"")</f>
        <v/>
      </c>
      <c r="AC45" s="85" t="str">
        <f>IF(B45&lt;&gt;"",SUMIFS(RECONVAN!I:I,RECONVAN!$A:$A,HORÁRIO!B45,RECONVAN!$F:$F,HORÁRIO!$AC$2),"")</f>
        <v/>
      </c>
      <c r="AD45" s="86" t="str">
        <f t="shared" si="8"/>
        <v/>
      </c>
      <c r="AE45" s="86" t="str">
        <f t="shared" si="9"/>
        <v/>
      </c>
    </row>
    <row r="46" spans="1:31" ht="18.75" x14ac:dyDescent="0.3">
      <c r="A46" s="344" t="str">
        <f t="shared" si="7"/>
        <v/>
      </c>
      <c r="B46" s="344" t="str">
        <f>PUXADA!B44</f>
        <v/>
      </c>
      <c r="C46" s="449" t="str">
        <f>IF(B46&lt;&gt;"",_xlfn.XLOOKUP(B46,PUXADA!$B$2:$B$939,PUXADA!$C$2:$C$939,""),"")</f>
        <v/>
      </c>
      <c r="D46" s="345" t="str">
        <f>IF(B46&lt;&gt;"",_xlfn.XLOOKUP(B46,PUXADA!$B$2:$B$939,PUXADA!$I$2:$I$939,""),"")</f>
        <v/>
      </c>
      <c r="E46" s="345" t="str">
        <f>_xlfn.XLOOKUP(D46,'BR''S'!$B$2:$B$104,'BR''S'!$C$2:$C$104,"")</f>
        <v/>
      </c>
      <c r="F46" s="345" t="str">
        <f>_xlfn.XLOOKUP(D46,'BR''S'!$B$2:$B$104,'BR''S'!$H$2:$H$104,"")</f>
        <v/>
      </c>
      <c r="G46" s="345" t="str">
        <f>_xlfn.XLOOKUP(D46,'BR''S'!$B$2:$B$104,'BR''S'!$D$2:$D$104,"")</f>
        <v/>
      </c>
      <c r="H46" s="347" t="str">
        <f>IF(B46&lt;&gt;"",PUXADA!P44,"")</f>
        <v/>
      </c>
      <c r="I46" s="345" t="str">
        <f>IF(B46&lt;&gt;"",PUXADA!G44,"")</f>
        <v/>
      </c>
      <c r="J46" s="322"/>
      <c r="K46" s="87"/>
      <c r="L46" s="87"/>
      <c r="M46" s="87"/>
      <c r="N46" s="87" t="str">
        <f t="shared" si="10"/>
        <v/>
      </c>
      <c r="O46" s="87"/>
      <c r="P46" s="87"/>
      <c r="Q46" s="88" t="str">
        <f>IF(B46&lt;&gt;"",SUMIFS(RECONVAN!I:I,RECONVAN!$A:$A,HORÁRIO!B46,RECONVAN!$F:$F,HORÁRIO!$Q$2),"")</f>
        <v/>
      </c>
      <c r="R46" s="88" t="str">
        <f>IF(B46&lt;&gt;"",SUMIFS(RECONVAN!I:I,RECONVAN!$A:$A,HORÁRIO!B46,RECONVAN!$F:$F,HORÁRIO!$R$2),"")</f>
        <v/>
      </c>
      <c r="S46" s="88" t="str">
        <f>IF(B46&lt;&gt;"",SUMIFS(RECONVAN!I:I,RECONVAN!$A:$A,HORÁRIO!B46,RECONVAN!$F:$F,HORÁRIO!$S$2),"")</f>
        <v/>
      </c>
      <c r="T46" s="88" t="str">
        <f>IF(B46&lt;&gt;"",SUMIFS(RECONVAN!I:I,RECONVAN!$A:$A,HORÁRIO!B46,RECONVAN!$F:$F,HORÁRIO!$T$2),"")</f>
        <v/>
      </c>
      <c r="U46" s="88" t="str">
        <f>IF(B46&lt;&gt;"",SUMIFS(RECONVAN!I:I,RECONVAN!$A:$A,HORÁRIO!B46,RECONVAN!$F:$F,HORÁRIO!$U$2),"")</f>
        <v/>
      </c>
      <c r="V46" s="88" t="str">
        <f>IF(B46&lt;&gt;"",SUMIFS(RECONVAN!I:I,RECONVAN!$A:$A,HORÁRIO!B46,RECONVAN!$F:$F,HORÁRIO!$V$2),"")</f>
        <v/>
      </c>
      <c r="W46" s="88" t="str">
        <f>IF(B46&lt;&gt;"",SUMIFS(RECONVAN!I:I,RECONVAN!$A:$A,HORÁRIO!B46,RECONVAN!$F:$F,HORÁRIO!$W$2),"")</f>
        <v/>
      </c>
      <c r="X46" s="88" t="str">
        <f>IF(B46&lt;&gt;"",SUMIFS(RECONVAN!I:I,RECONVAN!$A:$A,HORÁRIO!B46,RECONVAN!$F:$F,HORÁRIO!$X$2),"")</f>
        <v/>
      </c>
      <c r="Y46" s="88" t="str">
        <f>IF(B46&lt;&gt;"",SUMIFS(RECONVAN!I:I,RECONVAN!$A:$A,HORÁRIO!B46,RECONVAN!$F:$F,HORÁRIO!$Y$2),"")</f>
        <v/>
      </c>
      <c r="Z46" s="88" t="str">
        <f>IF(B46&lt;&gt;"",SUMIFS(RECONVAN!I:I,RECONVAN!$A:$A,HORÁRIO!B46,RECONVAN!$F:$F,HORÁRIO!$Z$2),"")</f>
        <v/>
      </c>
      <c r="AA46" s="88" t="str">
        <f>IF(B46&lt;&gt;"",SUMIFS(RECONVAN!I:I,RECONVAN!$A:$A,HORÁRIO!B46,RECONVAN!$F:$F,HORÁRIO!$AA$2),"")</f>
        <v/>
      </c>
      <c r="AB46" s="88" t="str">
        <f>IF(B46&lt;&gt;"",SUMIFS(RECONVAN!I:I,RECONVAN!$A:$A,HORÁRIO!B46,RECONVAN!$F:$F,HORÁRIO!$AB$2),"")</f>
        <v/>
      </c>
      <c r="AC46" s="88" t="str">
        <f>IF(B46&lt;&gt;"",SUMIFS(RECONVAN!I:I,RECONVAN!$A:$A,HORÁRIO!B46,RECONVAN!$F:$F,HORÁRIO!$AC$2),"")</f>
        <v/>
      </c>
      <c r="AD46" s="89" t="str">
        <f t="shared" si="8"/>
        <v/>
      </c>
      <c r="AE46" s="89" t="str">
        <f t="shared" si="9"/>
        <v/>
      </c>
    </row>
    <row r="47" spans="1:31" ht="18" customHeight="1" x14ac:dyDescent="0.3">
      <c r="A47" s="344" t="str">
        <f t="shared" si="7"/>
        <v/>
      </c>
      <c r="B47" s="344" t="str">
        <f>PUXADA!B45</f>
        <v/>
      </c>
      <c r="C47" s="448" t="str">
        <f>IF(B47&lt;&gt;"",_xlfn.XLOOKUP(B47,PUXADA!$B$2:$B$939,PUXADA!$C$2:$C$939,""),"")</f>
        <v/>
      </c>
      <c r="D47" s="344" t="str">
        <f>IF(B47&lt;&gt;"",_xlfn.XLOOKUP(B47,PUXADA!$B$2:$B$939,PUXADA!$I$2:$I$939,""),"")</f>
        <v/>
      </c>
      <c r="E47" s="344" t="str">
        <f>_xlfn.XLOOKUP(D47,'BR''S'!$B$2:$B$104,'BR''S'!$C$2:$C$104,"")</f>
        <v/>
      </c>
      <c r="F47" s="344" t="str">
        <f>_xlfn.XLOOKUP(D47,'BR''S'!$B$2:$B$104,'BR''S'!$H$2:$H$104,"")</f>
        <v/>
      </c>
      <c r="G47" s="344" t="str">
        <f>_xlfn.XLOOKUP(D47,'BR''S'!$B$2:$B$104,'BR''S'!$D$2:$D$104,"")</f>
        <v/>
      </c>
      <c r="H47" s="346" t="str">
        <f>IF(B47&lt;&gt;"",PUXADA!P45,"")</f>
        <v/>
      </c>
      <c r="I47" s="344" t="str">
        <f>IF(B47&lt;&gt;"",PUXADA!G45,"")</f>
        <v/>
      </c>
      <c r="J47" s="323"/>
      <c r="K47" s="84"/>
      <c r="L47" s="84"/>
      <c r="M47" s="84"/>
      <c r="N47" s="84" t="str">
        <f t="shared" si="10"/>
        <v/>
      </c>
      <c r="O47" s="84"/>
      <c r="P47" s="84"/>
      <c r="Q47" s="85" t="str">
        <f>IF(B47&lt;&gt;"",SUMIFS(RECONVAN!I:I,RECONVAN!$A:$A,HORÁRIO!B47,RECONVAN!$F:$F,HORÁRIO!$Q$2),"")</f>
        <v/>
      </c>
      <c r="R47" s="85" t="str">
        <f>IF(B47&lt;&gt;"",SUMIFS(RECONVAN!I:I,RECONVAN!$A:$A,HORÁRIO!B47,RECONVAN!$F:$F,HORÁRIO!$R$2),"")</f>
        <v/>
      </c>
      <c r="S47" s="85" t="str">
        <f>IF(B47&lt;&gt;"",SUMIFS(RECONVAN!I:I,RECONVAN!$A:$A,HORÁRIO!B47,RECONVAN!$F:$F,HORÁRIO!$S$2),"")</f>
        <v/>
      </c>
      <c r="T47" s="85" t="str">
        <f>IF(B47&lt;&gt;"",SUMIFS(RECONVAN!I:I,RECONVAN!$A:$A,HORÁRIO!B47,RECONVAN!$F:$F,HORÁRIO!$T$2),"")</f>
        <v/>
      </c>
      <c r="U47" s="85" t="str">
        <f>IF(B47&lt;&gt;"",SUMIFS(RECONVAN!I:I,RECONVAN!$A:$A,HORÁRIO!B47,RECONVAN!$F:$F,HORÁRIO!$U$2),"")</f>
        <v/>
      </c>
      <c r="V47" s="85" t="str">
        <f>IF(B47&lt;&gt;"",SUMIFS(RECONVAN!I:I,RECONVAN!$A:$A,HORÁRIO!B47,RECONVAN!$F:$F,HORÁRIO!$V$2),"")</f>
        <v/>
      </c>
      <c r="W47" s="85" t="str">
        <f>IF(B47&lt;&gt;"",SUMIFS(RECONVAN!I:I,RECONVAN!$A:$A,HORÁRIO!B47,RECONVAN!$F:$F,HORÁRIO!$W$2),"")</f>
        <v/>
      </c>
      <c r="X47" s="85" t="str">
        <f>IF(B47&lt;&gt;"",SUMIFS(RECONVAN!I:I,RECONVAN!$A:$A,HORÁRIO!B47,RECONVAN!$F:$F,HORÁRIO!$X$2),"")</f>
        <v/>
      </c>
      <c r="Y47" s="85" t="str">
        <f>IF(B47&lt;&gt;"",SUMIFS(RECONVAN!I:I,RECONVAN!$A:$A,HORÁRIO!B47,RECONVAN!$F:$F,HORÁRIO!$Y$2),"")</f>
        <v/>
      </c>
      <c r="Z47" s="85" t="str">
        <f>IF(B47&lt;&gt;"",SUMIFS(RECONVAN!I:I,RECONVAN!$A:$A,HORÁRIO!B47,RECONVAN!$F:$F,HORÁRIO!$Z$2),"")</f>
        <v/>
      </c>
      <c r="AA47" s="85" t="str">
        <f>IF(B47&lt;&gt;"",SUMIFS(RECONVAN!I:I,RECONVAN!$A:$A,HORÁRIO!B47,RECONVAN!$F:$F,HORÁRIO!$AA$2),"")</f>
        <v/>
      </c>
      <c r="AB47" s="85" t="str">
        <f>IF(B47&lt;&gt;"",SUMIFS(RECONVAN!I:I,RECONVAN!$A:$A,HORÁRIO!B47,RECONVAN!$F:$F,HORÁRIO!$AB$2),"")</f>
        <v/>
      </c>
      <c r="AC47" s="85" t="str">
        <f>IF(B47&lt;&gt;"",SUMIFS(RECONVAN!I:I,RECONVAN!$A:$A,HORÁRIO!B47,RECONVAN!$F:$F,HORÁRIO!$AC$2),"")</f>
        <v/>
      </c>
      <c r="AD47" s="86" t="str">
        <f t="shared" si="8"/>
        <v/>
      </c>
      <c r="AE47" s="86" t="str">
        <f t="shared" si="9"/>
        <v/>
      </c>
    </row>
    <row r="48" spans="1:31" ht="18.75" x14ac:dyDescent="0.3">
      <c r="A48" s="344" t="str">
        <f t="shared" si="7"/>
        <v/>
      </c>
      <c r="B48" s="344" t="str">
        <f>PUXADA!B46</f>
        <v/>
      </c>
      <c r="C48" s="449" t="str">
        <f>IF(B48&lt;&gt;"",_xlfn.XLOOKUP(B48,PUXADA!$B$2:$B$939,PUXADA!$C$2:$C$939,""),"")</f>
        <v/>
      </c>
      <c r="D48" s="345" t="str">
        <f>IF(B48&lt;&gt;"",_xlfn.XLOOKUP(B48,PUXADA!$B$2:$B$939,PUXADA!$I$2:$I$939,""),"")</f>
        <v/>
      </c>
      <c r="E48" s="345" t="str">
        <f>_xlfn.XLOOKUP(D48,'BR''S'!$B$2:$B$104,'BR''S'!$C$2:$C$104,"")</f>
        <v/>
      </c>
      <c r="F48" s="345" t="str">
        <f>_xlfn.XLOOKUP(D48,'BR''S'!$B$2:$B$104,'BR''S'!$H$2:$H$104,"")</f>
        <v/>
      </c>
      <c r="G48" s="345" t="str">
        <f>_xlfn.XLOOKUP(D48,'BR''S'!$B$2:$B$104,'BR''S'!$D$2:$D$104,"")</f>
        <v/>
      </c>
      <c r="H48" s="347" t="str">
        <f>IF(B48&lt;&gt;"",PUXADA!P46,"")</f>
        <v/>
      </c>
      <c r="I48" s="345" t="str">
        <f>IF(B48&lt;&gt;"",PUXADA!G46,"")</f>
        <v/>
      </c>
      <c r="J48" s="322"/>
      <c r="K48" s="87"/>
      <c r="L48" s="87"/>
      <c r="M48" s="87"/>
      <c r="N48" s="87" t="str">
        <f t="shared" si="10"/>
        <v/>
      </c>
      <c r="O48" s="87"/>
      <c r="P48" s="87"/>
      <c r="Q48" s="88" t="str">
        <f>IF(B48&lt;&gt;"",SUMIFS(RECONVAN!I:I,RECONVAN!$A:$A,HORÁRIO!B48,RECONVAN!$F:$F,HORÁRIO!$Q$2),"")</f>
        <v/>
      </c>
      <c r="R48" s="88" t="str">
        <f>IF(B48&lt;&gt;"",SUMIFS(RECONVAN!I:I,RECONVAN!$A:$A,HORÁRIO!B48,RECONVAN!$F:$F,HORÁRIO!$R$2),"")</f>
        <v/>
      </c>
      <c r="S48" s="88" t="str">
        <f>IF(B48&lt;&gt;"",SUMIFS(RECONVAN!I:I,RECONVAN!$A:$A,HORÁRIO!B48,RECONVAN!$F:$F,HORÁRIO!$S$2),"")</f>
        <v/>
      </c>
      <c r="T48" s="88" t="str">
        <f>IF(B48&lt;&gt;"",SUMIFS(RECONVAN!I:I,RECONVAN!$A:$A,HORÁRIO!B48,RECONVAN!$F:$F,HORÁRIO!$T$2),"")</f>
        <v/>
      </c>
      <c r="U48" s="88" t="str">
        <f>IF(B48&lt;&gt;"",SUMIFS(RECONVAN!I:I,RECONVAN!$A:$A,HORÁRIO!B48,RECONVAN!$F:$F,HORÁRIO!$U$2),"")</f>
        <v/>
      </c>
      <c r="V48" s="88" t="str">
        <f>IF(B48&lt;&gt;"",SUMIFS(RECONVAN!I:I,RECONVAN!$A:$A,HORÁRIO!B48,RECONVAN!$F:$F,HORÁRIO!$V$2),"")</f>
        <v/>
      </c>
      <c r="W48" s="88" t="str">
        <f>IF(B48&lt;&gt;"",SUMIFS(RECONVAN!I:I,RECONVAN!$A:$A,HORÁRIO!B48,RECONVAN!$F:$F,HORÁRIO!$W$2),"")</f>
        <v/>
      </c>
      <c r="X48" s="88" t="str">
        <f>IF(B48&lt;&gt;"",SUMIFS(RECONVAN!I:I,RECONVAN!$A:$A,HORÁRIO!B48,RECONVAN!$F:$F,HORÁRIO!$X$2),"")</f>
        <v/>
      </c>
      <c r="Y48" s="88" t="str">
        <f>IF(B48&lt;&gt;"",SUMIFS(RECONVAN!I:I,RECONVAN!$A:$A,HORÁRIO!B48,RECONVAN!$F:$F,HORÁRIO!$Y$2),"")</f>
        <v/>
      </c>
      <c r="Z48" s="88" t="str">
        <f>IF(B48&lt;&gt;"",SUMIFS(RECONVAN!I:I,RECONVAN!$A:$A,HORÁRIO!B48,RECONVAN!$F:$F,HORÁRIO!$Z$2),"")</f>
        <v/>
      </c>
      <c r="AA48" s="88" t="str">
        <f>IF(B48&lt;&gt;"",SUMIFS(RECONVAN!I:I,RECONVAN!$A:$A,HORÁRIO!B48,RECONVAN!$F:$F,HORÁRIO!$AA$2),"")</f>
        <v/>
      </c>
      <c r="AB48" s="88" t="str">
        <f>IF(B48&lt;&gt;"",SUMIFS(RECONVAN!I:I,RECONVAN!$A:$A,HORÁRIO!B48,RECONVAN!$F:$F,HORÁRIO!$AB$2),"")</f>
        <v/>
      </c>
      <c r="AC48" s="88" t="str">
        <f>IF(B48&lt;&gt;"",SUMIFS(RECONVAN!I:I,RECONVAN!$A:$A,HORÁRIO!B48,RECONVAN!$F:$F,HORÁRIO!$AC$2),"")</f>
        <v/>
      </c>
      <c r="AD48" s="89" t="str">
        <f t="shared" si="8"/>
        <v/>
      </c>
      <c r="AE48" s="89" t="str">
        <f t="shared" si="9"/>
        <v/>
      </c>
    </row>
    <row r="49" spans="1:31" ht="18" customHeight="1" x14ac:dyDescent="0.3">
      <c r="A49" s="344" t="str">
        <f t="shared" si="7"/>
        <v/>
      </c>
      <c r="B49" s="344" t="str">
        <f>PUXADA!B47</f>
        <v/>
      </c>
      <c r="C49" s="448" t="str">
        <f>IF(B49&lt;&gt;"",_xlfn.XLOOKUP(B49,PUXADA!$B$2:$B$939,PUXADA!$C$2:$C$939,""),"")</f>
        <v/>
      </c>
      <c r="D49" s="344" t="str">
        <f>IF(B49&lt;&gt;"",_xlfn.XLOOKUP(B49,PUXADA!$B$2:$B$939,PUXADA!$I$2:$I$939,""),"")</f>
        <v/>
      </c>
      <c r="E49" s="344" t="str">
        <f>_xlfn.XLOOKUP(D49,'BR''S'!$B$2:$B$104,'BR''S'!$C$2:$C$104,"")</f>
        <v/>
      </c>
      <c r="F49" s="344" t="str">
        <f>_xlfn.XLOOKUP(D49,'BR''S'!$B$2:$B$104,'BR''S'!$H$2:$H$104,"")</f>
        <v/>
      </c>
      <c r="G49" s="344" t="str">
        <f>_xlfn.XLOOKUP(D49,'BR''S'!$B$2:$B$104,'BR''S'!$D$2:$D$104,"")</f>
        <v/>
      </c>
      <c r="H49" s="346" t="str">
        <f>IF(B49&lt;&gt;"",PUXADA!P47,"")</f>
        <v/>
      </c>
      <c r="I49" s="344" t="str">
        <f>IF(B49&lt;&gt;"",PUXADA!G47,"")</f>
        <v/>
      </c>
      <c r="J49" s="323"/>
      <c r="K49" s="84"/>
      <c r="L49" s="84"/>
      <c r="M49" s="84"/>
      <c r="N49" s="84" t="str">
        <f t="shared" si="10"/>
        <v/>
      </c>
      <c r="O49" s="84"/>
      <c r="P49" s="84"/>
      <c r="Q49" s="85" t="str">
        <f>IF(B49&lt;&gt;"",SUMIFS(RECONVAN!I:I,RECONVAN!$A:$A,HORÁRIO!B49,RECONVAN!$F:$F,HORÁRIO!$Q$2),"")</f>
        <v/>
      </c>
      <c r="R49" s="85" t="str">
        <f>IF(B49&lt;&gt;"",SUMIFS(RECONVAN!I:I,RECONVAN!$A:$A,HORÁRIO!B49,RECONVAN!$F:$F,HORÁRIO!$R$2),"")</f>
        <v/>
      </c>
      <c r="S49" s="85" t="str">
        <f>IF(B49&lt;&gt;"",SUMIFS(RECONVAN!I:I,RECONVAN!$A:$A,HORÁRIO!B49,RECONVAN!$F:$F,HORÁRIO!$S$2),"")</f>
        <v/>
      </c>
      <c r="T49" s="85" t="str">
        <f>IF(B49&lt;&gt;"",SUMIFS(RECONVAN!I:I,RECONVAN!$A:$A,HORÁRIO!B49,RECONVAN!$F:$F,HORÁRIO!$T$2),"")</f>
        <v/>
      </c>
      <c r="U49" s="85" t="str">
        <f>IF(B49&lt;&gt;"",SUMIFS(RECONVAN!I:I,RECONVAN!$A:$A,HORÁRIO!B49,RECONVAN!$F:$F,HORÁRIO!$U$2),"")</f>
        <v/>
      </c>
      <c r="V49" s="85" t="str">
        <f>IF(B49&lt;&gt;"",SUMIFS(RECONVAN!I:I,RECONVAN!$A:$A,HORÁRIO!B49,RECONVAN!$F:$F,HORÁRIO!$V$2),"")</f>
        <v/>
      </c>
      <c r="W49" s="85" t="str">
        <f>IF(B49&lt;&gt;"",SUMIFS(RECONVAN!I:I,RECONVAN!$A:$A,HORÁRIO!B49,RECONVAN!$F:$F,HORÁRIO!$W$2),"")</f>
        <v/>
      </c>
      <c r="X49" s="85" t="str">
        <f>IF(B49&lt;&gt;"",SUMIFS(RECONVAN!I:I,RECONVAN!$A:$A,HORÁRIO!B49,RECONVAN!$F:$F,HORÁRIO!$X$2),"")</f>
        <v/>
      </c>
      <c r="Y49" s="85" t="str">
        <f>IF(B49&lt;&gt;"",SUMIFS(RECONVAN!I:I,RECONVAN!$A:$A,HORÁRIO!B49,RECONVAN!$F:$F,HORÁRIO!$Y$2),"")</f>
        <v/>
      </c>
      <c r="Z49" s="85" t="str">
        <f>IF(B49&lt;&gt;"",SUMIFS(RECONVAN!I:I,RECONVAN!$A:$A,HORÁRIO!B49,RECONVAN!$F:$F,HORÁRIO!$Z$2),"")</f>
        <v/>
      </c>
      <c r="AA49" s="85" t="str">
        <f>IF(B49&lt;&gt;"",SUMIFS(RECONVAN!I:I,RECONVAN!$A:$A,HORÁRIO!B49,RECONVAN!$F:$F,HORÁRIO!$AA$2),"")</f>
        <v/>
      </c>
      <c r="AB49" s="85" t="str">
        <f>IF(B49&lt;&gt;"",SUMIFS(RECONVAN!I:I,RECONVAN!$A:$A,HORÁRIO!B49,RECONVAN!$F:$F,HORÁRIO!$AB$2),"")</f>
        <v/>
      </c>
      <c r="AC49" s="85" t="str">
        <f>IF(B49&lt;&gt;"",SUMIFS(RECONVAN!I:I,RECONVAN!$A:$A,HORÁRIO!B49,RECONVAN!$F:$F,HORÁRIO!$AC$2),"")</f>
        <v/>
      </c>
      <c r="AD49" s="86" t="str">
        <f t="shared" si="8"/>
        <v/>
      </c>
      <c r="AE49" s="86" t="str">
        <f t="shared" si="9"/>
        <v/>
      </c>
    </row>
    <row r="50" spans="1:31" ht="18.75" x14ac:dyDescent="0.3">
      <c r="A50" s="344" t="str">
        <f t="shared" si="7"/>
        <v/>
      </c>
      <c r="B50" s="344" t="str">
        <f>PUXADA!B48</f>
        <v/>
      </c>
      <c r="C50" s="449" t="str">
        <f>IF(B50&lt;&gt;"",_xlfn.XLOOKUP(B50,PUXADA!$B$2:$B$939,PUXADA!$C$2:$C$939,""),"")</f>
        <v/>
      </c>
      <c r="D50" s="345" t="str">
        <f>IF(B50&lt;&gt;"",_xlfn.XLOOKUP(B50,PUXADA!$B$2:$B$939,PUXADA!$I$2:$I$939,""),"")</f>
        <v/>
      </c>
      <c r="E50" s="345" t="str">
        <f>_xlfn.XLOOKUP(D50,'BR''S'!$B$2:$B$104,'BR''S'!$C$2:$C$104,"")</f>
        <v/>
      </c>
      <c r="F50" s="345" t="str">
        <f>_xlfn.XLOOKUP(D50,'BR''S'!$B$2:$B$104,'BR''S'!$H$2:$H$104,"")</f>
        <v/>
      </c>
      <c r="G50" s="345" t="str">
        <f>_xlfn.XLOOKUP(D50,'BR''S'!$B$2:$B$104,'BR''S'!$D$2:$D$104,"")</f>
        <v/>
      </c>
      <c r="H50" s="347" t="str">
        <f>IF(B50&lt;&gt;"",PUXADA!P48,"")</f>
        <v/>
      </c>
      <c r="I50" s="345" t="str">
        <f>IF(B50&lt;&gt;"",PUXADA!G48,"")</f>
        <v/>
      </c>
      <c r="J50" s="322"/>
      <c r="K50" s="87"/>
      <c r="L50" s="87"/>
      <c r="M50" s="87"/>
      <c r="N50" s="87" t="str">
        <f t="shared" si="10"/>
        <v/>
      </c>
      <c r="O50" s="87"/>
      <c r="P50" s="87"/>
      <c r="Q50" s="88" t="str">
        <f>IF(B50&lt;&gt;"",SUMIFS(RECONVAN!I:I,RECONVAN!$A:$A,HORÁRIO!B50,RECONVAN!$F:$F,HORÁRIO!$Q$2),"")</f>
        <v/>
      </c>
      <c r="R50" s="88" t="str">
        <f>IF(B50&lt;&gt;"",SUMIFS(RECONVAN!I:I,RECONVAN!$A:$A,HORÁRIO!B50,RECONVAN!$F:$F,HORÁRIO!$R$2),"")</f>
        <v/>
      </c>
      <c r="S50" s="88" t="str">
        <f>IF(B50&lt;&gt;"",SUMIFS(RECONVAN!I:I,RECONVAN!$A:$A,HORÁRIO!B50,RECONVAN!$F:$F,HORÁRIO!$S$2),"")</f>
        <v/>
      </c>
      <c r="T50" s="88" t="str">
        <f>IF(B50&lt;&gt;"",SUMIFS(RECONVAN!I:I,RECONVAN!$A:$A,HORÁRIO!B50,RECONVAN!$F:$F,HORÁRIO!$T$2),"")</f>
        <v/>
      </c>
      <c r="U50" s="88" t="str">
        <f>IF(B50&lt;&gt;"",SUMIFS(RECONVAN!I:I,RECONVAN!$A:$A,HORÁRIO!B50,RECONVAN!$F:$F,HORÁRIO!$U$2),"")</f>
        <v/>
      </c>
      <c r="V50" s="88" t="str">
        <f>IF(B50&lt;&gt;"",SUMIFS(RECONVAN!I:I,RECONVAN!$A:$A,HORÁRIO!B50,RECONVAN!$F:$F,HORÁRIO!$V$2),"")</f>
        <v/>
      </c>
      <c r="W50" s="88" t="str">
        <f>IF(B50&lt;&gt;"",SUMIFS(RECONVAN!I:I,RECONVAN!$A:$A,HORÁRIO!B50,RECONVAN!$F:$F,HORÁRIO!$W$2),"")</f>
        <v/>
      </c>
      <c r="X50" s="88" t="str">
        <f>IF(B50&lt;&gt;"",SUMIFS(RECONVAN!I:I,RECONVAN!$A:$A,HORÁRIO!B50,RECONVAN!$F:$F,HORÁRIO!$X$2),"")</f>
        <v/>
      </c>
      <c r="Y50" s="88" t="str">
        <f>IF(B50&lt;&gt;"",SUMIFS(RECONVAN!I:I,RECONVAN!$A:$A,HORÁRIO!B50,RECONVAN!$F:$F,HORÁRIO!$Y$2),"")</f>
        <v/>
      </c>
      <c r="Z50" s="88" t="str">
        <f>IF(B50&lt;&gt;"",SUMIFS(RECONVAN!I:I,RECONVAN!$A:$A,HORÁRIO!B50,RECONVAN!$F:$F,HORÁRIO!$Z$2),"")</f>
        <v/>
      </c>
      <c r="AA50" s="88" t="str">
        <f>IF(B50&lt;&gt;"",SUMIFS(RECONVAN!I:I,RECONVAN!$A:$A,HORÁRIO!B50,RECONVAN!$F:$F,HORÁRIO!$AA$2),"")</f>
        <v/>
      </c>
      <c r="AB50" s="88" t="str">
        <f>IF(B50&lt;&gt;"",SUMIFS(RECONVAN!I:I,RECONVAN!$A:$A,HORÁRIO!B50,RECONVAN!$F:$F,HORÁRIO!$AB$2),"")</f>
        <v/>
      </c>
      <c r="AC50" s="88" t="str">
        <f>IF(B50&lt;&gt;"",SUMIFS(RECONVAN!I:I,RECONVAN!$A:$A,HORÁRIO!B50,RECONVAN!$F:$F,HORÁRIO!$AC$2),"")</f>
        <v/>
      </c>
      <c r="AD50" s="89" t="str">
        <f t="shared" si="8"/>
        <v/>
      </c>
      <c r="AE50" s="89" t="str">
        <f t="shared" si="9"/>
        <v/>
      </c>
    </row>
    <row r="51" spans="1:31" ht="18" customHeight="1" x14ac:dyDescent="0.3">
      <c r="A51" s="344" t="str">
        <f t="shared" si="7"/>
        <v/>
      </c>
      <c r="B51" s="344" t="str">
        <f>PUXADA!B49</f>
        <v/>
      </c>
      <c r="C51" s="448" t="str">
        <f>IF(B51&lt;&gt;"",_xlfn.XLOOKUP(B51,PUXADA!$B$2:$B$939,PUXADA!$C$2:$C$939,""),"")</f>
        <v/>
      </c>
      <c r="D51" s="344" t="str">
        <f>IF(B51&lt;&gt;"",_xlfn.XLOOKUP(B51,PUXADA!$B$2:$B$939,PUXADA!$I$2:$I$939,""),"")</f>
        <v/>
      </c>
      <c r="E51" s="344" t="str">
        <f>_xlfn.XLOOKUP(D51,'BR''S'!$B$2:$B$104,'BR''S'!$C$2:$C$104,"")</f>
        <v/>
      </c>
      <c r="F51" s="344" t="str">
        <f>_xlfn.XLOOKUP(D51,'BR''S'!$B$2:$B$104,'BR''S'!$H$2:$H$104,"")</f>
        <v/>
      </c>
      <c r="G51" s="344" t="str">
        <f>_xlfn.XLOOKUP(D51,'BR''S'!$B$2:$B$104,'BR''S'!$D$2:$D$104,"")</f>
        <v/>
      </c>
      <c r="H51" s="346" t="str">
        <f>IF(B51&lt;&gt;"",PUXADA!P49,"")</f>
        <v/>
      </c>
      <c r="I51" s="344" t="str">
        <f>IF(B51&lt;&gt;"",PUXADA!G49,"")</f>
        <v/>
      </c>
      <c r="J51" s="323"/>
      <c r="K51" s="84"/>
      <c r="L51" s="84"/>
      <c r="M51" s="84"/>
      <c r="N51" s="84" t="str">
        <f t="shared" si="10"/>
        <v/>
      </c>
      <c r="O51" s="84"/>
      <c r="P51" s="84"/>
      <c r="Q51" s="85" t="str">
        <f>IF(B51&lt;&gt;"",SUMIFS(RECONVAN!I:I,RECONVAN!$A:$A,HORÁRIO!B51,RECONVAN!$F:$F,HORÁRIO!$Q$2),"")</f>
        <v/>
      </c>
      <c r="R51" s="85" t="str">
        <f>IF(B51&lt;&gt;"",SUMIFS(RECONVAN!I:I,RECONVAN!$A:$A,HORÁRIO!B51,RECONVAN!$F:$F,HORÁRIO!$R$2),"")</f>
        <v/>
      </c>
      <c r="S51" s="85" t="str">
        <f>IF(B51&lt;&gt;"",SUMIFS(RECONVAN!I:I,RECONVAN!$A:$A,HORÁRIO!B51,RECONVAN!$F:$F,HORÁRIO!$S$2),"")</f>
        <v/>
      </c>
      <c r="T51" s="85" t="str">
        <f>IF(B51&lt;&gt;"",SUMIFS(RECONVAN!I:I,RECONVAN!$A:$A,HORÁRIO!B51,RECONVAN!$F:$F,HORÁRIO!$T$2),"")</f>
        <v/>
      </c>
      <c r="U51" s="85" t="str">
        <f>IF(B51&lt;&gt;"",SUMIFS(RECONVAN!I:I,RECONVAN!$A:$A,HORÁRIO!B51,RECONVAN!$F:$F,HORÁRIO!$U$2),"")</f>
        <v/>
      </c>
      <c r="V51" s="85" t="str">
        <f>IF(B51&lt;&gt;"",SUMIFS(RECONVAN!I:I,RECONVAN!$A:$A,HORÁRIO!B51,RECONVAN!$F:$F,HORÁRIO!$V$2),"")</f>
        <v/>
      </c>
      <c r="W51" s="85" t="str">
        <f>IF(B51&lt;&gt;"",SUMIFS(RECONVAN!I:I,RECONVAN!$A:$A,HORÁRIO!B51,RECONVAN!$F:$F,HORÁRIO!$W$2),"")</f>
        <v/>
      </c>
      <c r="X51" s="85" t="str">
        <f>IF(B51&lt;&gt;"",SUMIFS(RECONVAN!I:I,RECONVAN!$A:$A,HORÁRIO!B51,RECONVAN!$F:$F,HORÁRIO!$X$2),"")</f>
        <v/>
      </c>
      <c r="Y51" s="85" t="str">
        <f>IF(B51&lt;&gt;"",SUMIFS(RECONVAN!I:I,RECONVAN!$A:$A,HORÁRIO!B51,RECONVAN!$F:$F,HORÁRIO!$Y$2),"")</f>
        <v/>
      </c>
      <c r="Z51" s="85" t="str">
        <f>IF(B51&lt;&gt;"",SUMIFS(RECONVAN!I:I,RECONVAN!$A:$A,HORÁRIO!B51,RECONVAN!$F:$F,HORÁRIO!$Z$2),"")</f>
        <v/>
      </c>
      <c r="AA51" s="85" t="str">
        <f>IF(B51&lt;&gt;"",SUMIFS(RECONVAN!I:I,RECONVAN!$A:$A,HORÁRIO!B51,RECONVAN!$F:$F,HORÁRIO!$AA$2),"")</f>
        <v/>
      </c>
      <c r="AB51" s="85" t="str">
        <f>IF(B51&lt;&gt;"",SUMIFS(RECONVAN!I:I,RECONVAN!$A:$A,HORÁRIO!B51,RECONVAN!$F:$F,HORÁRIO!$AB$2),"")</f>
        <v/>
      </c>
      <c r="AC51" s="85" t="str">
        <f>IF(B51&lt;&gt;"",SUMIFS(RECONVAN!I:I,RECONVAN!$A:$A,HORÁRIO!B51,RECONVAN!$F:$F,HORÁRIO!$AC$2),"")</f>
        <v/>
      </c>
      <c r="AD51" s="86" t="str">
        <f t="shared" si="8"/>
        <v/>
      </c>
      <c r="AE51" s="86" t="str">
        <f t="shared" si="9"/>
        <v/>
      </c>
    </row>
    <row r="52" spans="1:31" ht="18.75" x14ac:dyDescent="0.3">
      <c r="A52" s="344" t="str">
        <f t="shared" si="7"/>
        <v/>
      </c>
      <c r="B52" s="344" t="str">
        <f>PUXADA!B50</f>
        <v/>
      </c>
      <c r="C52" s="449" t="str">
        <f>IF(B52&lt;&gt;"",_xlfn.XLOOKUP(B52,PUXADA!$B$2:$B$939,PUXADA!$C$2:$C$939,""),"")</f>
        <v/>
      </c>
      <c r="D52" s="345" t="str">
        <f>IF(B52&lt;&gt;"",_xlfn.XLOOKUP(B52,PUXADA!$B$2:$B$939,PUXADA!$I$2:$I$939,""),"")</f>
        <v/>
      </c>
      <c r="E52" s="345" t="str">
        <f>_xlfn.XLOOKUP(D52,'BR''S'!$B$2:$B$104,'BR''S'!$C$2:$C$104,"")</f>
        <v/>
      </c>
      <c r="F52" s="345" t="str">
        <f>_xlfn.XLOOKUP(D52,'BR''S'!$B$2:$B$104,'BR''S'!$H$2:$H$104,"")</f>
        <v/>
      </c>
      <c r="G52" s="345" t="str">
        <f>_xlfn.XLOOKUP(D52,'BR''S'!$B$2:$B$104,'BR''S'!$D$2:$D$104,"")</f>
        <v/>
      </c>
      <c r="H52" s="347" t="str">
        <f>IF(B52&lt;&gt;"",PUXADA!P50,"")</f>
        <v/>
      </c>
      <c r="I52" s="345" t="str">
        <f>IF(B52&lt;&gt;"",PUXADA!G50,"")</f>
        <v/>
      </c>
      <c r="J52" s="322"/>
      <c r="K52" s="87"/>
      <c r="L52" s="87"/>
      <c r="M52" s="87"/>
      <c r="N52" s="87" t="str">
        <f t="shared" si="10"/>
        <v/>
      </c>
      <c r="O52" s="87"/>
      <c r="P52" s="87"/>
      <c r="Q52" s="88" t="str">
        <f>IF(B52&lt;&gt;"",SUMIFS(RECONVAN!I:I,RECONVAN!$A:$A,HORÁRIO!B52,RECONVAN!$F:$F,HORÁRIO!$Q$2),"")</f>
        <v/>
      </c>
      <c r="R52" s="88" t="str">
        <f>IF(B52&lt;&gt;"",SUMIFS(RECONVAN!I:I,RECONVAN!$A:$A,HORÁRIO!B52,RECONVAN!$F:$F,HORÁRIO!$R$2),"")</f>
        <v/>
      </c>
      <c r="S52" s="88" t="str">
        <f>IF(B52&lt;&gt;"",SUMIFS(RECONVAN!I:I,RECONVAN!$A:$A,HORÁRIO!B52,RECONVAN!$F:$F,HORÁRIO!$S$2),"")</f>
        <v/>
      </c>
      <c r="T52" s="88" t="str">
        <f>IF(B52&lt;&gt;"",SUMIFS(RECONVAN!I:I,RECONVAN!$A:$A,HORÁRIO!B52,RECONVAN!$F:$F,HORÁRIO!$T$2),"")</f>
        <v/>
      </c>
      <c r="U52" s="88" t="str">
        <f>IF(B52&lt;&gt;"",SUMIFS(RECONVAN!I:I,RECONVAN!$A:$A,HORÁRIO!B52,RECONVAN!$F:$F,HORÁRIO!$U$2),"")</f>
        <v/>
      </c>
      <c r="V52" s="88" t="str">
        <f>IF(B52&lt;&gt;"",SUMIFS(RECONVAN!I:I,RECONVAN!$A:$A,HORÁRIO!B52,RECONVAN!$F:$F,HORÁRIO!$V$2),"")</f>
        <v/>
      </c>
      <c r="W52" s="88" t="str">
        <f>IF(B52&lt;&gt;"",SUMIFS(RECONVAN!I:I,RECONVAN!$A:$A,HORÁRIO!B52,RECONVAN!$F:$F,HORÁRIO!$W$2),"")</f>
        <v/>
      </c>
      <c r="X52" s="88" t="str">
        <f>IF(B52&lt;&gt;"",SUMIFS(RECONVAN!I:I,RECONVAN!$A:$A,HORÁRIO!B52,RECONVAN!$F:$F,HORÁRIO!$X$2),"")</f>
        <v/>
      </c>
      <c r="Y52" s="88" t="str">
        <f>IF(B52&lt;&gt;"",SUMIFS(RECONVAN!I:I,RECONVAN!$A:$A,HORÁRIO!B52,RECONVAN!$F:$F,HORÁRIO!$Y$2),"")</f>
        <v/>
      </c>
      <c r="Z52" s="88" t="str">
        <f>IF(B52&lt;&gt;"",SUMIFS(RECONVAN!I:I,RECONVAN!$A:$A,HORÁRIO!B52,RECONVAN!$F:$F,HORÁRIO!$Z$2),"")</f>
        <v/>
      </c>
      <c r="AA52" s="88" t="str">
        <f>IF(B52&lt;&gt;"",SUMIFS(RECONVAN!I:I,RECONVAN!$A:$A,HORÁRIO!B52,RECONVAN!$F:$F,HORÁRIO!$AA$2),"")</f>
        <v/>
      </c>
      <c r="AB52" s="88" t="str">
        <f>IF(B52&lt;&gt;"",SUMIFS(RECONVAN!I:I,RECONVAN!$A:$A,HORÁRIO!B52,RECONVAN!$F:$F,HORÁRIO!$AB$2),"")</f>
        <v/>
      </c>
      <c r="AC52" s="88" t="str">
        <f>IF(B52&lt;&gt;"",SUMIFS(RECONVAN!I:I,RECONVAN!$A:$A,HORÁRIO!B52,RECONVAN!$F:$F,HORÁRIO!$AC$2),"")</f>
        <v/>
      </c>
      <c r="AD52" s="89" t="str">
        <f t="shared" si="8"/>
        <v/>
      </c>
      <c r="AE52" s="89" t="str">
        <f t="shared" si="9"/>
        <v/>
      </c>
    </row>
    <row r="53" spans="1:31" ht="18.75" x14ac:dyDescent="0.3">
      <c r="A53" s="344" t="str">
        <f t="shared" si="7"/>
        <v/>
      </c>
      <c r="B53" s="344" t="str">
        <f>PUXADA!B51</f>
        <v/>
      </c>
      <c r="C53" s="448" t="str">
        <f>IF(B53&lt;&gt;"",_xlfn.XLOOKUP(B53,PUXADA!$B$2:$B$939,PUXADA!$C$2:$C$939,""),"")</f>
        <v/>
      </c>
      <c r="D53" s="344" t="str">
        <f>IF(B53&lt;&gt;"",_xlfn.XLOOKUP(B53,PUXADA!$B$2:$B$939,PUXADA!$I$2:$I$939,""),"")</f>
        <v/>
      </c>
      <c r="E53" s="344" t="str">
        <f>_xlfn.XLOOKUP(D53,'BR''S'!$B$2:$B$104,'BR''S'!$C$2:$C$104,"")</f>
        <v/>
      </c>
      <c r="F53" s="344" t="str">
        <f>_xlfn.XLOOKUP(D53,'BR''S'!$B$2:$B$104,'BR''S'!$H$2:$H$104,"")</f>
        <v/>
      </c>
      <c r="G53" s="344" t="str">
        <f>_xlfn.XLOOKUP(D53,'BR''S'!$B$2:$B$104,'BR''S'!$D$2:$D$104,"")</f>
        <v/>
      </c>
      <c r="H53" s="346" t="str">
        <f>IF(B53&lt;&gt;"",PUXADA!P51,"")</f>
        <v/>
      </c>
      <c r="I53" s="344" t="str">
        <f>IF(B53&lt;&gt;"",PUXADA!G51,"")</f>
        <v/>
      </c>
      <c r="J53" s="323"/>
      <c r="K53" s="84"/>
      <c r="L53" s="84"/>
      <c r="M53" s="84"/>
      <c r="N53" s="84" t="str">
        <f t="shared" si="10"/>
        <v/>
      </c>
      <c r="O53" s="84"/>
      <c r="P53" s="84"/>
      <c r="Q53" s="85" t="str">
        <f>IF(B53&lt;&gt;"",SUMIFS(RECONVAN!I:I,RECONVAN!$A:$A,HORÁRIO!B53,RECONVAN!$F:$F,HORÁRIO!$Q$2),"")</f>
        <v/>
      </c>
      <c r="R53" s="85" t="str">
        <f>IF(B53&lt;&gt;"",SUMIFS(RECONVAN!I:I,RECONVAN!$A:$A,HORÁRIO!B53,RECONVAN!$F:$F,HORÁRIO!$R$2),"")</f>
        <v/>
      </c>
      <c r="S53" s="85" t="str">
        <f>IF(B53&lt;&gt;"",SUMIFS(RECONVAN!I:I,RECONVAN!$A:$A,HORÁRIO!B53,RECONVAN!$F:$F,HORÁRIO!$S$2),"")</f>
        <v/>
      </c>
      <c r="T53" s="85" t="str">
        <f>IF(B53&lt;&gt;"",SUMIFS(RECONVAN!I:I,RECONVAN!$A:$A,HORÁRIO!B53,RECONVAN!$F:$F,HORÁRIO!$T$2),"")</f>
        <v/>
      </c>
      <c r="U53" s="85" t="str">
        <f>IF(B53&lt;&gt;"",SUMIFS(RECONVAN!I:I,RECONVAN!$A:$A,HORÁRIO!B53,RECONVAN!$F:$F,HORÁRIO!$U$2),"")</f>
        <v/>
      </c>
      <c r="V53" s="85" t="str">
        <f>IF(B53&lt;&gt;"",SUMIFS(RECONVAN!I:I,RECONVAN!$A:$A,HORÁRIO!B53,RECONVAN!$F:$F,HORÁRIO!$V$2),"")</f>
        <v/>
      </c>
      <c r="W53" s="85" t="str">
        <f>IF(B53&lt;&gt;"",SUMIFS(RECONVAN!I:I,RECONVAN!$A:$A,HORÁRIO!B53,RECONVAN!$F:$F,HORÁRIO!$W$2),"")</f>
        <v/>
      </c>
      <c r="X53" s="85" t="str">
        <f>IF(B53&lt;&gt;"",SUMIFS(RECONVAN!I:I,RECONVAN!$A:$A,HORÁRIO!B53,RECONVAN!$F:$F,HORÁRIO!$X$2),"")</f>
        <v/>
      </c>
      <c r="Y53" s="85" t="str">
        <f>IF(B53&lt;&gt;"",SUMIFS(RECONVAN!I:I,RECONVAN!$A:$A,HORÁRIO!B53,RECONVAN!$F:$F,HORÁRIO!$Y$2),"")</f>
        <v/>
      </c>
      <c r="Z53" s="85" t="str">
        <f>IF(B53&lt;&gt;"",SUMIFS(RECONVAN!I:I,RECONVAN!$A:$A,HORÁRIO!B53,RECONVAN!$F:$F,HORÁRIO!$Z$2),"")</f>
        <v/>
      </c>
      <c r="AA53" s="85" t="str">
        <f>IF(B53&lt;&gt;"",SUMIFS(RECONVAN!I:I,RECONVAN!$A:$A,HORÁRIO!B53,RECONVAN!$F:$F,HORÁRIO!$AA$2),"")</f>
        <v/>
      </c>
      <c r="AB53" s="85" t="str">
        <f>IF(B53&lt;&gt;"",SUMIFS(RECONVAN!I:I,RECONVAN!$A:$A,HORÁRIO!B53,RECONVAN!$F:$F,HORÁRIO!$AB$2),"")</f>
        <v/>
      </c>
      <c r="AC53" s="85" t="str">
        <f>IF(B53&lt;&gt;"",SUMIFS(RECONVAN!I:I,RECONVAN!$A:$A,HORÁRIO!B53,RECONVAN!$F:$F,HORÁRIO!$AC$2),"")</f>
        <v/>
      </c>
      <c r="AD53" s="86" t="str">
        <f t="shared" si="8"/>
        <v/>
      </c>
      <c r="AE53" s="86" t="str">
        <f t="shared" si="9"/>
        <v/>
      </c>
    </row>
    <row r="54" spans="1:31" ht="18.75" x14ac:dyDescent="0.3">
      <c r="A54" s="344" t="str">
        <f t="shared" si="7"/>
        <v/>
      </c>
      <c r="B54" s="344" t="str">
        <f>PUXADA!B52</f>
        <v/>
      </c>
      <c r="C54" s="449" t="str">
        <f>IF(B54&lt;&gt;"",_xlfn.XLOOKUP(B54,PUXADA!$B$2:$B$939,PUXADA!$C$2:$C$939,""),"")</f>
        <v/>
      </c>
      <c r="D54" s="345" t="str">
        <f>IF(B54&lt;&gt;"",_xlfn.XLOOKUP(B54,PUXADA!$B$2:$B$939,PUXADA!$I$2:$I$939,""),"")</f>
        <v/>
      </c>
      <c r="E54" s="345" t="str">
        <f>_xlfn.XLOOKUP(D54,'BR''S'!$B$2:$B$104,'BR''S'!$C$2:$C$104,"")</f>
        <v/>
      </c>
      <c r="F54" s="345" t="str">
        <f>_xlfn.XLOOKUP(D54,'BR''S'!$B$2:$B$104,'BR''S'!$H$2:$H$104,"")</f>
        <v/>
      </c>
      <c r="G54" s="345" t="str">
        <f>_xlfn.XLOOKUP(D54,'BR''S'!$B$2:$B$104,'BR''S'!$D$2:$D$104,"")</f>
        <v/>
      </c>
      <c r="H54" s="347" t="str">
        <f>IF(B54&lt;&gt;"",PUXADA!P52,"")</f>
        <v/>
      </c>
      <c r="I54" s="345" t="str">
        <f>IF(B54&lt;&gt;"",PUXADA!G52,"")</f>
        <v/>
      </c>
      <c r="J54" s="322"/>
      <c r="K54" s="87"/>
      <c r="L54" s="87"/>
      <c r="M54" s="87"/>
      <c r="N54" s="87" t="str">
        <f t="shared" si="10"/>
        <v/>
      </c>
      <c r="O54" s="87"/>
      <c r="P54" s="87"/>
      <c r="Q54" s="88" t="str">
        <f>IF(B54&lt;&gt;"",SUMIFS(RECONVAN!I:I,RECONVAN!$A:$A,HORÁRIO!B54,RECONVAN!$F:$F,HORÁRIO!$Q$2),"")</f>
        <v/>
      </c>
      <c r="R54" s="88" t="str">
        <f>IF(B54&lt;&gt;"",SUMIFS(RECONVAN!I:I,RECONVAN!$A:$A,HORÁRIO!B54,RECONVAN!$F:$F,HORÁRIO!$R$2),"")</f>
        <v/>
      </c>
      <c r="S54" s="88" t="str">
        <f>IF(B54&lt;&gt;"",SUMIFS(RECONVAN!I:I,RECONVAN!$A:$A,HORÁRIO!B54,RECONVAN!$F:$F,HORÁRIO!$S$2),"")</f>
        <v/>
      </c>
      <c r="T54" s="88" t="str">
        <f>IF(B54&lt;&gt;"",SUMIFS(RECONVAN!I:I,RECONVAN!$A:$A,HORÁRIO!B54,RECONVAN!$F:$F,HORÁRIO!$T$2),"")</f>
        <v/>
      </c>
      <c r="U54" s="88" t="str">
        <f>IF(B54&lt;&gt;"",SUMIFS(RECONVAN!I:I,RECONVAN!$A:$A,HORÁRIO!B54,RECONVAN!$F:$F,HORÁRIO!$U$2),"")</f>
        <v/>
      </c>
      <c r="V54" s="88" t="str">
        <f>IF(B54&lt;&gt;"",SUMIFS(RECONVAN!I:I,RECONVAN!$A:$A,HORÁRIO!B54,RECONVAN!$F:$F,HORÁRIO!$V$2),"")</f>
        <v/>
      </c>
      <c r="W54" s="88" t="str">
        <f>IF(B54&lt;&gt;"",SUMIFS(RECONVAN!I:I,RECONVAN!$A:$A,HORÁRIO!B54,RECONVAN!$F:$F,HORÁRIO!$W$2),"")</f>
        <v/>
      </c>
      <c r="X54" s="88" t="str">
        <f>IF(B54&lt;&gt;"",SUMIFS(RECONVAN!I:I,RECONVAN!$A:$A,HORÁRIO!B54,RECONVAN!$F:$F,HORÁRIO!$X$2),"")</f>
        <v/>
      </c>
      <c r="Y54" s="88" t="str">
        <f>IF(B54&lt;&gt;"",SUMIFS(RECONVAN!I:I,RECONVAN!$A:$A,HORÁRIO!B54,RECONVAN!$F:$F,HORÁRIO!$Y$2),"")</f>
        <v/>
      </c>
      <c r="Z54" s="88" t="str">
        <f>IF(B54&lt;&gt;"",SUMIFS(RECONVAN!I:I,RECONVAN!$A:$A,HORÁRIO!B54,RECONVAN!$F:$F,HORÁRIO!$Z$2),"")</f>
        <v/>
      </c>
      <c r="AA54" s="88" t="str">
        <f>IF(B54&lt;&gt;"",SUMIFS(RECONVAN!I:I,RECONVAN!$A:$A,HORÁRIO!B54,RECONVAN!$F:$F,HORÁRIO!$AA$2),"")</f>
        <v/>
      </c>
      <c r="AB54" s="88" t="str">
        <f>IF(B54&lt;&gt;"",SUMIFS(RECONVAN!I:I,RECONVAN!$A:$A,HORÁRIO!B54,RECONVAN!$F:$F,HORÁRIO!$AB$2),"")</f>
        <v/>
      </c>
      <c r="AC54" s="88" t="str">
        <f>IF(B54&lt;&gt;"",SUMIFS(RECONVAN!I:I,RECONVAN!$A:$A,HORÁRIO!B54,RECONVAN!$F:$F,HORÁRIO!$AC$2),"")</f>
        <v/>
      </c>
      <c r="AD54" s="89" t="str">
        <f t="shared" si="8"/>
        <v/>
      </c>
      <c r="AE54" s="89" t="str">
        <f t="shared" si="9"/>
        <v/>
      </c>
    </row>
    <row r="55" spans="1:31" ht="18.75" x14ac:dyDescent="0.3">
      <c r="A55" s="344" t="str">
        <f t="shared" si="7"/>
        <v/>
      </c>
      <c r="B55" s="344" t="str">
        <f>PUXADA!B53</f>
        <v/>
      </c>
      <c r="C55" s="448" t="str">
        <f>IF(B55&lt;&gt;"",_xlfn.XLOOKUP(B55,PUXADA!$B$2:$B$939,PUXADA!$C$2:$C$939,""),"")</f>
        <v/>
      </c>
      <c r="D55" s="344" t="str">
        <f>IF(B55&lt;&gt;"",_xlfn.XLOOKUP(B55,PUXADA!$B$2:$B$939,PUXADA!$I$2:$I$939,""),"")</f>
        <v/>
      </c>
      <c r="E55" s="344" t="str">
        <f>_xlfn.XLOOKUP(D55,'BR''S'!$B$2:$B$104,'BR''S'!$C$2:$C$104,"")</f>
        <v/>
      </c>
      <c r="F55" s="344" t="str">
        <f>_xlfn.XLOOKUP(D55,'BR''S'!$B$2:$B$104,'BR''S'!$H$2:$H$104,"")</f>
        <v/>
      </c>
      <c r="G55" s="344" t="str">
        <f>_xlfn.XLOOKUP(D55,'BR''S'!$B$2:$B$104,'BR''S'!$D$2:$D$104,"")</f>
        <v/>
      </c>
      <c r="H55" s="346" t="str">
        <f>IF(B55&lt;&gt;"",PUXADA!P53,"")</f>
        <v/>
      </c>
      <c r="I55" s="344" t="str">
        <f>IF(B55&lt;&gt;"",PUXADA!G53,"")</f>
        <v/>
      </c>
      <c r="J55" s="323"/>
      <c r="K55" s="84"/>
      <c r="L55" s="84"/>
      <c r="M55" s="84"/>
      <c r="N55" s="84" t="str">
        <f t="shared" si="10"/>
        <v/>
      </c>
      <c r="O55" s="84"/>
      <c r="P55" s="84"/>
      <c r="Q55" s="85" t="str">
        <f>IF(B55&lt;&gt;"",SUMIFS(RECONVAN!I:I,RECONVAN!$A:$A,HORÁRIO!B55,RECONVAN!$F:$F,HORÁRIO!$Q$2),"")</f>
        <v/>
      </c>
      <c r="R55" s="85" t="str">
        <f>IF(B55&lt;&gt;"",SUMIFS(RECONVAN!I:I,RECONVAN!$A:$A,HORÁRIO!B55,RECONVAN!$F:$F,HORÁRIO!$R$2),"")</f>
        <v/>
      </c>
      <c r="S55" s="85" t="str">
        <f>IF(B55&lt;&gt;"",SUMIFS(RECONVAN!I:I,RECONVAN!$A:$A,HORÁRIO!B55,RECONVAN!$F:$F,HORÁRIO!$S$2),"")</f>
        <v/>
      </c>
      <c r="T55" s="85" t="str">
        <f>IF(B55&lt;&gt;"",SUMIFS(RECONVAN!I:I,RECONVAN!$A:$A,HORÁRIO!B55,RECONVAN!$F:$F,HORÁRIO!$T$2),"")</f>
        <v/>
      </c>
      <c r="U55" s="85" t="str">
        <f>IF(B55&lt;&gt;"",SUMIFS(RECONVAN!I:I,RECONVAN!$A:$A,HORÁRIO!B55,RECONVAN!$F:$F,HORÁRIO!$U$2),"")</f>
        <v/>
      </c>
      <c r="V55" s="85" t="str">
        <f>IF(B55&lt;&gt;"",SUMIFS(RECONVAN!I:I,RECONVAN!$A:$A,HORÁRIO!B55,RECONVAN!$F:$F,HORÁRIO!$V$2),"")</f>
        <v/>
      </c>
      <c r="W55" s="85" t="str">
        <f>IF(B55&lt;&gt;"",SUMIFS(RECONVAN!I:I,RECONVAN!$A:$A,HORÁRIO!B55,RECONVAN!$F:$F,HORÁRIO!$W$2),"")</f>
        <v/>
      </c>
      <c r="X55" s="85" t="str">
        <f>IF(B55&lt;&gt;"",SUMIFS(RECONVAN!I:I,RECONVAN!$A:$A,HORÁRIO!B55,RECONVAN!$F:$F,HORÁRIO!$X$2),"")</f>
        <v/>
      </c>
      <c r="Y55" s="85" t="str">
        <f>IF(B55&lt;&gt;"",SUMIFS(RECONVAN!I:I,RECONVAN!$A:$A,HORÁRIO!B55,RECONVAN!$F:$F,HORÁRIO!$Y$2),"")</f>
        <v/>
      </c>
      <c r="Z55" s="85" t="str">
        <f>IF(B55&lt;&gt;"",SUMIFS(RECONVAN!I:I,RECONVAN!$A:$A,HORÁRIO!B55,RECONVAN!$F:$F,HORÁRIO!$Z$2),"")</f>
        <v/>
      </c>
      <c r="AA55" s="85" t="str">
        <f>IF(B55&lt;&gt;"",SUMIFS(RECONVAN!I:I,RECONVAN!$A:$A,HORÁRIO!B55,RECONVAN!$F:$F,HORÁRIO!$AA$2),"")</f>
        <v/>
      </c>
      <c r="AB55" s="85" t="str">
        <f>IF(B55&lt;&gt;"",SUMIFS(RECONVAN!I:I,RECONVAN!$A:$A,HORÁRIO!B55,RECONVAN!$F:$F,HORÁRIO!$AB$2),"")</f>
        <v/>
      </c>
      <c r="AC55" s="85" t="str">
        <f>IF(B55&lt;&gt;"",SUMIFS(RECONVAN!I:I,RECONVAN!$A:$A,HORÁRIO!B55,RECONVAN!$F:$F,HORÁRIO!$AC$2),"")</f>
        <v/>
      </c>
      <c r="AD55" s="86" t="str">
        <f t="shared" si="8"/>
        <v/>
      </c>
      <c r="AE55" s="86" t="str">
        <f t="shared" si="9"/>
        <v/>
      </c>
    </row>
    <row r="56" spans="1:31" ht="18.75" x14ac:dyDescent="0.3">
      <c r="A56" s="344" t="str">
        <f t="shared" si="7"/>
        <v/>
      </c>
      <c r="B56" s="344" t="str">
        <f>PUXADA!B54</f>
        <v/>
      </c>
      <c r="C56" s="448" t="str">
        <f>IF(B56&lt;&gt;"",_xlfn.XLOOKUP(B56,PUXADA!$B$2:$B$939,PUXADA!$C$2:$C$939,""),"")</f>
        <v/>
      </c>
      <c r="D56" s="344" t="str">
        <f>IF(B56&lt;&gt;"",_xlfn.XLOOKUP(B56,PUXADA!$B$2:$B$939,PUXADA!$I$2:$I$939,""),"")</f>
        <v/>
      </c>
      <c r="E56" s="345" t="str">
        <f>_xlfn.XLOOKUP(D56,'BR''S'!$B$2:$B$104,'BR''S'!$C$2:$C$104,"")</f>
        <v/>
      </c>
      <c r="F56" s="345" t="str">
        <f>_xlfn.XLOOKUP(D56,'BR''S'!$B$2:$B$104,'BR''S'!$H$2:$H$104,"")</f>
        <v/>
      </c>
      <c r="G56" s="345" t="str">
        <f>_xlfn.XLOOKUP(D56,'BR''S'!$B$2:$B$104,'BR''S'!$D$2:$D$104,"")</f>
        <v/>
      </c>
      <c r="H56" s="347" t="str">
        <f>IF(B56&lt;&gt;"",PUXADA!P54,"")</f>
        <v/>
      </c>
      <c r="I56" s="345" t="str">
        <f>IF(B56&lt;&gt;"",PUXADA!G54,"")</f>
        <v/>
      </c>
      <c r="J56" s="322"/>
      <c r="K56" s="87"/>
      <c r="L56" s="87"/>
      <c r="M56" s="87"/>
      <c r="N56" s="87" t="str">
        <f t="shared" si="10"/>
        <v/>
      </c>
      <c r="O56" s="87"/>
      <c r="P56" s="87"/>
      <c r="Q56" s="88" t="str">
        <f>IF(B56&lt;&gt;"",SUMIFS(RECONVAN!I:I,RECONVAN!$A:$A,HORÁRIO!B56,RECONVAN!$F:$F,HORÁRIO!$Q$2),"")</f>
        <v/>
      </c>
      <c r="R56" s="88" t="str">
        <f>IF(B56&lt;&gt;"",SUMIFS(RECONVAN!I:I,RECONVAN!$A:$A,HORÁRIO!B56,RECONVAN!$F:$F,HORÁRIO!$R$2),"")</f>
        <v/>
      </c>
      <c r="S56" s="88" t="str">
        <f>IF(B56&lt;&gt;"",SUMIFS(RECONVAN!I:I,RECONVAN!$A:$A,HORÁRIO!B56,RECONVAN!$F:$F,HORÁRIO!$S$2),"")</f>
        <v/>
      </c>
      <c r="T56" s="88" t="str">
        <f>IF(B56&lt;&gt;"",SUMIFS(RECONVAN!I:I,RECONVAN!$A:$A,HORÁRIO!B56,RECONVAN!$F:$F,HORÁRIO!$T$2),"")</f>
        <v/>
      </c>
      <c r="U56" s="88" t="str">
        <f>IF(B56&lt;&gt;"",SUMIFS(RECONVAN!I:I,RECONVAN!$A:$A,HORÁRIO!B56,RECONVAN!$F:$F,HORÁRIO!$U$2),"")</f>
        <v/>
      </c>
      <c r="V56" s="88" t="str">
        <f>IF(B56&lt;&gt;"",SUMIFS(RECONVAN!I:I,RECONVAN!$A:$A,HORÁRIO!B56,RECONVAN!$F:$F,HORÁRIO!$V$2),"")</f>
        <v/>
      </c>
      <c r="W56" s="88" t="str">
        <f>IF(B56&lt;&gt;"",SUMIFS(RECONVAN!I:I,RECONVAN!$A:$A,HORÁRIO!B56,RECONVAN!$F:$F,HORÁRIO!$W$2),"")</f>
        <v/>
      </c>
      <c r="X56" s="88" t="str">
        <f>IF(B56&lt;&gt;"",SUMIFS(RECONVAN!I:I,RECONVAN!$A:$A,HORÁRIO!B56,RECONVAN!$F:$F,HORÁRIO!$X$2),"")</f>
        <v/>
      </c>
      <c r="Y56" s="88" t="str">
        <f>IF(B56&lt;&gt;"",SUMIFS(RECONVAN!I:I,RECONVAN!$A:$A,HORÁRIO!B56,RECONVAN!$F:$F,HORÁRIO!$Y$2),"")</f>
        <v/>
      </c>
      <c r="Z56" s="88" t="str">
        <f>IF(B56&lt;&gt;"",SUMIFS(RECONVAN!I:I,RECONVAN!$A:$A,HORÁRIO!B56,RECONVAN!$F:$F,HORÁRIO!$Z$2),"")</f>
        <v/>
      </c>
      <c r="AA56" s="88" t="str">
        <f>IF(B56&lt;&gt;"",SUMIFS(RECONVAN!I:I,RECONVAN!$A:$A,HORÁRIO!B56,RECONVAN!$F:$F,HORÁRIO!$AA$2),"")</f>
        <v/>
      </c>
      <c r="AB56" s="88" t="str">
        <f>IF(B56&lt;&gt;"",SUMIFS(RECONVAN!I:I,RECONVAN!$A:$A,HORÁRIO!B56,RECONVAN!$F:$F,HORÁRIO!$AB$2),"")</f>
        <v/>
      </c>
      <c r="AC56" s="88" t="str">
        <f>IF(B56&lt;&gt;"",SUMIFS(RECONVAN!I:I,RECONVAN!$A:$A,HORÁRIO!B56,RECONVAN!$F:$F,HORÁRIO!$AC$2),"")</f>
        <v/>
      </c>
      <c r="AD56" s="89" t="str">
        <f t="shared" si="8"/>
        <v/>
      </c>
      <c r="AE56" s="89" t="str">
        <f t="shared" si="9"/>
        <v/>
      </c>
    </row>
    <row r="57" spans="1:31" ht="18.75" x14ac:dyDescent="0.3">
      <c r="A57" s="344" t="str">
        <f t="shared" si="7"/>
        <v/>
      </c>
      <c r="B57" s="344" t="str">
        <f>PUXADA!B55</f>
        <v/>
      </c>
      <c r="C57" s="448" t="str">
        <f>IF(B57&lt;&gt;"",_xlfn.XLOOKUP(B57,PUXADA!$B$2:$B$939,PUXADA!$C$2:$C$939,""),"")</f>
        <v/>
      </c>
      <c r="D57" s="344" t="str">
        <f>IF(B57&lt;&gt;"",_xlfn.XLOOKUP(B57,PUXADA!$B$2:$B$939,PUXADA!$I$2:$I$939,""),"")</f>
        <v/>
      </c>
      <c r="E57" s="344" t="str">
        <f>_xlfn.XLOOKUP(D57,'BR''S'!$B$2:$B$104,'BR''S'!$C$2:$C$104,"")</f>
        <v/>
      </c>
      <c r="F57" s="344" t="str">
        <f>_xlfn.XLOOKUP(D57,'BR''S'!$B$2:$B$104,'BR''S'!$H$2:$H$104,"")</f>
        <v/>
      </c>
      <c r="G57" s="344" t="str">
        <f>_xlfn.XLOOKUP(D57,'BR''S'!$B$2:$B$104,'BR''S'!$D$2:$D$104,"")</f>
        <v/>
      </c>
      <c r="H57" s="346" t="str">
        <f>IF(B57&lt;&gt;"",PUXADA!P55,"")</f>
        <v/>
      </c>
      <c r="I57" s="344" t="str">
        <f>IF(B57&lt;&gt;"",PUXADA!G55,"")</f>
        <v/>
      </c>
      <c r="J57" s="561"/>
      <c r="K57" s="84"/>
      <c r="L57" s="84"/>
      <c r="M57" s="84"/>
      <c r="N57" s="84" t="str">
        <f t="shared" si="10"/>
        <v/>
      </c>
      <c r="O57" s="84"/>
      <c r="P57" s="84"/>
      <c r="Q57" s="85" t="str">
        <f>IF(B57&lt;&gt;"",SUMIFS(RECONVAN!I:I,RECONVAN!$A:$A,HORÁRIO!B57,RECONVAN!$F:$F,HORÁRIO!$Q$2),"")</f>
        <v/>
      </c>
      <c r="R57" s="85" t="str">
        <f>IF(B57&lt;&gt;"",SUMIFS(RECONVAN!I:I,RECONVAN!$A:$A,HORÁRIO!B57,RECONVAN!$F:$F,HORÁRIO!$R$2),"")</f>
        <v/>
      </c>
      <c r="S57" s="85" t="str">
        <f>IF(B57&lt;&gt;"",SUMIFS(RECONVAN!I:I,RECONVAN!$A:$A,HORÁRIO!B57,RECONVAN!$F:$F,HORÁRIO!$S$2),"")</f>
        <v/>
      </c>
      <c r="T57" s="85" t="str">
        <f>IF(B57&lt;&gt;"",SUMIFS(RECONVAN!I:I,RECONVAN!$A:$A,HORÁRIO!B57,RECONVAN!$F:$F,HORÁRIO!$T$2),"")</f>
        <v/>
      </c>
      <c r="U57" s="85" t="str">
        <f>IF(B57&lt;&gt;"",SUMIFS(RECONVAN!I:I,RECONVAN!$A:$A,HORÁRIO!B57,RECONVAN!$F:$F,HORÁRIO!$U$2),"")</f>
        <v/>
      </c>
      <c r="V57" s="85" t="str">
        <f>IF(B57&lt;&gt;"",SUMIFS(RECONVAN!I:I,RECONVAN!$A:$A,HORÁRIO!B57,RECONVAN!$F:$F,HORÁRIO!$V$2),"")</f>
        <v/>
      </c>
      <c r="W57" s="85" t="str">
        <f>IF(B57&lt;&gt;"",SUMIFS(RECONVAN!I:I,RECONVAN!$A:$A,HORÁRIO!B57,RECONVAN!$F:$F,HORÁRIO!$W$2),"")</f>
        <v/>
      </c>
      <c r="X57" s="85" t="str">
        <f>IF(B57&lt;&gt;"",SUMIFS(RECONVAN!I:I,RECONVAN!$A:$A,HORÁRIO!B57,RECONVAN!$F:$F,HORÁRIO!$X$2),"")</f>
        <v/>
      </c>
      <c r="Y57" s="85" t="str">
        <f>IF(B57&lt;&gt;"",SUMIFS(RECONVAN!I:I,RECONVAN!$A:$A,HORÁRIO!B57,RECONVAN!$F:$F,HORÁRIO!$Y$2),"")</f>
        <v/>
      </c>
      <c r="Z57" s="85" t="str">
        <f>IF(B57&lt;&gt;"",SUMIFS(RECONVAN!I:I,RECONVAN!$A:$A,HORÁRIO!B57,RECONVAN!$F:$F,HORÁRIO!$Z$2),"")</f>
        <v/>
      </c>
      <c r="AA57" s="85" t="str">
        <f>IF(B57&lt;&gt;"",SUMIFS(RECONVAN!I:I,RECONVAN!$A:$A,HORÁRIO!B57,RECONVAN!$F:$F,HORÁRIO!$AA$2),"")</f>
        <v/>
      </c>
      <c r="AB57" s="85" t="str">
        <f>IF(B57&lt;&gt;"",SUMIFS(RECONVAN!I:I,RECONVAN!$A:$A,HORÁRIO!B57,RECONVAN!$F:$F,HORÁRIO!$AB$2),"")</f>
        <v/>
      </c>
      <c r="AC57" s="85" t="str">
        <f>IF(B57&lt;&gt;"",SUMIFS(RECONVAN!I:I,RECONVAN!$A:$A,HORÁRIO!B57,RECONVAN!$F:$F,HORÁRIO!$AC$2),"")</f>
        <v/>
      </c>
      <c r="AD57" s="86" t="str">
        <f t="shared" si="8"/>
        <v/>
      </c>
      <c r="AE57" s="86" t="str">
        <f t="shared" si="9"/>
        <v/>
      </c>
    </row>
    <row r="58" spans="1:31" ht="18.75" x14ac:dyDescent="0.3">
      <c r="A58" s="344" t="str">
        <f t="shared" si="7"/>
        <v/>
      </c>
      <c r="B58" s="344" t="str">
        <f>PUXADA!B56</f>
        <v/>
      </c>
      <c r="C58" s="448" t="str">
        <f>IF(B58&lt;&gt;"",_xlfn.XLOOKUP(B58,PUXADA!$B$2:$B$939,PUXADA!$C$2:$C$939,""),"")</f>
        <v/>
      </c>
      <c r="D58" s="344" t="str">
        <f>IF(B58&lt;&gt;"",_xlfn.XLOOKUP(B58,PUXADA!$B$2:$B$939,PUXADA!$I$2:$I$939,""),"")</f>
        <v/>
      </c>
      <c r="E58" s="345" t="str">
        <f>_xlfn.XLOOKUP(D58,'BR''S'!$B$2:$B$104,'BR''S'!$C$2:$C$104,"")</f>
        <v/>
      </c>
      <c r="F58" s="345" t="str">
        <f>_xlfn.XLOOKUP(D58,'BR''S'!$B$2:$B$104,'BR''S'!$H$2:$H$104,"")</f>
        <v/>
      </c>
      <c r="G58" s="345" t="str">
        <f>_xlfn.XLOOKUP(D58,'BR''S'!$B$2:$B$104,'BR''S'!$D$2:$D$104,"")</f>
        <v/>
      </c>
      <c r="H58" s="347" t="str">
        <f>IF(B58&lt;&gt;"",PUXADA!P56,"")</f>
        <v/>
      </c>
      <c r="I58" s="345" t="str">
        <f>IF(B58&lt;&gt;"",PUXADA!G56,"")</f>
        <v/>
      </c>
      <c r="J58" s="322"/>
      <c r="K58" s="87"/>
      <c r="L58" s="87"/>
      <c r="M58" s="87"/>
      <c r="N58" s="87" t="str">
        <f t="shared" si="10"/>
        <v/>
      </c>
      <c r="O58" s="87"/>
      <c r="P58" s="87"/>
      <c r="Q58" s="88" t="str">
        <f>IF(B58&lt;&gt;"",SUMIFS(RECONVAN!I:I,RECONVAN!$A:$A,HORÁRIO!B58,RECONVAN!$F:$F,HORÁRIO!$Q$2),"")</f>
        <v/>
      </c>
      <c r="R58" s="88" t="str">
        <f>IF(B58&lt;&gt;"",SUMIFS(RECONVAN!I:I,RECONVAN!$A:$A,HORÁRIO!B58,RECONVAN!$F:$F,HORÁRIO!$R$2),"")</f>
        <v/>
      </c>
      <c r="S58" s="88" t="str">
        <f>IF(B58&lt;&gt;"",SUMIFS(RECONVAN!I:I,RECONVAN!$A:$A,HORÁRIO!B58,RECONVAN!$F:$F,HORÁRIO!$S$2),"")</f>
        <v/>
      </c>
      <c r="T58" s="88" t="str">
        <f>IF(B58&lt;&gt;"",SUMIFS(RECONVAN!I:I,RECONVAN!$A:$A,HORÁRIO!B58,RECONVAN!$F:$F,HORÁRIO!$T$2),"")</f>
        <v/>
      </c>
      <c r="U58" s="88" t="str">
        <f>IF(B58&lt;&gt;"",SUMIFS(RECONVAN!I:I,RECONVAN!$A:$A,HORÁRIO!B58,RECONVAN!$F:$F,HORÁRIO!$U$2),"")</f>
        <v/>
      </c>
      <c r="V58" s="88" t="str">
        <f>IF(B58&lt;&gt;"",SUMIFS(RECONVAN!I:I,RECONVAN!$A:$A,HORÁRIO!B58,RECONVAN!$F:$F,HORÁRIO!$V$2),"")</f>
        <v/>
      </c>
      <c r="W58" s="88" t="str">
        <f>IF(B58&lt;&gt;"",SUMIFS(RECONVAN!I:I,RECONVAN!$A:$A,HORÁRIO!B58,RECONVAN!$F:$F,HORÁRIO!$W$2),"")</f>
        <v/>
      </c>
      <c r="X58" s="88" t="str">
        <f>IF(B58&lt;&gt;"",SUMIFS(RECONVAN!I:I,RECONVAN!$A:$A,HORÁRIO!B58,RECONVAN!$F:$F,HORÁRIO!$X$2),"")</f>
        <v/>
      </c>
      <c r="Y58" s="88" t="str">
        <f>IF(B58&lt;&gt;"",SUMIFS(RECONVAN!I:I,RECONVAN!$A:$A,HORÁRIO!B58,RECONVAN!$F:$F,HORÁRIO!$Y$2),"")</f>
        <v/>
      </c>
      <c r="Z58" s="88" t="str">
        <f>IF(B58&lt;&gt;"",SUMIFS(RECONVAN!I:I,RECONVAN!$A:$A,HORÁRIO!B58,RECONVAN!$F:$F,HORÁRIO!$Z$2),"")</f>
        <v/>
      </c>
      <c r="AA58" s="88" t="str">
        <f>IF(B58&lt;&gt;"",SUMIFS(RECONVAN!I:I,RECONVAN!$A:$A,HORÁRIO!B58,RECONVAN!$F:$F,HORÁRIO!$AA$2),"")</f>
        <v/>
      </c>
      <c r="AB58" s="88" t="str">
        <f>IF(B58&lt;&gt;"",SUMIFS(RECONVAN!I:I,RECONVAN!$A:$A,HORÁRIO!B58,RECONVAN!$F:$F,HORÁRIO!$AB$2),"")</f>
        <v/>
      </c>
      <c r="AC58" s="88" t="str">
        <f>IF(B58&lt;&gt;"",SUMIFS(RECONVAN!I:I,RECONVAN!$A:$A,HORÁRIO!B58,RECONVAN!$F:$F,HORÁRIO!$AC$2),"")</f>
        <v/>
      </c>
      <c r="AD58" s="89" t="str">
        <f t="shared" si="8"/>
        <v/>
      </c>
      <c r="AE58" s="89" t="str">
        <f t="shared" si="9"/>
        <v/>
      </c>
    </row>
    <row r="59" spans="1:31" ht="18.75" x14ac:dyDescent="0.3">
      <c r="A59" s="344" t="str">
        <f t="shared" si="7"/>
        <v/>
      </c>
      <c r="B59" s="344" t="str">
        <f>PUXADA!B57</f>
        <v/>
      </c>
      <c r="C59" s="448" t="str">
        <f>IF(B59&lt;&gt;"",_xlfn.XLOOKUP(B59,PUXADA!$B$2:$B$939,PUXADA!$C$2:$C$939,""),"")</f>
        <v/>
      </c>
      <c r="D59" s="344" t="str">
        <f>IF(B59&lt;&gt;"",_xlfn.XLOOKUP(B59,PUXADA!$B$2:$B$939,PUXADA!$I$2:$I$939,""),"")</f>
        <v/>
      </c>
      <c r="E59" s="344" t="str">
        <f>_xlfn.XLOOKUP(D59,'BR''S'!$B$2:$B$104,'BR''S'!$C$2:$C$104,"")</f>
        <v/>
      </c>
      <c r="F59" s="344" t="str">
        <f>_xlfn.XLOOKUP(D59,'BR''S'!$B$2:$B$104,'BR''S'!$H$2:$H$104,"")</f>
        <v/>
      </c>
      <c r="G59" s="344" t="str">
        <f>_xlfn.XLOOKUP(D59,'BR''S'!$B$2:$B$104,'BR''S'!$D$2:$D$104,"")</f>
        <v/>
      </c>
      <c r="H59" s="346" t="str">
        <f>IF(B59&lt;&gt;"",PUXADA!P57,"")</f>
        <v/>
      </c>
      <c r="I59" s="344" t="str">
        <f>IF(B59&lt;&gt;"",PUXADA!G57,"")</f>
        <v/>
      </c>
      <c r="J59" s="561"/>
      <c r="K59" s="84"/>
      <c r="L59" s="84"/>
      <c r="M59" s="84"/>
      <c r="N59" s="84" t="str">
        <f t="shared" si="10"/>
        <v/>
      </c>
      <c r="O59" s="84"/>
      <c r="P59" s="84"/>
      <c r="Q59" s="85" t="str">
        <f>IF(B59&lt;&gt;"",SUMIFS(RECONVAN!I:I,RECONVAN!$A:$A,HORÁRIO!B59,RECONVAN!$F:$F,HORÁRIO!$Q$2),"")</f>
        <v/>
      </c>
      <c r="R59" s="85" t="str">
        <f>IF(B59&lt;&gt;"",SUMIFS(RECONVAN!I:I,RECONVAN!$A:$A,HORÁRIO!B59,RECONVAN!$F:$F,HORÁRIO!$R$2),"")</f>
        <v/>
      </c>
      <c r="S59" s="85" t="str">
        <f>IF(B59&lt;&gt;"",SUMIFS(RECONVAN!I:I,RECONVAN!$A:$A,HORÁRIO!B59,RECONVAN!$F:$F,HORÁRIO!$S$2),"")</f>
        <v/>
      </c>
      <c r="T59" s="85" t="str">
        <f>IF(B59&lt;&gt;"",SUMIFS(RECONVAN!I:I,RECONVAN!$A:$A,HORÁRIO!B59,RECONVAN!$F:$F,HORÁRIO!$T$2),"")</f>
        <v/>
      </c>
      <c r="U59" s="85" t="str">
        <f>IF(B59&lt;&gt;"",SUMIFS(RECONVAN!I:I,RECONVAN!$A:$A,HORÁRIO!B59,RECONVAN!$F:$F,HORÁRIO!$U$2),"")</f>
        <v/>
      </c>
      <c r="V59" s="85" t="str">
        <f>IF(B59&lt;&gt;"",SUMIFS(RECONVAN!I:I,RECONVAN!$A:$A,HORÁRIO!B59,RECONVAN!$F:$F,HORÁRIO!$V$2),"")</f>
        <v/>
      </c>
      <c r="W59" s="85" t="str">
        <f>IF(B59&lt;&gt;"",SUMIFS(RECONVAN!I:I,RECONVAN!$A:$A,HORÁRIO!B59,RECONVAN!$F:$F,HORÁRIO!$W$2),"")</f>
        <v/>
      </c>
      <c r="X59" s="85" t="str">
        <f>IF(B59&lt;&gt;"",SUMIFS(RECONVAN!I:I,RECONVAN!$A:$A,HORÁRIO!B59,RECONVAN!$F:$F,HORÁRIO!$X$2),"")</f>
        <v/>
      </c>
      <c r="Y59" s="85" t="str">
        <f>IF(B59&lt;&gt;"",SUMIFS(RECONVAN!I:I,RECONVAN!$A:$A,HORÁRIO!B59,RECONVAN!$F:$F,HORÁRIO!$Y$2),"")</f>
        <v/>
      </c>
      <c r="Z59" s="85" t="str">
        <f>IF(B59&lt;&gt;"",SUMIFS(RECONVAN!I:I,RECONVAN!$A:$A,HORÁRIO!B59,RECONVAN!$F:$F,HORÁRIO!$Z$2),"")</f>
        <v/>
      </c>
      <c r="AA59" s="85" t="str">
        <f>IF(B59&lt;&gt;"",SUMIFS(RECONVAN!I:I,RECONVAN!$A:$A,HORÁRIO!B59,RECONVAN!$F:$F,HORÁRIO!$AA$2),"")</f>
        <v/>
      </c>
      <c r="AB59" s="85" t="str">
        <f>IF(B59&lt;&gt;"",SUMIFS(RECONVAN!I:I,RECONVAN!$A:$A,HORÁRIO!B59,RECONVAN!$F:$F,HORÁRIO!$AB$2),"")</f>
        <v/>
      </c>
      <c r="AC59" s="85" t="str">
        <f>IF(B59&lt;&gt;"",SUMIFS(RECONVAN!I:I,RECONVAN!$A:$A,HORÁRIO!B59,RECONVAN!$F:$F,HORÁRIO!$AC$2),"")</f>
        <v/>
      </c>
      <c r="AD59" s="86" t="str">
        <f t="shared" si="8"/>
        <v/>
      </c>
      <c r="AE59" s="86" t="str">
        <f t="shared" si="9"/>
        <v/>
      </c>
    </row>
    <row r="60" spans="1:31" ht="18.75" x14ac:dyDescent="0.3">
      <c r="A60" s="344" t="str">
        <f t="shared" si="7"/>
        <v/>
      </c>
      <c r="B60" s="344" t="str">
        <f>PUXADA!B58</f>
        <v/>
      </c>
      <c r="C60" s="448" t="str">
        <f>IF(B60&lt;&gt;"",_xlfn.XLOOKUP(B60,PUXADA!$B$2:$B$939,PUXADA!$C$2:$C$939,""),"")</f>
        <v/>
      </c>
      <c r="D60" s="344" t="str">
        <f>IF(B60&lt;&gt;"",_xlfn.XLOOKUP(B60,PUXADA!$B$2:$B$939,PUXADA!$I$2:$I$939,""),"")</f>
        <v/>
      </c>
      <c r="E60" s="345" t="str">
        <f>_xlfn.XLOOKUP(D60,'BR''S'!$B$2:$B$104,'BR''S'!$C$2:$C$104,"")</f>
        <v/>
      </c>
      <c r="F60" s="345" t="str">
        <f>_xlfn.XLOOKUP(D60,'BR''S'!$B$2:$B$104,'BR''S'!$H$2:$H$104,"")</f>
        <v/>
      </c>
      <c r="G60" s="345" t="str">
        <f>_xlfn.XLOOKUP(D60,'BR''S'!$B$2:$B$104,'BR''S'!$D$2:$D$104,"")</f>
        <v/>
      </c>
      <c r="H60" s="347" t="str">
        <f>IF(B60&lt;&gt;"",PUXADA!P58,"")</f>
        <v/>
      </c>
      <c r="I60" s="345" t="str">
        <f>IF(B60&lt;&gt;"",PUXADA!G58,"")</f>
        <v/>
      </c>
      <c r="J60" s="322"/>
      <c r="K60" s="87"/>
      <c r="L60" s="87"/>
      <c r="M60" s="87"/>
      <c r="N60" s="87" t="str">
        <f t="shared" si="10"/>
        <v/>
      </c>
      <c r="O60" s="87"/>
      <c r="P60" s="87"/>
      <c r="Q60" s="88" t="str">
        <f>IF(B60&lt;&gt;"",SUMIFS(RECONVAN!I:I,RECONVAN!$A:$A,HORÁRIO!B60,RECONVAN!$F:$F,HORÁRIO!$Q$2),"")</f>
        <v/>
      </c>
      <c r="R60" s="88" t="str">
        <f>IF(B60&lt;&gt;"",SUMIFS(RECONVAN!I:I,RECONVAN!$A:$A,HORÁRIO!B60,RECONVAN!$F:$F,HORÁRIO!$R$2),"")</f>
        <v/>
      </c>
      <c r="S60" s="88" t="str">
        <f>IF(B60&lt;&gt;"",SUMIFS(RECONVAN!I:I,RECONVAN!$A:$A,HORÁRIO!B60,RECONVAN!$F:$F,HORÁRIO!$S$2),"")</f>
        <v/>
      </c>
      <c r="T60" s="88" t="str">
        <f>IF(B60&lt;&gt;"",SUMIFS(RECONVAN!I:I,RECONVAN!$A:$A,HORÁRIO!B60,RECONVAN!$F:$F,HORÁRIO!$T$2),"")</f>
        <v/>
      </c>
      <c r="U60" s="88" t="str">
        <f>IF(B60&lt;&gt;"",SUMIFS(RECONVAN!I:I,RECONVAN!$A:$A,HORÁRIO!B60,RECONVAN!$F:$F,HORÁRIO!$U$2),"")</f>
        <v/>
      </c>
      <c r="V60" s="88" t="str">
        <f>IF(B60&lt;&gt;"",SUMIFS(RECONVAN!I:I,RECONVAN!$A:$A,HORÁRIO!B60,RECONVAN!$F:$F,HORÁRIO!$V$2),"")</f>
        <v/>
      </c>
      <c r="W60" s="88" t="str">
        <f>IF(B60&lt;&gt;"",SUMIFS(RECONVAN!I:I,RECONVAN!$A:$A,HORÁRIO!B60,RECONVAN!$F:$F,HORÁRIO!$W$2),"")</f>
        <v/>
      </c>
      <c r="X60" s="88" t="str">
        <f>IF(B60&lt;&gt;"",SUMIFS(RECONVAN!I:I,RECONVAN!$A:$A,HORÁRIO!B60,RECONVAN!$F:$F,HORÁRIO!$X$2),"")</f>
        <v/>
      </c>
      <c r="Y60" s="88" t="str">
        <f>IF(B60&lt;&gt;"",SUMIFS(RECONVAN!I:I,RECONVAN!$A:$A,HORÁRIO!B60,RECONVAN!$F:$F,HORÁRIO!$Y$2),"")</f>
        <v/>
      </c>
      <c r="Z60" s="88" t="str">
        <f>IF(B60&lt;&gt;"",SUMIFS(RECONVAN!I:I,RECONVAN!$A:$A,HORÁRIO!B60,RECONVAN!$F:$F,HORÁRIO!$Z$2),"")</f>
        <v/>
      </c>
      <c r="AA60" s="88" t="str">
        <f>IF(B60&lt;&gt;"",SUMIFS(RECONVAN!I:I,RECONVAN!$A:$A,HORÁRIO!B60,RECONVAN!$F:$F,HORÁRIO!$AA$2),"")</f>
        <v/>
      </c>
      <c r="AB60" s="88" t="str">
        <f>IF(B60&lt;&gt;"",SUMIFS(RECONVAN!I:I,RECONVAN!$A:$A,HORÁRIO!B60,RECONVAN!$F:$F,HORÁRIO!$AB$2),"")</f>
        <v/>
      </c>
      <c r="AC60" s="88" t="str">
        <f>IF(B60&lt;&gt;"",SUMIFS(RECONVAN!I:I,RECONVAN!$A:$A,HORÁRIO!B60,RECONVAN!$F:$F,HORÁRIO!$AC$2),"")</f>
        <v/>
      </c>
      <c r="AD60" s="89" t="str">
        <f t="shared" si="8"/>
        <v/>
      </c>
      <c r="AE60" s="89" t="str">
        <f t="shared" si="9"/>
        <v/>
      </c>
    </row>
    <row r="61" spans="1:31" ht="18.75" x14ac:dyDescent="0.3">
      <c r="A61" s="344" t="str">
        <f t="shared" si="7"/>
        <v/>
      </c>
      <c r="B61" s="344" t="str">
        <f>PUXADA!B59</f>
        <v/>
      </c>
      <c r="C61" s="448" t="str">
        <f>IF(B61&lt;&gt;"",_xlfn.XLOOKUP(B61,PUXADA!$B$2:$B$939,PUXADA!$C$2:$C$939,""),"")</f>
        <v/>
      </c>
      <c r="D61" s="344" t="str">
        <f>IF(B61&lt;&gt;"",_xlfn.XLOOKUP(B61,PUXADA!$B$2:$B$939,PUXADA!$I$2:$I$939,""),"")</f>
        <v/>
      </c>
      <c r="E61" s="344" t="str">
        <f>_xlfn.XLOOKUP(D61,'BR''S'!$B$2:$B$104,'BR''S'!$C$2:$C$104,"")</f>
        <v/>
      </c>
      <c r="F61" s="344" t="str">
        <f>_xlfn.XLOOKUP(D61,'BR''S'!$B$2:$B$104,'BR''S'!$H$2:$H$104,"")</f>
        <v/>
      </c>
      <c r="G61" s="344" t="str">
        <f>_xlfn.XLOOKUP(D61,'BR''S'!$B$2:$B$104,'BR''S'!$D$2:$D$104,"")</f>
        <v/>
      </c>
      <c r="H61" s="346" t="str">
        <f>IF(B61&lt;&gt;"",PUXADA!P59,"")</f>
        <v/>
      </c>
      <c r="I61" s="344" t="str">
        <f>IF(B61&lt;&gt;"",PUXADA!G59,"")</f>
        <v/>
      </c>
      <c r="J61" s="561"/>
      <c r="K61" s="84"/>
      <c r="L61" s="84"/>
      <c r="M61" s="84"/>
      <c r="N61" s="84" t="str">
        <f t="shared" si="10"/>
        <v/>
      </c>
      <c r="O61" s="84"/>
      <c r="P61" s="84"/>
      <c r="Q61" s="85" t="str">
        <f>IF(B61&lt;&gt;"",SUMIFS(RECONVAN!I:I,RECONVAN!$A:$A,HORÁRIO!B61,RECONVAN!$F:$F,HORÁRIO!$Q$2),"")</f>
        <v/>
      </c>
      <c r="R61" s="85" t="str">
        <f>IF(B61&lt;&gt;"",SUMIFS(RECONVAN!I:I,RECONVAN!$A:$A,HORÁRIO!B61,RECONVAN!$F:$F,HORÁRIO!$R$2),"")</f>
        <v/>
      </c>
      <c r="S61" s="85" t="str">
        <f>IF(B61&lt;&gt;"",SUMIFS(RECONVAN!I:I,RECONVAN!$A:$A,HORÁRIO!B61,RECONVAN!$F:$F,HORÁRIO!$S$2),"")</f>
        <v/>
      </c>
      <c r="T61" s="85" t="str">
        <f>IF(B61&lt;&gt;"",SUMIFS(RECONVAN!I:I,RECONVAN!$A:$A,HORÁRIO!B61,RECONVAN!$F:$F,HORÁRIO!$T$2),"")</f>
        <v/>
      </c>
      <c r="U61" s="85" t="str">
        <f>IF(B61&lt;&gt;"",SUMIFS(RECONVAN!I:I,RECONVAN!$A:$A,HORÁRIO!B61,RECONVAN!$F:$F,HORÁRIO!$U$2),"")</f>
        <v/>
      </c>
      <c r="V61" s="85" t="str">
        <f>IF(B61&lt;&gt;"",SUMIFS(RECONVAN!I:I,RECONVAN!$A:$A,HORÁRIO!B61,RECONVAN!$F:$F,HORÁRIO!$V$2),"")</f>
        <v/>
      </c>
      <c r="W61" s="85" t="str">
        <f>IF(B61&lt;&gt;"",SUMIFS(RECONVAN!I:I,RECONVAN!$A:$A,HORÁRIO!B61,RECONVAN!$F:$F,HORÁRIO!$W$2),"")</f>
        <v/>
      </c>
      <c r="X61" s="85" t="str">
        <f>IF(B61&lt;&gt;"",SUMIFS(RECONVAN!I:I,RECONVAN!$A:$A,HORÁRIO!B61,RECONVAN!$F:$F,HORÁRIO!$X$2),"")</f>
        <v/>
      </c>
      <c r="Y61" s="85" t="str">
        <f>IF(B61&lt;&gt;"",SUMIFS(RECONVAN!I:I,RECONVAN!$A:$A,HORÁRIO!B61,RECONVAN!$F:$F,HORÁRIO!$Y$2),"")</f>
        <v/>
      </c>
      <c r="Z61" s="85" t="str">
        <f>IF(B61&lt;&gt;"",SUMIFS(RECONVAN!I:I,RECONVAN!$A:$A,HORÁRIO!B61,RECONVAN!$F:$F,HORÁRIO!$Z$2),"")</f>
        <v/>
      </c>
      <c r="AA61" s="85" t="str">
        <f>IF(B61&lt;&gt;"",SUMIFS(RECONVAN!I:I,RECONVAN!$A:$A,HORÁRIO!B61,RECONVAN!$F:$F,HORÁRIO!$AA$2),"")</f>
        <v/>
      </c>
      <c r="AB61" s="85" t="str">
        <f>IF(B61&lt;&gt;"",SUMIFS(RECONVAN!I:I,RECONVAN!$A:$A,HORÁRIO!B61,RECONVAN!$F:$F,HORÁRIO!$AB$2),"")</f>
        <v/>
      </c>
      <c r="AC61" s="85" t="str">
        <f>IF(B61&lt;&gt;"",SUMIFS(RECONVAN!I:I,RECONVAN!$A:$A,HORÁRIO!B61,RECONVAN!$F:$F,HORÁRIO!$AC$2),"")</f>
        <v/>
      </c>
      <c r="AD61" s="86" t="str">
        <f t="shared" si="8"/>
        <v/>
      </c>
      <c r="AE61" s="86" t="str">
        <f t="shared" si="9"/>
        <v/>
      </c>
    </row>
    <row r="62" spans="1:31" ht="18.75" x14ac:dyDescent="0.3">
      <c r="A62" s="344" t="str">
        <f t="shared" si="7"/>
        <v/>
      </c>
      <c r="B62" s="344" t="str">
        <f>PUXADA!B60</f>
        <v/>
      </c>
      <c r="C62" s="448" t="str">
        <f>IF(B62&lt;&gt;"",_xlfn.XLOOKUP(B62,PUXADA!$B$2:$B$939,PUXADA!$C$2:$C$939,""),"")</f>
        <v/>
      </c>
      <c r="D62" s="344" t="str">
        <f>IF(B62&lt;&gt;"",_xlfn.XLOOKUP(B62,PUXADA!$B$2:$B$939,PUXADA!$I$2:$I$939,""),"")</f>
        <v/>
      </c>
      <c r="E62" s="345" t="str">
        <f>_xlfn.XLOOKUP(D62,'BR''S'!$B$2:$B$104,'BR''S'!$C$2:$C$104,"")</f>
        <v/>
      </c>
      <c r="F62" s="345" t="str">
        <f>_xlfn.XLOOKUP(D62,'BR''S'!$B$2:$B$104,'BR''S'!$H$2:$H$104,"")</f>
        <v/>
      </c>
      <c r="G62" s="345" t="str">
        <f>_xlfn.XLOOKUP(D62,'BR''S'!$B$2:$B$104,'BR''S'!$D$2:$D$104,"")</f>
        <v/>
      </c>
      <c r="H62" s="347" t="str">
        <f>IF(B62&lt;&gt;"",PUXADA!P60,"")</f>
        <v/>
      </c>
      <c r="I62" s="345" t="str">
        <f>IF(B62&lt;&gt;"",PUXADA!G60,"")</f>
        <v/>
      </c>
      <c r="J62" s="322"/>
      <c r="K62" s="87"/>
      <c r="L62" s="87"/>
      <c r="M62" s="87"/>
      <c r="N62" s="87" t="str">
        <f t="shared" si="10"/>
        <v/>
      </c>
      <c r="O62" s="87"/>
      <c r="P62" s="87"/>
      <c r="Q62" s="88" t="str">
        <f>IF(B62&lt;&gt;"",SUMIFS(RECONVAN!I:I,RECONVAN!$A:$A,HORÁRIO!B62,RECONVAN!$F:$F,HORÁRIO!$Q$2),"")</f>
        <v/>
      </c>
      <c r="R62" s="88" t="str">
        <f>IF(B62&lt;&gt;"",SUMIFS(RECONVAN!I:I,RECONVAN!$A:$A,HORÁRIO!B62,RECONVAN!$F:$F,HORÁRIO!$R$2),"")</f>
        <v/>
      </c>
      <c r="S62" s="88" t="str">
        <f>IF(B62&lt;&gt;"",SUMIFS(RECONVAN!I:I,RECONVAN!$A:$A,HORÁRIO!B62,RECONVAN!$F:$F,HORÁRIO!$S$2),"")</f>
        <v/>
      </c>
      <c r="T62" s="88" t="str">
        <f>IF(B62&lt;&gt;"",SUMIFS(RECONVAN!I:I,RECONVAN!$A:$A,HORÁRIO!B62,RECONVAN!$F:$F,HORÁRIO!$T$2),"")</f>
        <v/>
      </c>
      <c r="U62" s="88" t="str">
        <f>IF(B62&lt;&gt;"",SUMIFS(RECONVAN!I:I,RECONVAN!$A:$A,HORÁRIO!B62,RECONVAN!$F:$F,HORÁRIO!$U$2),"")</f>
        <v/>
      </c>
      <c r="V62" s="88" t="str">
        <f>IF(B62&lt;&gt;"",SUMIFS(RECONVAN!I:I,RECONVAN!$A:$A,HORÁRIO!B62,RECONVAN!$F:$F,HORÁRIO!$V$2),"")</f>
        <v/>
      </c>
      <c r="W62" s="88" t="str">
        <f>IF(B62&lt;&gt;"",SUMIFS(RECONVAN!I:I,RECONVAN!$A:$A,HORÁRIO!B62,RECONVAN!$F:$F,HORÁRIO!$W$2),"")</f>
        <v/>
      </c>
      <c r="X62" s="88" t="str">
        <f>IF(B62&lt;&gt;"",SUMIFS(RECONVAN!I:I,RECONVAN!$A:$A,HORÁRIO!B62,RECONVAN!$F:$F,HORÁRIO!$X$2),"")</f>
        <v/>
      </c>
      <c r="Y62" s="88" t="str">
        <f>IF(B62&lt;&gt;"",SUMIFS(RECONVAN!I:I,RECONVAN!$A:$A,HORÁRIO!B62,RECONVAN!$F:$F,HORÁRIO!$Y$2),"")</f>
        <v/>
      </c>
      <c r="Z62" s="88" t="str">
        <f>IF(B62&lt;&gt;"",SUMIFS(RECONVAN!I:I,RECONVAN!$A:$A,HORÁRIO!B62,RECONVAN!$F:$F,HORÁRIO!$Z$2),"")</f>
        <v/>
      </c>
      <c r="AA62" s="88" t="str">
        <f>IF(B62&lt;&gt;"",SUMIFS(RECONVAN!I:I,RECONVAN!$A:$A,HORÁRIO!B62,RECONVAN!$F:$F,HORÁRIO!$AA$2),"")</f>
        <v/>
      </c>
      <c r="AB62" s="88" t="str">
        <f>IF(B62&lt;&gt;"",SUMIFS(RECONVAN!I:I,RECONVAN!$A:$A,HORÁRIO!B62,RECONVAN!$F:$F,HORÁRIO!$AB$2),"")</f>
        <v/>
      </c>
      <c r="AC62" s="88" t="str">
        <f>IF(B62&lt;&gt;"",SUMIFS(RECONVAN!I:I,RECONVAN!$A:$A,HORÁRIO!B62,RECONVAN!$F:$F,HORÁRIO!$AC$2),"")</f>
        <v/>
      </c>
      <c r="AD62" s="89" t="str">
        <f t="shared" si="8"/>
        <v/>
      </c>
      <c r="AE62" s="89" t="str">
        <f t="shared" si="9"/>
        <v/>
      </c>
    </row>
    <row r="63" spans="1:31" ht="18.75" x14ac:dyDescent="0.3">
      <c r="A63" s="344" t="str">
        <f t="shared" si="7"/>
        <v/>
      </c>
      <c r="B63" s="344" t="str">
        <f>PUXADA!B61</f>
        <v/>
      </c>
      <c r="C63" s="448" t="str">
        <f>IF(B63&lt;&gt;"",_xlfn.XLOOKUP(B63,PUXADA!$B$2:$B$939,PUXADA!$C$2:$C$939,""),"")</f>
        <v/>
      </c>
      <c r="D63" s="344" t="str">
        <f>IF(B63&lt;&gt;"",_xlfn.XLOOKUP(B63,PUXADA!$B$2:$B$939,PUXADA!$I$2:$I$939,""),"")</f>
        <v/>
      </c>
      <c r="E63" s="344" t="str">
        <f>_xlfn.XLOOKUP(D63,'BR''S'!$B$2:$B$104,'BR''S'!$C$2:$C$104,"")</f>
        <v/>
      </c>
      <c r="F63" s="344" t="str">
        <f>_xlfn.XLOOKUP(D63,'BR''S'!$B$2:$B$104,'BR''S'!$H$2:$H$104,"")</f>
        <v/>
      </c>
      <c r="G63" s="344" t="str">
        <f>_xlfn.XLOOKUP(D63,'BR''S'!$B$2:$B$104,'BR''S'!$D$2:$D$104,"")</f>
        <v/>
      </c>
      <c r="H63" s="346" t="str">
        <f>IF(B63&lt;&gt;"",PUXADA!P61,"")</f>
        <v/>
      </c>
      <c r="I63" s="344" t="str">
        <f>IF(B63&lt;&gt;"",PUXADA!G61,"")</f>
        <v/>
      </c>
      <c r="J63" s="561"/>
      <c r="K63" s="84"/>
      <c r="L63" s="84"/>
      <c r="M63" s="84"/>
      <c r="N63" s="84" t="str">
        <f t="shared" si="10"/>
        <v/>
      </c>
      <c r="O63" s="84"/>
      <c r="P63" s="84"/>
      <c r="Q63" s="85" t="str">
        <f>IF(B63&lt;&gt;"",SUMIFS(RECONVAN!I:I,RECONVAN!$A:$A,HORÁRIO!B63,RECONVAN!$F:$F,HORÁRIO!$Q$2),"")</f>
        <v/>
      </c>
      <c r="R63" s="85" t="str">
        <f>IF(B63&lt;&gt;"",SUMIFS(RECONVAN!I:I,RECONVAN!$A:$A,HORÁRIO!B63,RECONVAN!$F:$F,HORÁRIO!$R$2),"")</f>
        <v/>
      </c>
      <c r="S63" s="85" t="str">
        <f>IF(B63&lt;&gt;"",SUMIFS(RECONVAN!I:I,RECONVAN!$A:$A,HORÁRIO!B63,RECONVAN!$F:$F,HORÁRIO!$S$2),"")</f>
        <v/>
      </c>
      <c r="T63" s="85" t="str">
        <f>IF(B63&lt;&gt;"",SUMIFS(RECONVAN!I:I,RECONVAN!$A:$A,HORÁRIO!B63,RECONVAN!$F:$F,HORÁRIO!$T$2),"")</f>
        <v/>
      </c>
      <c r="U63" s="85" t="str">
        <f>IF(B63&lt;&gt;"",SUMIFS(RECONVAN!I:I,RECONVAN!$A:$A,HORÁRIO!B63,RECONVAN!$F:$F,HORÁRIO!$U$2),"")</f>
        <v/>
      </c>
      <c r="V63" s="85" t="str">
        <f>IF(B63&lt;&gt;"",SUMIFS(RECONVAN!I:I,RECONVAN!$A:$A,HORÁRIO!B63,RECONVAN!$F:$F,HORÁRIO!$V$2),"")</f>
        <v/>
      </c>
      <c r="W63" s="85" t="str">
        <f>IF(B63&lt;&gt;"",SUMIFS(RECONVAN!I:I,RECONVAN!$A:$A,HORÁRIO!B63,RECONVAN!$F:$F,HORÁRIO!$W$2),"")</f>
        <v/>
      </c>
      <c r="X63" s="85" t="str">
        <f>IF(B63&lt;&gt;"",SUMIFS(RECONVAN!I:I,RECONVAN!$A:$A,HORÁRIO!B63,RECONVAN!$F:$F,HORÁRIO!$X$2),"")</f>
        <v/>
      </c>
      <c r="Y63" s="85" t="str">
        <f>IF(B63&lt;&gt;"",SUMIFS(RECONVAN!I:I,RECONVAN!$A:$A,HORÁRIO!B63,RECONVAN!$F:$F,HORÁRIO!$Y$2),"")</f>
        <v/>
      </c>
      <c r="Z63" s="85" t="str">
        <f>IF(B63&lt;&gt;"",SUMIFS(RECONVAN!I:I,RECONVAN!$A:$A,HORÁRIO!B63,RECONVAN!$F:$F,HORÁRIO!$Z$2),"")</f>
        <v/>
      </c>
      <c r="AA63" s="85" t="str">
        <f>IF(B63&lt;&gt;"",SUMIFS(RECONVAN!I:I,RECONVAN!$A:$A,HORÁRIO!B63,RECONVAN!$F:$F,HORÁRIO!$AA$2),"")</f>
        <v/>
      </c>
      <c r="AB63" s="85" t="str">
        <f>IF(B63&lt;&gt;"",SUMIFS(RECONVAN!I:I,RECONVAN!$A:$A,HORÁRIO!B63,RECONVAN!$F:$F,HORÁRIO!$AB$2),"")</f>
        <v/>
      </c>
      <c r="AC63" s="85" t="str">
        <f>IF(B63&lt;&gt;"",SUMIFS(RECONVAN!I:I,RECONVAN!$A:$A,HORÁRIO!B63,RECONVAN!$F:$F,HORÁRIO!$AC$2),"")</f>
        <v/>
      </c>
      <c r="AD63" s="86" t="str">
        <f t="shared" si="8"/>
        <v/>
      </c>
      <c r="AE63" s="86" t="str">
        <f t="shared" si="9"/>
        <v/>
      </c>
    </row>
    <row r="64" spans="1:31" ht="18.75" x14ac:dyDescent="0.3">
      <c r="A64" s="344" t="str">
        <f t="shared" si="7"/>
        <v/>
      </c>
      <c r="B64" s="344" t="str">
        <f>PUXADA!B62</f>
        <v/>
      </c>
      <c r="C64" s="448" t="str">
        <f>IF(B64&lt;&gt;"",_xlfn.XLOOKUP(B64,PUXADA!$B$2:$B$939,PUXADA!$C$2:$C$939,""),"")</f>
        <v/>
      </c>
      <c r="D64" s="344" t="str">
        <f>IF(B64&lt;&gt;"",_xlfn.XLOOKUP(B64,PUXADA!$B$2:$B$939,PUXADA!$I$2:$I$939,""),"")</f>
        <v/>
      </c>
      <c r="E64" s="345" t="str">
        <f>_xlfn.XLOOKUP(D64,'BR''S'!$B$2:$B$104,'BR''S'!$C$2:$C$104,"")</f>
        <v/>
      </c>
      <c r="F64" s="345" t="str">
        <f>_xlfn.XLOOKUP(D64,'BR''S'!$B$2:$B$104,'BR''S'!$H$2:$H$104,"")</f>
        <v/>
      </c>
      <c r="G64" s="345" t="str">
        <f>_xlfn.XLOOKUP(D64,'BR''S'!$B$2:$B$104,'BR''S'!$D$2:$D$104,"")</f>
        <v/>
      </c>
      <c r="H64" s="347" t="str">
        <f>IF(B64&lt;&gt;"",PUXADA!P62,"")</f>
        <v/>
      </c>
      <c r="I64" s="345" t="str">
        <f>IF(B64&lt;&gt;"",PUXADA!G62,"")</f>
        <v/>
      </c>
      <c r="J64" s="322"/>
      <c r="K64" s="87"/>
      <c r="L64" s="87"/>
      <c r="M64" s="87"/>
      <c r="N64" s="87" t="str">
        <f t="shared" si="10"/>
        <v/>
      </c>
      <c r="O64" s="87"/>
      <c r="P64" s="87"/>
      <c r="Q64" s="88" t="str">
        <f>IF(B64&lt;&gt;"",SUMIFS(RECONVAN!I:I,RECONVAN!$A:$A,HORÁRIO!B64,RECONVAN!$F:$F,HORÁRIO!$Q$2),"")</f>
        <v/>
      </c>
      <c r="R64" s="88" t="str">
        <f>IF(B64&lt;&gt;"",SUMIFS(RECONVAN!I:I,RECONVAN!$A:$A,HORÁRIO!B64,RECONVAN!$F:$F,HORÁRIO!$R$2),"")</f>
        <v/>
      </c>
      <c r="S64" s="88" t="str">
        <f>IF(B64&lt;&gt;"",SUMIFS(RECONVAN!I:I,RECONVAN!$A:$A,HORÁRIO!B64,RECONVAN!$F:$F,HORÁRIO!$S$2),"")</f>
        <v/>
      </c>
      <c r="T64" s="88" t="str">
        <f>IF(B64&lt;&gt;"",SUMIFS(RECONVAN!I:I,RECONVAN!$A:$A,HORÁRIO!B64,RECONVAN!$F:$F,HORÁRIO!$T$2),"")</f>
        <v/>
      </c>
      <c r="U64" s="88" t="str">
        <f>IF(B64&lt;&gt;"",SUMIFS(RECONVAN!I:I,RECONVAN!$A:$A,HORÁRIO!B64,RECONVAN!$F:$F,HORÁRIO!$U$2),"")</f>
        <v/>
      </c>
      <c r="V64" s="88" t="str">
        <f>IF(B64&lt;&gt;"",SUMIFS(RECONVAN!I:I,RECONVAN!$A:$A,HORÁRIO!B64,RECONVAN!$F:$F,HORÁRIO!$V$2),"")</f>
        <v/>
      </c>
      <c r="W64" s="88" t="str">
        <f>IF(B64&lt;&gt;"",SUMIFS(RECONVAN!I:I,RECONVAN!$A:$A,HORÁRIO!B64,RECONVAN!$F:$F,HORÁRIO!$W$2),"")</f>
        <v/>
      </c>
      <c r="X64" s="88" t="str">
        <f>IF(B64&lt;&gt;"",SUMIFS(RECONVAN!I:I,RECONVAN!$A:$A,HORÁRIO!B64,RECONVAN!$F:$F,HORÁRIO!$X$2),"")</f>
        <v/>
      </c>
      <c r="Y64" s="88" t="str">
        <f>IF(B64&lt;&gt;"",SUMIFS(RECONVAN!I:I,RECONVAN!$A:$A,HORÁRIO!B64,RECONVAN!$F:$F,HORÁRIO!$Y$2),"")</f>
        <v/>
      </c>
      <c r="Z64" s="88" t="str">
        <f>IF(B64&lt;&gt;"",SUMIFS(RECONVAN!I:I,RECONVAN!$A:$A,HORÁRIO!B64,RECONVAN!$F:$F,HORÁRIO!$Z$2),"")</f>
        <v/>
      </c>
      <c r="AA64" s="88" t="str">
        <f>IF(B64&lt;&gt;"",SUMIFS(RECONVAN!I:I,RECONVAN!$A:$A,HORÁRIO!B64,RECONVAN!$F:$F,HORÁRIO!$AA$2),"")</f>
        <v/>
      </c>
      <c r="AB64" s="88" t="str">
        <f>IF(B64&lt;&gt;"",SUMIFS(RECONVAN!I:I,RECONVAN!$A:$A,HORÁRIO!B64,RECONVAN!$F:$F,HORÁRIO!$AB$2),"")</f>
        <v/>
      </c>
      <c r="AC64" s="88" t="str">
        <f>IF(B64&lt;&gt;"",SUMIFS(RECONVAN!I:I,RECONVAN!$A:$A,HORÁRIO!B64,RECONVAN!$F:$F,HORÁRIO!$AC$2),"")</f>
        <v/>
      </c>
      <c r="AD64" s="89" t="str">
        <f t="shared" si="8"/>
        <v/>
      </c>
      <c r="AE64" s="89" t="str">
        <f t="shared" si="9"/>
        <v/>
      </c>
    </row>
    <row r="65" spans="1:31" ht="18.75" x14ac:dyDescent="0.3">
      <c r="A65" s="344" t="str">
        <f t="shared" si="7"/>
        <v/>
      </c>
      <c r="B65" s="344" t="str">
        <f>PUXADA!B63</f>
        <v/>
      </c>
      <c r="C65" s="448" t="str">
        <f>IF(B65&lt;&gt;"",_xlfn.XLOOKUP(B65,PUXADA!$B$2:$B$939,PUXADA!$C$2:$C$939,""),"")</f>
        <v/>
      </c>
      <c r="D65" s="344" t="str">
        <f>IF(B65&lt;&gt;"",_xlfn.XLOOKUP(B65,PUXADA!$B$2:$B$939,PUXADA!$I$2:$I$939,""),"")</f>
        <v/>
      </c>
      <c r="E65" s="344" t="str">
        <f>_xlfn.XLOOKUP(D65,'BR''S'!$B$2:$B$104,'BR''S'!$C$2:$C$104,"")</f>
        <v/>
      </c>
      <c r="F65" s="344" t="str">
        <f>_xlfn.XLOOKUP(D65,'BR''S'!$B$2:$B$104,'BR''S'!$H$2:$H$104,"")</f>
        <v/>
      </c>
      <c r="G65" s="344" t="str">
        <f>_xlfn.XLOOKUP(D65,'BR''S'!$B$2:$B$104,'BR''S'!$D$2:$D$104,"")</f>
        <v/>
      </c>
      <c r="H65" s="346" t="str">
        <f>IF(B65&lt;&gt;"",PUXADA!P63,"")</f>
        <v/>
      </c>
      <c r="I65" s="344" t="str">
        <f>IF(B65&lt;&gt;"",PUXADA!G63,"")</f>
        <v/>
      </c>
      <c r="J65" s="561"/>
      <c r="K65" s="84"/>
      <c r="L65" s="84"/>
      <c r="M65" s="84"/>
      <c r="N65" s="84" t="str">
        <f t="shared" si="10"/>
        <v/>
      </c>
      <c r="O65" s="84"/>
      <c r="P65" s="84"/>
      <c r="Q65" s="85" t="str">
        <f>IF(B65&lt;&gt;"",SUMIFS(RECONVAN!I:I,RECONVAN!$A:$A,HORÁRIO!B65,RECONVAN!$F:$F,HORÁRIO!$Q$2),"")</f>
        <v/>
      </c>
      <c r="R65" s="85" t="str">
        <f>IF(B65&lt;&gt;"",SUMIFS(RECONVAN!I:I,RECONVAN!$A:$A,HORÁRIO!B65,RECONVAN!$F:$F,HORÁRIO!$R$2),"")</f>
        <v/>
      </c>
      <c r="S65" s="85" t="str">
        <f>IF(B65&lt;&gt;"",SUMIFS(RECONVAN!I:I,RECONVAN!$A:$A,HORÁRIO!B65,RECONVAN!$F:$F,HORÁRIO!$S$2),"")</f>
        <v/>
      </c>
      <c r="T65" s="85" t="str">
        <f>IF(B65&lt;&gt;"",SUMIFS(RECONVAN!I:I,RECONVAN!$A:$A,HORÁRIO!B65,RECONVAN!$F:$F,HORÁRIO!$T$2),"")</f>
        <v/>
      </c>
      <c r="U65" s="85" t="str">
        <f>IF(B65&lt;&gt;"",SUMIFS(RECONVAN!I:I,RECONVAN!$A:$A,HORÁRIO!B65,RECONVAN!$F:$F,HORÁRIO!$U$2),"")</f>
        <v/>
      </c>
      <c r="V65" s="85" t="str">
        <f>IF(B65&lt;&gt;"",SUMIFS(RECONVAN!I:I,RECONVAN!$A:$A,HORÁRIO!B65,RECONVAN!$F:$F,HORÁRIO!$V$2),"")</f>
        <v/>
      </c>
      <c r="W65" s="85" t="str">
        <f>IF(B65&lt;&gt;"",SUMIFS(RECONVAN!I:I,RECONVAN!$A:$A,HORÁRIO!B65,RECONVAN!$F:$F,HORÁRIO!$W$2),"")</f>
        <v/>
      </c>
      <c r="X65" s="85" t="str">
        <f>IF(B65&lt;&gt;"",SUMIFS(RECONVAN!I:I,RECONVAN!$A:$A,HORÁRIO!B65,RECONVAN!$F:$F,HORÁRIO!$X$2),"")</f>
        <v/>
      </c>
      <c r="Y65" s="85" t="str">
        <f>IF(B65&lt;&gt;"",SUMIFS(RECONVAN!I:I,RECONVAN!$A:$A,HORÁRIO!B65,RECONVAN!$F:$F,HORÁRIO!$Y$2),"")</f>
        <v/>
      </c>
      <c r="Z65" s="85" t="str">
        <f>IF(B65&lt;&gt;"",SUMIFS(RECONVAN!I:I,RECONVAN!$A:$A,HORÁRIO!B65,RECONVAN!$F:$F,HORÁRIO!$Z$2),"")</f>
        <v/>
      </c>
      <c r="AA65" s="85" t="str">
        <f>IF(B65&lt;&gt;"",SUMIFS(RECONVAN!I:I,RECONVAN!$A:$A,HORÁRIO!B65,RECONVAN!$F:$F,HORÁRIO!$AA$2),"")</f>
        <v/>
      </c>
      <c r="AB65" s="85" t="str">
        <f>IF(B65&lt;&gt;"",SUMIFS(RECONVAN!I:I,RECONVAN!$A:$A,HORÁRIO!B65,RECONVAN!$F:$F,HORÁRIO!$AB$2),"")</f>
        <v/>
      </c>
      <c r="AC65" s="85" t="str">
        <f>IF(B65&lt;&gt;"",SUMIFS(RECONVAN!I:I,RECONVAN!$A:$A,HORÁRIO!B65,RECONVAN!$F:$F,HORÁRIO!$AC$2),"")</f>
        <v/>
      </c>
      <c r="AD65" s="86" t="str">
        <f t="shared" si="8"/>
        <v/>
      </c>
      <c r="AE65" s="86" t="str">
        <f t="shared" si="9"/>
        <v/>
      </c>
    </row>
    <row r="66" spans="1:31" ht="18.75" x14ac:dyDescent="0.3">
      <c r="A66" s="344" t="str">
        <f t="shared" si="7"/>
        <v/>
      </c>
      <c r="B66" s="344" t="str">
        <f>PUXADA!B64</f>
        <v/>
      </c>
      <c r="C66" s="448" t="str">
        <f>IF(B66&lt;&gt;"",_xlfn.XLOOKUP(B66,PUXADA!$B$2:$B$939,PUXADA!$C$2:$C$939,""),"")</f>
        <v/>
      </c>
      <c r="D66" s="344" t="str">
        <f>IF(B66&lt;&gt;"",_xlfn.XLOOKUP(B66,PUXADA!$B$2:$B$939,PUXADA!$I$2:$I$939,""),"")</f>
        <v/>
      </c>
      <c r="E66" s="345" t="str">
        <f>_xlfn.XLOOKUP(D66,'BR''S'!$B$2:$B$104,'BR''S'!$C$2:$C$104,"")</f>
        <v/>
      </c>
      <c r="F66" s="345" t="str">
        <f>_xlfn.XLOOKUP(D66,'BR''S'!$B$2:$B$104,'BR''S'!$H$2:$H$104,"")</f>
        <v/>
      </c>
      <c r="G66" s="345" t="str">
        <f>_xlfn.XLOOKUP(D66,'BR''S'!$B$2:$B$104,'BR''S'!$D$2:$D$104,"")</f>
        <v/>
      </c>
      <c r="H66" s="347" t="str">
        <f>IF(B66&lt;&gt;"",PUXADA!P64,"")</f>
        <v/>
      </c>
      <c r="I66" s="345" t="str">
        <f>IF(B66&lt;&gt;"",PUXADA!G64,"")</f>
        <v/>
      </c>
      <c r="J66" s="322"/>
      <c r="K66" s="87"/>
      <c r="L66" s="87"/>
      <c r="M66" s="87"/>
      <c r="N66" s="87" t="str">
        <f t="shared" si="10"/>
        <v/>
      </c>
      <c r="O66" s="87"/>
      <c r="P66" s="87"/>
      <c r="Q66" s="88" t="str">
        <f>IF(B66&lt;&gt;"",SUMIFS(RECONVAN!I:I,RECONVAN!$A:$A,HORÁRIO!B66,RECONVAN!$F:$F,HORÁRIO!$Q$2),"")</f>
        <v/>
      </c>
      <c r="R66" s="88" t="str">
        <f>IF(B66&lt;&gt;"",SUMIFS(RECONVAN!I:I,RECONVAN!$A:$A,HORÁRIO!B66,RECONVAN!$F:$F,HORÁRIO!$R$2),"")</f>
        <v/>
      </c>
      <c r="S66" s="88" t="str">
        <f>IF(B66&lt;&gt;"",SUMIFS(RECONVAN!I:I,RECONVAN!$A:$A,HORÁRIO!B66,RECONVAN!$F:$F,HORÁRIO!$S$2),"")</f>
        <v/>
      </c>
      <c r="T66" s="88" t="str">
        <f>IF(B66&lt;&gt;"",SUMIFS(RECONVAN!I:I,RECONVAN!$A:$A,HORÁRIO!B66,RECONVAN!$F:$F,HORÁRIO!$T$2),"")</f>
        <v/>
      </c>
      <c r="U66" s="88" t="str">
        <f>IF(B66&lt;&gt;"",SUMIFS(RECONVAN!I:I,RECONVAN!$A:$A,HORÁRIO!B66,RECONVAN!$F:$F,HORÁRIO!$U$2),"")</f>
        <v/>
      </c>
      <c r="V66" s="88" t="str">
        <f>IF(B66&lt;&gt;"",SUMIFS(RECONVAN!I:I,RECONVAN!$A:$A,HORÁRIO!B66,RECONVAN!$F:$F,HORÁRIO!$V$2),"")</f>
        <v/>
      </c>
      <c r="W66" s="88" t="str">
        <f>IF(B66&lt;&gt;"",SUMIFS(RECONVAN!I:I,RECONVAN!$A:$A,HORÁRIO!B66,RECONVAN!$F:$F,HORÁRIO!$W$2),"")</f>
        <v/>
      </c>
      <c r="X66" s="88" t="str">
        <f>IF(B66&lt;&gt;"",SUMIFS(RECONVAN!I:I,RECONVAN!$A:$A,HORÁRIO!B66,RECONVAN!$F:$F,HORÁRIO!$X$2),"")</f>
        <v/>
      </c>
      <c r="Y66" s="88" t="str">
        <f>IF(B66&lt;&gt;"",SUMIFS(RECONVAN!I:I,RECONVAN!$A:$A,HORÁRIO!B66,RECONVAN!$F:$F,HORÁRIO!$Y$2),"")</f>
        <v/>
      </c>
      <c r="Z66" s="88" t="str">
        <f>IF(B66&lt;&gt;"",SUMIFS(RECONVAN!I:I,RECONVAN!$A:$A,HORÁRIO!B66,RECONVAN!$F:$F,HORÁRIO!$Z$2),"")</f>
        <v/>
      </c>
      <c r="AA66" s="88" t="str">
        <f>IF(B66&lt;&gt;"",SUMIFS(RECONVAN!I:I,RECONVAN!$A:$A,HORÁRIO!B66,RECONVAN!$F:$F,HORÁRIO!$AA$2),"")</f>
        <v/>
      </c>
      <c r="AB66" s="88" t="str">
        <f>IF(B66&lt;&gt;"",SUMIFS(RECONVAN!I:I,RECONVAN!$A:$A,HORÁRIO!B66,RECONVAN!$F:$F,HORÁRIO!$AB$2),"")</f>
        <v/>
      </c>
      <c r="AC66" s="88" t="str">
        <f>IF(B66&lt;&gt;"",SUMIFS(RECONVAN!I:I,RECONVAN!$A:$A,HORÁRIO!B66,RECONVAN!$F:$F,HORÁRIO!$AC$2),"")</f>
        <v/>
      </c>
      <c r="AD66" s="89" t="str">
        <f t="shared" si="8"/>
        <v/>
      </c>
      <c r="AE66" s="89" t="str">
        <f t="shared" si="9"/>
        <v/>
      </c>
    </row>
    <row r="67" spans="1:31" ht="18.75" x14ac:dyDescent="0.3">
      <c r="A67" s="344" t="str">
        <f t="shared" si="7"/>
        <v/>
      </c>
      <c r="B67" s="344" t="str">
        <f>PUXADA!B65</f>
        <v/>
      </c>
      <c r="C67" s="448" t="str">
        <f>IF(B67&lt;&gt;"",_xlfn.XLOOKUP(B67,PUXADA!$B$2:$B$939,PUXADA!$C$2:$C$939,""),"")</f>
        <v/>
      </c>
      <c r="D67" s="344" t="str">
        <f>IF(B67&lt;&gt;"",_xlfn.XLOOKUP(B67,PUXADA!$B$2:$B$939,PUXADA!$I$2:$I$939,""),"")</f>
        <v/>
      </c>
      <c r="E67" s="344" t="str">
        <f>_xlfn.XLOOKUP(D67,'BR''S'!$B$2:$B$104,'BR''S'!$C$2:$C$104,"")</f>
        <v/>
      </c>
      <c r="F67" s="344" t="str">
        <f>_xlfn.XLOOKUP(D67,'BR''S'!$B$2:$B$104,'BR''S'!$H$2:$H$104,"")</f>
        <v/>
      </c>
      <c r="G67" s="344" t="str">
        <f>_xlfn.XLOOKUP(D67,'BR''S'!$B$2:$B$104,'BR''S'!$D$2:$D$104,"")</f>
        <v/>
      </c>
      <c r="H67" s="346" t="str">
        <f>IF(B67&lt;&gt;"",PUXADA!P65,"")</f>
        <v/>
      </c>
      <c r="I67" s="344" t="str">
        <f>IF(B67&lt;&gt;"",PUXADA!G65,"")</f>
        <v/>
      </c>
      <c r="J67" s="561"/>
      <c r="K67" s="84"/>
      <c r="L67" s="84"/>
      <c r="M67" s="84"/>
      <c r="N67" s="84" t="str">
        <f t="shared" si="10"/>
        <v/>
      </c>
      <c r="O67" s="84"/>
      <c r="P67" s="84"/>
      <c r="Q67" s="85" t="str">
        <f>IF(B67&lt;&gt;"",SUMIFS(RECONVAN!I:I,RECONVAN!$A:$A,HORÁRIO!B67,RECONVAN!$F:$F,HORÁRIO!$Q$2),"")</f>
        <v/>
      </c>
      <c r="R67" s="85" t="str">
        <f>IF(B67&lt;&gt;"",SUMIFS(RECONVAN!I:I,RECONVAN!$A:$A,HORÁRIO!B67,RECONVAN!$F:$F,HORÁRIO!$R$2),"")</f>
        <v/>
      </c>
      <c r="S67" s="85" t="str">
        <f>IF(B67&lt;&gt;"",SUMIFS(RECONVAN!I:I,RECONVAN!$A:$A,HORÁRIO!B67,RECONVAN!$F:$F,HORÁRIO!$S$2),"")</f>
        <v/>
      </c>
      <c r="T67" s="85" t="str">
        <f>IF(B67&lt;&gt;"",SUMIFS(RECONVAN!I:I,RECONVAN!$A:$A,HORÁRIO!B67,RECONVAN!$F:$F,HORÁRIO!$T$2),"")</f>
        <v/>
      </c>
      <c r="U67" s="85" t="str">
        <f>IF(B67&lt;&gt;"",SUMIFS(RECONVAN!I:I,RECONVAN!$A:$A,HORÁRIO!B67,RECONVAN!$F:$F,HORÁRIO!$U$2),"")</f>
        <v/>
      </c>
      <c r="V67" s="85" t="str">
        <f>IF(B67&lt;&gt;"",SUMIFS(RECONVAN!I:I,RECONVAN!$A:$A,HORÁRIO!B67,RECONVAN!$F:$F,HORÁRIO!$V$2),"")</f>
        <v/>
      </c>
      <c r="W67" s="85" t="str">
        <f>IF(B67&lt;&gt;"",SUMIFS(RECONVAN!I:I,RECONVAN!$A:$A,HORÁRIO!B67,RECONVAN!$F:$F,HORÁRIO!$W$2),"")</f>
        <v/>
      </c>
      <c r="X67" s="85" t="str">
        <f>IF(B67&lt;&gt;"",SUMIFS(RECONVAN!I:I,RECONVAN!$A:$A,HORÁRIO!B67,RECONVAN!$F:$F,HORÁRIO!$X$2),"")</f>
        <v/>
      </c>
      <c r="Y67" s="85" t="str">
        <f>IF(B67&lt;&gt;"",SUMIFS(RECONVAN!I:I,RECONVAN!$A:$A,HORÁRIO!B67,RECONVAN!$F:$F,HORÁRIO!$Y$2),"")</f>
        <v/>
      </c>
      <c r="Z67" s="85" t="str">
        <f>IF(B67&lt;&gt;"",SUMIFS(RECONVAN!I:I,RECONVAN!$A:$A,HORÁRIO!B67,RECONVAN!$F:$F,HORÁRIO!$Z$2),"")</f>
        <v/>
      </c>
      <c r="AA67" s="85" t="str">
        <f>IF(B67&lt;&gt;"",SUMIFS(RECONVAN!I:I,RECONVAN!$A:$A,HORÁRIO!B67,RECONVAN!$F:$F,HORÁRIO!$AA$2),"")</f>
        <v/>
      </c>
      <c r="AB67" s="85" t="str">
        <f>IF(B67&lt;&gt;"",SUMIFS(RECONVAN!I:I,RECONVAN!$A:$A,HORÁRIO!B67,RECONVAN!$F:$F,HORÁRIO!$AB$2),"")</f>
        <v/>
      </c>
      <c r="AC67" s="85" t="str">
        <f>IF(B67&lt;&gt;"",SUMIFS(RECONVAN!I:I,RECONVAN!$A:$A,HORÁRIO!B67,RECONVAN!$F:$F,HORÁRIO!$AC$2),"")</f>
        <v/>
      </c>
      <c r="AD67" s="86" t="str">
        <f t="shared" si="8"/>
        <v/>
      </c>
      <c r="AE67" s="86" t="str">
        <f t="shared" si="9"/>
        <v/>
      </c>
    </row>
    <row r="68" spans="1:31" ht="18.75" x14ac:dyDescent="0.3">
      <c r="A68" s="344" t="str">
        <f t="shared" si="7"/>
        <v/>
      </c>
      <c r="B68" s="344" t="str">
        <f>PUXADA!B66</f>
        <v/>
      </c>
      <c r="C68" s="448" t="str">
        <f>IF(B68&lt;&gt;"",_xlfn.XLOOKUP(B68,PUXADA!$B$2:$B$939,PUXADA!$C$2:$C$939,""),"")</f>
        <v/>
      </c>
      <c r="D68" s="344" t="str">
        <f>IF(B68&lt;&gt;"",_xlfn.XLOOKUP(B68,PUXADA!$B$2:$B$939,PUXADA!$I$2:$I$939,""),"")</f>
        <v/>
      </c>
      <c r="E68" s="345" t="str">
        <f>_xlfn.XLOOKUP(D68,'BR''S'!$B$2:$B$104,'BR''S'!$C$2:$C$104,"")</f>
        <v/>
      </c>
      <c r="F68" s="345" t="str">
        <f>_xlfn.XLOOKUP(D68,'BR''S'!$B$2:$B$104,'BR''S'!$H$2:$H$104,"")</f>
        <v/>
      </c>
      <c r="G68" s="345" t="str">
        <f>_xlfn.XLOOKUP(D68,'BR''S'!$B$2:$B$104,'BR''S'!$D$2:$D$104,"")</f>
        <v/>
      </c>
      <c r="H68" s="347" t="str">
        <f>IF(B68&lt;&gt;"",PUXADA!P66,"")</f>
        <v/>
      </c>
      <c r="I68" s="345" t="str">
        <f>IF(B68&lt;&gt;"",PUXADA!G66,"")</f>
        <v/>
      </c>
      <c r="J68" s="322"/>
      <c r="K68" s="87"/>
      <c r="L68" s="87"/>
      <c r="M68" s="87"/>
      <c r="N68" s="87" t="str">
        <f t="shared" si="10"/>
        <v/>
      </c>
      <c r="O68" s="87"/>
      <c r="P68" s="87"/>
      <c r="Q68" s="88" t="str">
        <f>IF(B68&lt;&gt;"",SUMIFS(RECONVAN!I:I,RECONVAN!$A:$A,HORÁRIO!B68,RECONVAN!$F:$F,HORÁRIO!$Q$2),"")</f>
        <v/>
      </c>
      <c r="R68" s="88" t="str">
        <f>IF(B68&lt;&gt;"",SUMIFS(RECONVAN!I:I,RECONVAN!$A:$A,HORÁRIO!B68,RECONVAN!$F:$F,HORÁRIO!$R$2),"")</f>
        <v/>
      </c>
      <c r="S68" s="88" t="str">
        <f>IF(B68&lt;&gt;"",SUMIFS(RECONVAN!I:I,RECONVAN!$A:$A,HORÁRIO!B68,RECONVAN!$F:$F,HORÁRIO!$S$2),"")</f>
        <v/>
      </c>
      <c r="T68" s="88" t="str">
        <f>IF(B68&lt;&gt;"",SUMIFS(RECONVAN!I:I,RECONVAN!$A:$A,HORÁRIO!B68,RECONVAN!$F:$F,HORÁRIO!$T$2),"")</f>
        <v/>
      </c>
      <c r="U68" s="88" t="str">
        <f>IF(B68&lt;&gt;"",SUMIFS(RECONVAN!I:I,RECONVAN!$A:$A,HORÁRIO!B68,RECONVAN!$F:$F,HORÁRIO!$U$2),"")</f>
        <v/>
      </c>
      <c r="V68" s="88" t="str">
        <f>IF(B68&lt;&gt;"",SUMIFS(RECONVAN!I:I,RECONVAN!$A:$A,HORÁRIO!B68,RECONVAN!$F:$F,HORÁRIO!$V$2),"")</f>
        <v/>
      </c>
      <c r="W68" s="88" t="str">
        <f>IF(B68&lt;&gt;"",SUMIFS(RECONVAN!I:I,RECONVAN!$A:$A,HORÁRIO!B68,RECONVAN!$F:$F,HORÁRIO!$W$2),"")</f>
        <v/>
      </c>
      <c r="X68" s="88" t="str">
        <f>IF(B68&lt;&gt;"",SUMIFS(RECONVAN!I:I,RECONVAN!$A:$A,HORÁRIO!B68,RECONVAN!$F:$F,HORÁRIO!$X$2),"")</f>
        <v/>
      </c>
      <c r="Y68" s="88" t="str">
        <f>IF(B68&lt;&gt;"",SUMIFS(RECONVAN!I:I,RECONVAN!$A:$A,HORÁRIO!B68,RECONVAN!$F:$F,HORÁRIO!$Y$2),"")</f>
        <v/>
      </c>
      <c r="Z68" s="88" t="str">
        <f>IF(B68&lt;&gt;"",SUMIFS(RECONVAN!I:I,RECONVAN!$A:$A,HORÁRIO!B68,RECONVAN!$F:$F,HORÁRIO!$Z$2),"")</f>
        <v/>
      </c>
      <c r="AA68" s="88" t="str">
        <f>IF(B68&lt;&gt;"",SUMIFS(RECONVAN!I:I,RECONVAN!$A:$A,HORÁRIO!B68,RECONVAN!$F:$F,HORÁRIO!$AA$2),"")</f>
        <v/>
      </c>
      <c r="AB68" s="88" t="str">
        <f>IF(B68&lt;&gt;"",SUMIFS(RECONVAN!I:I,RECONVAN!$A:$A,HORÁRIO!B68,RECONVAN!$F:$F,HORÁRIO!$AB$2),"")</f>
        <v/>
      </c>
      <c r="AC68" s="88" t="str">
        <f>IF(B68&lt;&gt;"",SUMIFS(RECONVAN!I:I,RECONVAN!$A:$A,HORÁRIO!B68,RECONVAN!$F:$F,HORÁRIO!$AC$2),"")</f>
        <v/>
      </c>
      <c r="AD68" s="89" t="str">
        <f t="shared" si="8"/>
        <v/>
      </c>
      <c r="AE68" s="89" t="str">
        <f t="shared" si="9"/>
        <v/>
      </c>
    </row>
    <row r="69" spans="1:31" ht="18.75" x14ac:dyDescent="0.3">
      <c r="A69" s="344" t="str">
        <f t="shared" si="7"/>
        <v/>
      </c>
      <c r="B69" s="344" t="str">
        <f>PUXADA!B67</f>
        <v/>
      </c>
      <c r="C69" s="448" t="str">
        <f>IF(B69&lt;&gt;"",_xlfn.XLOOKUP(B69,PUXADA!$B$2:$B$939,PUXADA!$C$2:$C$939,""),"")</f>
        <v/>
      </c>
      <c r="D69" s="344" t="str">
        <f>IF(B69&lt;&gt;"",_xlfn.XLOOKUP(B69,PUXADA!$B$2:$B$939,PUXADA!$I$2:$I$939,""),"")</f>
        <v/>
      </c>
      <c r="E69" s="344" t="str">
        <f>_xlfn.XLOOKUP(D69,'BR''S'!$B$2:$B$104,'BR''S'!$C$2:$C$104,"")</f>
        <v/>
      </c>
      <c r="F69" s="344" t="str">
        <f>_xlfn.XLOOKUP(D69,'BR''S'!$B$2:$B$104,'BR''S'!$H$2:$H$104,"")</f>
        <v/>
      </c>
      <c r="G69" s="344" t="str">
        <f>_xlfn.XLOOKUP(D69,'BR''S'!$B$2:$B$104,'BR''S'!$D$2:$D$104,"")</f>
        <v/>
      </c>
      <c r="H69" s="346" t="str">
        <f>IF(B69&lt;&gt;"",PUXADA!P67,"")</f>
        <v/>
      </c>
      <c r="I69" s="344" t="str">
        <f>IF(B69&lt;&gt;"",PUXADA!G67,"")</f>
        <v/>
      </c>
      <c r="J69" s="561"/>
      <c r="K69" s="84"/>
      <c r="L69" s="84"/>
      <c r="M69" s="84"/>
      <c r="N69" s="84" t="str">
        <f t="shared" si="10"/>
        <v/>
      </c>
      <c r="O69" s="84"/>
      <c r="P69" s="84"/>
      <c r="Q69" s="85" t="str">
        <f>IF(B69&lt;&gt;"",SUMIFS(RECONVAN!I:I,RECONVAN!$A:$A,HORÁRIO!B69,RECONVAN!$F:$F,HORÁRIO!$Q$2),"")</f>
        <v/>
      </c>
      <c r="R69" s="85" t="str">
        <f>IF(B69&lt;&gt;"",SUMIFS(RECONVAN!I:I,RECONVAN!$A:$A,HORÁRIO!B69,RECONVAN!$F:$F,HORÁRIO!$R$2),"")</f>
        <v/>
      </c>
      <c r="S69" s="85" t="str">
        <f>IF(B69&lt;&gt;"",SUMIFS(RECONVAN!I:I,RECONVAN!$A:$A,HORÁRIO!B69,RECONVAN!$F:$F,HORÁRIO!$S$2),"")</f>
        <v/>
      </c>
      <c r="T69" s="85" t="str">
        <f>IF(B69&lt;&gt;"",SUMIFS(RECONVAN!I:I,RECONVAN!$A:$A,HORÁRIO!B69,RECONVAN!$F:$F,HORÁRIO!$T$2),"")</f>
        <v/>
      </c>
      <c r="U69" s="85" t="str">
        <f>IF(B69&lt;&gt;"",SUMIFS(RECONVAN!I:I,RECONVAN!$A:$A,HORÁRIO!B69,RECONVAN!$F:$F,HORÁRIO!$U$2),"")</f>
        <v/>
      </c>
      <c r="V69" s="85" t="str">
        <f>IF(B69&lt;&gt;"",SUMIFS(RECONVAN!I:I,RECONVAN!$A:$A,HORÁRIO!B69,RECONVAN!$F:$F,HORÁRIO!$V$2),"")</f>
        <v/>
      </c>
      <c r="W69" s="85" t="str">
        <f>IF(B69&lt;&gt;"",SUMIFS(RECONVAN!I:I,RECONVAN!$A:$A,HORÁRIO!B69,RECONVAN!$F:$F,HORÁRIO!$W$2),"")</f>
        <v/>
      </c>
      <c r="X69" s="85" t="str">
        <f>IF(B69&lt;&gt;"",SUMIFS(RECONVAN!I:I,RECONVAN!$A:$A,HORÁRIO!B69,RECONVAN!$F:$F,HORÁRIO!$X$2),"")</f>
        <v/>
      </c>
      <c r="Y69" s="85" t="str">
        <f>IF(B69&lt;&gt;"",SUMIFS(RECONVAN!I:I,RECONVAN!$A:$A,HORÁRIO!B69,RECONVAN!$F:$F,HORÁRIO!$Y$2),"")</f>
        <v/>
      </c>
      <c r="Z69" s="85" t="str">
        <f>IF(B69&lt;&gt;"",SUMIFS(RECONVAN!I:I,RECONVAN!$A:$A,HORÁRIO!B69,RECONVAN!$F:$F,HORÁRIO!$Z$2),"")</f>
        <v/>
      </c>
      <c r="AA69" s="85" t="str">
        <f>IF(B69&lt;&gt;"",SUMIFS(RECONVAN!I:I,RECONVAN!$A:$A,HORÁRIO!B69,RECONVAN!$F:$F,HORÁRIO!$AA$2),"")</f>
        <v/>
      </c>
      <c r="AB69" s="85" t="str">
        <f>IF(B69&lt;&gt;"",SUMIFS(RECONVAN!I:I,RECONVAN!$A:$A,HORÁRIO!B69,RECONVAN!$F:$F,HORÁRIO!$AB$2),"")</f>
        <v/>
      </c>
      <c r="AC69" s="85" t="str">
        <f>IF(B69&lt;&gt;"",SUMIFS(RECONVAN!I:I,RECONVAN!$A:$A,HORÁRIO!B69,RECONVAN!$F:$F,HORÁRIO!$AC$2),"")</f>
        <v/>
      </c>
      <c r="AD69" s="86" t="str">
        <f t="shared" ref="AD69:AD98" si="12">IF(B69&lt;&gt;"",SUM(Z69:AC69),"")</f>
        <v/>
      </c>
      <c r="AE69" s="86" t="str">
        <f t="shared" ref="AE69:AE98" si="13">IF(B69&lt;&gt;"",SUM(U69:Y69),"")</f>
        <v/>
      </c>
    </row>
    <row r="70" spans="1:31" ht="18.75" x14ac:dyDescent="0.3">
      <c r="A70" s="344" t="str">
        <f t="shared" si="7"/>
        <v/>
      </c>
      <c r="B70" s="344" t="str">
        <f>PUXADA!B68</f>
        <v/>
      </c>
      <c r="C70" s="448" t="str">
        <f>IF(B70&lt;&gt;"",_xlfn.XLOOKUP(B70,PUXADA!$B$2:$B$939,PUXADA!$C$2:$C$939,""),"")</f>
        <v/>
      </c>
      <c r="D70" s="344" t="str">
        <f>IF(B70&lt;&gt;"",_xlfn.XLOOKUP(B70,PUXADA!$B$2:$B$939,PUXADA!$I$2:$I$939,""),"")</f>
        <v/>
      </c>
      <c r="E70" s="345" t="str">
        <f>_xlfn.XLOOKUP(D70,'BR''S'!$B$2:$B$104,'BR''S'!$C$2:$C$104,"")</f>
        <v/>
      </c>
      <c r="F70" s="345" t="str">
        <f>_xlfn.XLOOKUP(D70,'BR''S'!$B$2:$B$104,'BR''S'!$H$2:$H$104,"")</f>
        <v/>
      </c>
      <c r="G70" s="345" t="str">
        <f>_xlfn.XLOOKUP(D70,'BR''S'!$B$2:$B$104,'BR''S'!$D$2:$D$104,"")</f>
        <v/>
      </c>
      <c r="H70" s="347" t="str">
        <f>IF(B70&lt;&gt;"",PUXADA!P68,"")</f>
        <v/>
      </c>
      <c r="I70" s="345" t="str">
        <f>IF(B70&lt;&gt;"",PUXADA!G68,"")</f>
        <v/>
      </c>
      <c r="J70" s="322"/>
      <c r="K70" s="87"/>
      <c r="L70" s="87"/>
      <c r="M70" s="87"/>
      <c r="N70" s="87" t="str">
        <f t="shared" si="10"/>
        <v/>
      </c>
      <c r="O70" s="87"/>
      <c r="P70" s="87"/>
      <c r="Q70" s="88" t="str">
        <f>IF(B70&lt;&gt;"",SUMIFS(RECONVAN!I:I,RECONVAN!$A:$A,HORÁRIO!B70,RECONVAN!$F:$F,HORÁRIO!$Q$2),"")</f>
        <v/>
      </c>
      <c r="R70" s="88" t="str">
        <f>IF(B70&lt;&gt;"",SUMIFS(RECONVAN!I:I,RECONVAN!$A:$A,HORÁRIO!B70,RECONVAN!$F:$F,HORÁRIO!$R$2),"")</f>
        <v/>
      </c>
      <c r="S70" s="88" t="str">
        <f>IF(B70&lt;&gt;"",SUMIFS(RECONVAN!I:I,RECONVAN!$A:$A,HORÁRIO!B70,RECONVAN!$F:$F,HORÁRIO!$S$2),"")</f>
        <v/>
      </c>
      <c r="T70" s="88" t="str">
        <f>IF(B70&lt;&gt;"",SUMIFS(RECONVAN!I:I,RECONVAN!$A:$A,HORÁRIO!B70,RECONVAN!$F:$F,HORÁRIO!$T$2),"")</f>
        <v/>
      </c>
      <c r="U70" s="88" t="str">
        <f>IF(B70&lt;&gt;"",SUMIFS(RECONVAN!I:I,RECONVAN!$A:$A,HORÁRIO!B70,RECONVAN!$F:$F,HORÁRIO!$U$2),"")</f>
        <v/>
      </c>
      <c r="V70" s="88" t="str">
        <f>IF(B70&lt;&gt;"",SUMIFS(RECONVAN!I:I,RECONVAN!$A:$A,HORÁRIO!B70,RECONVAN!$F:$F,HORÁRIO!$V$2),"")</f>
        <v/>
      </c>
      <c r="W70" s="88" t="str">
        <f>IF(B70&lt;&gt;"",SUMIFS(RECONVAN!I:I,RECONVAN!$A:$A,HORÁRIO!B70,RECONVAN!$F:$F,HORÁRIO!$W$2),"")</f>
        <v/>
      </c>
      <c r="X70" s="88" t="str">
        <f>IF(B70&lt;&gt;"",SUMIFS(RECONVAN!I:I,RECONVAN!$A:$A,HORÁRIO!B70,RECONVAN!$F:$F,HORÁRIO!$X$2),"")</f>
        <v/>
      </c>
      <c r="Y70" s="88" t="str">
        <f>IF(B70&lt;&gt;"",SUMIFS(RECONVAN!I:I,RECONVAN!$A:$A,HORÁRIO!B70,RECONVAN!$F:$F,HORÁRIO!$Y$2),"")</f>
        <v/>
      </c>
      <c r="Z70" s="88" t="str">
        <f>IF(B70&lt;&gt;"",SUMIFS(RECONVAN!I:I,RECONVAN!$A:$A,HORÁRIO!B70,RECONVAN!$F:$F,HORÁRIO!$Z$2),"")</f>
        <v/>
      </c>
      <c r="AA70" s="88" t="str">
        <f>IF(B70&lt;&gt;"",SUMIFS(RECONVAN!I:I,RECONVAN!$A:$A,HORÁRIO!B70,RECONVAN!$F:$F,HORÁRIO!$AA$2),"")</f>
        <v/>
      </c>
      <c r="AB70" s="88" t="str">
        <f>IF(B70&lt;&gt;"",SUMIFS(RECONVAN!I:I,RECONVAN!$A:$A,HORÁRIO!B70,RECONVAN!$F:$F,HORÁRIO!$AB$2),"")</f>
        <v/>
      </c>
      <c r="AC70" s="88" t="str">
        <f>IF(B70&lt;&gt;"",SUMIFS(RECONVAN!I:I,RECONVAN!$A:$A,HORÁRIO!B70,RECONVAN!$F:$F,HORÁRIO!$AC$2),"")</f>
        <v/>
      </c>
      <c r="AD70" s="89" t="str">
        <f t="shared" si="12"/>
        <v/>
      </c>
      <c r="AE70" s="89" t="str">
        <f t="shared" si="13"/>
        <v/>
      </c>
    </row>
    <row r="71" spans="1:31" ht="18.75" x14ac:dyDescent="0.3">
      <c r="A71" s="344" t="str">
        <f t="shared" si="7"/>
        <v/>
      </c>
      <c r="B71" s="344" t="str">
        <f>PUXADA!B69</f>
        <v/>
      </c>
      <c r="C71" s="448" t="str">
        <f>IF(B71&lt;&gt;"",_xlfn.XLOOKUP(B71,PUXADA!$B$2:$B$939,PUXADA!$C$2:$C$939,""),"")</f>
        <v/>
      </c>
      <c r="D71" s="344" t="str">
        <f>IF(B71&lt;&gt;"",_xlfn.XLOOKUP(B71,PUXADA!$B$2:$B$939,PUXADA!$I$2:$I$939,""),"")</f>
        <v/>
      </c>
      <c r="E71" s="344" t="str">
        <f>_xlfn.XLOOKUP(D71,'BR''S'!$B$2:$B$104,'BR''S'!$C$2:$C$104,"")</f>
        <v/>
      </c>
      <c r="F71" s="344" t="str">
        <f>_xlfn.XLOOKUP(D71,'BR''S'!$B$2:$B$104,'BR''S'!$H$2:$H$104,"")</f>
        <v/>
      </c>
      <c r="G71" s="344" t="str">
        <f>_xlfn.XLOOKUP(D71,'BR''S'!$B$2:$B$104,'BR''S'!$D$2:$D$104,"")</f>
        <v/>
      </c>
      <c r="H71" s="346" t="str">
        <f>IF(B71&lt;&gt;"",PUXADA!P69,"")</f>
        <v/>
      </c>
      <c r="I71" s="344" t="str">
        <f>IF(B71&lt;&gt;"",PUXADA!G69,"")</f>
        <v/>
      </c>
      <c r="J71" s="561"/>
      <c r="K71" s="84"/>
      <c r="L71" s="84"/>
      <c r="M71" s="84"/>
      <c r="N71" s="84" t="str">
        <f t="shared" si="10"/>
        <v/>
      </c>
      <c r="O71" s="84"/>
      <c r="P71" s="84"/>
      <c r="Q71" s="85" t="str">
        <f>IF(B71&lt;&gt;"",SUMIFS(RECONVAN!I:I,RECONVAN!$A:$A,HORÁRIO!B71,RECONVAN!$F:$F,HORÁRIO!$Q$2),"")</f>
        <v/>
      </c>
      <c r="R71" s="85" t="str">
        <f>IF(B71&lt;&gt;"",SUMIFS(RECONVAN!I:I,RECONVAN!$A:$A,HORÁRIO!B71,RECONVAN!$F:$F,HORÁRIO!$R$2),"")</f>
        <v/>
      </c>
      <c r="S71" s="85" t="str">
        <f>IF(B71&lt;&gt;"",SUMIFS(RECONVAN!I:I,RECONVAN!$A:$A,HORÁRIO!B71,RECONVAN!$F:$F,HORÁRIO!$S$2),"")</f>
        <v/>
      </c>
      <c r="T71" s="85" t="str">
        <f>IF(B71&lt;&gt;"",SUMIFS(RECONVAN!I:I,RECONVAN!$A:$A,HORÁRIO!B71,RECONVAN!$F:$F,HORÁRIO!$T$2),"")</f>
        <v/>
      </c>
      <c r="U71" s="85" t="str">
        <f>IF(B71&lt;&gt;"",SUMIFS(RECONVAN!I:I,RECONVAN!$A:$A,HORÁRIO!B71,RECONVAN!$F:$F,HORÁRIO!$U$2),"")</f>
        <v/>
      </c>
      <c r="V71" s="85" t="str">
        <f>IF(B71&lt;&gt;"",SUMIFS(RECONVAN!I:I,RECONVAN!$A:$A,HORÁRIO!B71,RECONVAN!$F:$F,HORÁRIO!$V$2),"")</f>
        <v/>
      </c>
      <c r="W71" s="85" t="str">
        <f>IF(B71&lt;&gt;"",SUMIFS(RECONVAN!I:I,RECONVAN!$A:$A,HORÁRIO!B71,RECONVAN!$F:$F,HORÁRIO!$W$2),"")</f>
        <v/>
      </c>
      <c r="X71" s="85" t="str">
        <f>IF(B71&lt;&gt;"",SUMIFS(RECONVAN!I:I,RECONVAN!$A:$A,HORÁRIO!B71,RECONVAN!$F:$F,HORÁRIO!$X$2),"")</f>
        <v/>
      </c>
      <c r="Y71" s="85" t="str">
        <f>IF(B71&lt;&gt;"",SUMIFS(RECONVAN!I:I,RECONVAN!$A:$A,HORÁRIO!B71,RECONVAN!$F:$F,HORÁRIO!$Y$2),"")</f>
        <v/>
      </c>
      <c r="Z71" s="85" t="str">
        <f>IF(B71&lt;&gt;"",SUMIFS(RECONVAN!I:I,RECONVAN!$A:$A,HORÁRIO!B71,RECONVAN!$F:$F,HORÁRIO!$Z$2),"")</f>
        <v/>
      </c>
      <c r="AA71" s="85" t="str">
        <f>IF(B71&lt;&gt;"",SUMIFS(RECONVAN!I:I,RECONVAN!$A:$A,HORÁRIO!B71,RECONVAN!$F:$F,HORÁRIO!$AA$2),"")</f>
        <v/>
      </c>
      <c r="AB71" s="85" t="str">
        <f>IF(B71&lt;&gt;"",SUMIFS(RECONVAN!I:I,RECONVAN!$A:$A,HORÁRIO!B71,RECONVAN!$F:$F,HORÁRIO!$AB$2),"")</f>
        <v/>
      </c>
      <c r="AC71" s="85" t="str">
        <f>IF(B71&lt;&gt;"",SUMIFS(RECONVAN!I:I,RECONVAN!$A:$A,HORÁRIO!B71,RECONVAN!$F:$F,HORÁRIO!$AC$2),"")</f>
        <v/>
      </c>
      <c r="AD71" s="86" t="str">
        <f t="shared" si="12"/>
        <v/>
      </c>
      <c r="AE71" s="86" t="str">
        <f t="shared" si="13"/>
        <v/>
      </c>
    </row>
    <row r="72" spans="1:31" ht="18.75" x14ac:dyDescent="0.3">
      <c r="A72" s="344" t="str">
        <f t="shared" si="7"/>
        <v/>
      </c>
      <c r="B72" s="344" t="str">
        <f>PUXADA!B70</f>
        <v/>
      </c>
      <c r="C72" s="448" t="str">
        <f>IF(B72&lt;&gt;"",_xlfn.XLOOKUP(B72,PUXADA!$B$2:$B$939,PUXADA!$C$2:$C$939,""),"")</f>
        <v/>
      </c>
      <c r="D72" s="344" t="str">
        <f>IF(B72&lt;&gt;"",_xlfn.XLOOKUP(B72,PUXADA!$B$2:$B$939,PUXADA!$I$2:$I$939,""),"")</f>
        <v/>
      </c>
      <c r="E72" s="345" t="str">
        <f>_xlfn.XLOOKUP(D72,'BR''S'!$B$2:$B$104,'BR''S'!$C$2:$C$104,"")</f>
        <v/>
      </c>
      <c r="F72" s="345" t="str">
        <f>_xlfn.XLOOKUP(D72,'BR''S'!$B$2:$B$104,'BR''S'!$H$2:$H$104,"")</f>
        <v/>
      </c>
      <c r="G72" s="345" t="str">
        <f>_xlfn.XLOOKUP(D72,'BR''S'!$B$2:$B$104,'BR''S'!$D$2:$D$104,"")</f>
        <v/>
      </c>
      <c r="H72" s="347" t="str">
        <f>IF(B72&lt;&gt;"",PUXADA!P70,"")</f>
        <v/>
      </c>
      <c r="I72" s="345" t="str">
        <f>IF(B72&lt;&gt;"",PUXADA!G70,"")</f>
        <v/>
      </c>
      <c r="J72" s="322"/>
      <c r="K72" s="87"/>
      <c r="L72" s="87"/>
      <c r="M72" s="87"/>
      <c r="N72" s="87" t="str">
        <f t="shared" si="10"/>
        <v/>
      </c>
      <c r="O72" s="87"/>
      <c r="P72" s="87"/>
      <c r="Q72" s="88" t="str">
        <f>IF(B72&lt;&gt;"",SUMIFS(RECONVAN!I:I,RECONVAN!$A:$A,HORÁRIO!B72,RECONVAN!$F:$F,HORÁRIO!$Q$2),"")</f>
        <v/>
      </c>
      <c r="R72" s="88" t="str">
        <f>IF(B72&lt;&gt;"",SUMIFS(RECONVAN!I:I,RECONVAN!$A:$A,HORÁRIO!B72,RECONVAN!$F:$F,HORÁRIO!$R$2),"")</f>
        <v/>
      </c>
      <c r="S72" s="88" t="str">
        <f>IF(B72&lt;&gt;"",SUMIFS(RECONVAN!I:I,RECONVAN!$A:$A,HORÁRIO!B72,RECONVAN!$F:$F,HORÁRIO!$S$2),"")</f>
        <v/>
      </c>
      <c r="T72" s="88" t="str">
        <f>IF(B72&lt;&gt;"",SUMIFS(RECONVAN!I:I,RECONVAN!$A:$A,HORÁRIO!B72,RECONVAN!$F:$F,HORÁRIO!$T$2),"")</f>
        <v/>
      </c>
      <c r="U72" s="88" t="str">
        <f>IF(B72&lt;&gt;"",SUMIFS(RECONVAN!I:I,RECONVAN!$A:$A,HORÁRIO!B72,RECONVAN!$F:$F,HORÁRIO!$U$2),"")</f>
        <v/>
      </c>
      <c r="V72" s="88" t="str">
        <f>IF(B72&lt;&gt;"",SUMIFS(RECONVAN!I:I,RECONVAN!$A:$A,HORÁRIO!B72,RECONVAN!$F:$F,HORÁRIO!$V$2),"")</f>
        <v/>
      </c>
      <c r="W72" s="88" t="str">
        <f>IF(B72&lt;&gt;"",SUMIFS(RECONVAN!I:I,RECONVAN!$A:$A,HORÁRIO!B72,RECONVAN!$F:$F,HORÁRIO!$W$2),"")</f>
        <v/>
      </c>
      <c r="X72" s="88" t="str">
        <f>IF(B72&lt;&gt;"",SUMIFS(RECONVAN!I:I,RECONVAN!$A:$A,HORÁRIO!B72,RECONVAN!$F:$F,HORÁRIO!$X$2),"")</f>
        <v/>
      </c>
      <c r="Y72" s="88" t="str">
        <f>IF(B72&lt;&gt;"",SUMIFS(RECONVAN!I:I,RECONVAN!$A:$A,HORÁRIO!B72,RECONVAN!$F:$F,HORÁRIO!$Y$2),"")</f>
        <v/>
      </c>
      <c r="Z72" s="88" t="str">
        <f>IF(B72&lt;&gt;"",SUMIFS(RECONVAN!I:I,RECONVAN!$A:$A,HORÁRIO!B72,RECONVAN!$F:$F,HORÁRIO!$Z$2),"")</f>
        <v/>
      </c>
      <c r="AA72" s="88" t="str">
        <f>IF(B72&lt;&gt;"",SUMIFS(RECONVAN!I:I,RECONVAN!$A:$A,HORÁRIO!B72,RECONVAN!$F:$F,HORÁRIO!$AA$2),"")</f>
        <v/>
      </c>
      <c r="AB72" s="88" t="str">
        <f>IF(B72&lt;&gt;"",SUMIFS(RECONVAN!I:I,RECONVAN!$A:$A,HORÁRIO!B72,RECONVAN!$F:$F,HORÁRIO!$AB$2),"")</f>
        <v/>
      </c>
      <c r="AC72" s="88" t="str">
        <f>IF(B72&lt;&gt;"",SUMIFS(RECONVAN!I:I,RECONVAN!$A:$A,HORÁRIO!B72,RECONVAN!$F:$F,HORÁRIO!$AC$2),"")</f>
        <v/>
      </c>
      <c r="AD72" s="89" t="str">
        <f t="shared" si="12"/>
        <v/>
      </c>
      <c r="AE72" s="89" t="str">
        <f t="shared" si="13"/>
        <v/>
      </c>
    </row>
    <row r="73" spans="1:31" ht="18.75" x14ac:dyDescent="0.3">
      <c r="A73" s="344" t="str">
        <f t="shared" si="7"/>
        <v/>
      </c>
      <c r="B73" s="344" t="str">
        <f>PUXADA!B71</f>
        <v/>
      </c>
      <c r="C73" s="448" t="str">
        <f>IF(B73&lt;&gt;"",_xlfn.XLOOKUP(B73,PUXADA!$B$2:$B$939,PUXADA!$C$2:$C$939,""),"")</f>
        <v/>
      </c>
      <c r="D73" s="344" t="str">
        <f>IF(B73&lt;&gt;"",_xlfn.XLOOKUP(B73,PUXADA!$B$2:$B$939,PUXADA!$I$2:$I$939,""),"")</f>
        <v/>
      </c>
      <c r="E73" s="344" t="str">
        <f>_xlfn.XLOOKUP(D73,'BR''S'!$B$2:$B$104,'BR''S'!$C$2:$C$104,"")</f>
        <v/>
      </c>
      <c r="F73" s="344" t="str">
        <f>_xlfn.XLOOKUP(D73,'BR''S'!$B$2:$B$104,'BR''S'!$H$2:$H$104,"")</f>
        <v/>
      </c>
      <c r="G73" s="344" t="str">
        <f>_xlfn.XLOOKUP(D73,'BR''S'!$B$2:$B$104,'BR''S'!$D$2:$D$104,"")</f>
        <v/>
      </c>
      <c r="H73" s="346" t="str">
        <f>IF(B73&lt;&gt;"",PUXADA!P71,"")</f>
        <v/>
      </c>
      <c r="I73" s="344" t="str">
        <f>IF(B73&lt;&gt;"",PUXADA!G71,"")</f>
        <v/>
      </c>
      <c r="J73" s="561"/>
      <c r="K73" s="84"/>
      <c r="L73" s="84"/>
      <c r="M73" s="84"/>
      <c r="N73" s="84" t="str">
        <f t="shared" si="10"/>
        <v/>
      </c>
      <c r="O73" s="84"/>
      <c r="P73" s="84"/>
      <c r="Q73" s="85" t="str">
        <f>IF(B73&lt;&gt;"",SUMIFS(RECONVAN!I:I,RECONVAN!$A:$A,HORÁRIO!B73,RECONVAN!$F:$F,HORÁRIO!$Q$2),"")</f>
        <v/>
      </c>
      <c r="R73" s="85" t="str">
        <f>IF(B73&lt;&gt;"",SUMIFS(RECONVAN!I:I,RECONVAN!$A:$A,HORÁRIO!B73,RECONVAN!$F:$F,HORÁRIO!$R$2),"")</f>
        <v/>
      </c>
      <c r="S73" s="85" t="str">
        <f>IF(B73&lt;&gt;"",SUMIFS(RECONVAN!I:I,RECONVAN!$A:$A,HORÁRIO!B73,RECONVAN!$F:$F,HORÁRIO!$S$2),"")</f>
        <v/>
      </c>
      <c r="T73" s="85" t="str">
        <f>IF(B73&lt;&gt;"",SUMIFS(RECONVAN!I:I,RECONVAN!$A:$A,HORÁRIO!B73,RECONVAN!$F:$F,HORÁRIO!$T$2),"")</f>
        <v/>
      </c>
      <c r="U73" s="85" t="str">
        <f>IF(B73&lt;&gt;"",SUMIFS(RECONVAN!I:I,RECONVAN!$A:$A,HORÁRIO!B73,RECONVAN!$F:$F,HORÁRIO!$U$2),"")</f>
        <v/>
      </c>
      <c r="V73" s="85" t="str">
        <f>IF(B73&lt;&gt;"",SUMIFS(RECONVAN!I:I,RECONVAN!$A:$A,HORÁRIO!B73,RECONVAN!$F:$F,HORÁRIO!$V$2),"")</f>
        <v/>
      </c>
      <c r="W73" s="85" t="str">
        <f>IF(B73&lt;&gt;"",SUMIFS(RECONVAN!I:I,RECONVAN!$A:$A,HORÁRIO!B73,RECONVAN!$F:$F,HORÁRIO!$W$2),"")</f>
        <v/>
      </c>
      <c r="X73" s="85" t="str">
        <f>IF(B73&lt;&gt;"",SUMIFS(RECONVAN!I:I,RECONVAN!$A:$A,HORÁRIO!B73,RECONVAN!$F:$F,HORÁRIO!$X$2),"")</f>
        <v/>
      </c>
      <c r="Y73" s="85" t="str">
        <f>IF(B73&lt;&gt;"",SUMIFS(RECONVAN!I:I,RECONVAN!$A:$A,HORÁRIO!B73,RECONVAN!$F:$F,HORÁRIO!$Y$2),"")</f>
        <v/>
      </c>
      <c r="Z73" s="85" t="str">
        <f>IF(B73&lt;&gt;"",SUMIFS(RECONVAN!I:I,RECONVAN!$A:$A,HORÁRIO!B73,RECONVAN!$F:$F,HORÁRIO!$Z$2),"")</f>
        <v/>
      </c>
      <c r="AA73" s="85" t="str">
        <f>IF(B73&lt;&gt;"",SUMIFS(RECONVAN!I:I,RECONVAN!$A:$A,HORÁRIO!B73,RECONVAN!$F:$F,HORÁRIO!$AA$2),"")</f>
        <v/>
      </c>
      <c r="AB73" s="85" t="str">
        <f>IF(B73&lt;&gt;"",SUMIFS(RECONVAN!I:I,RECONVAN!$A:$A,HORÁRIO!B73,RECONVAN!$F:$F,HORÁRIO!$AB$2),"")</f>
        <v/>
      </c>
      <c r="AC73" s="85" t="str">
        <f>IF(B73&lt;&gt;"",SUMIFS(RECONVAN!I:I,RECONVAN!$A:$A,HORÁRIO!B73,RECONVAN!$F:$F,HORÁRIO!$AC$2),"")</f>
        <v/>
      </c>
      <c r="AD73" s="86" t="str">
        <f t="shared" si="12"/>
        <v/>
      </c>
      <c r="AE73" s="86" t="str">
        <f t="shared" si="13"/>
        <v/>
      </c>
    </row>
    <row r="74" spans="1:31" ht="18.75" x14ac:dyDescent="0.3">
      <c r="A74" s="344" t="str">
        <f t="shared" si="7"/>
        <v/>
      </c>
      <c r="B74" s="344" t="str">
        <f>PUXADA!B72</f>
        <v/>
      </c>
      <c r="C74" s="448" t="str">
        <f>IF(B74&lt;&gt;"",_xlfn.XLOOKUP(B74,PUXADA!$B$2:$B$939,PUXADA!$C$2:$C$939,""),"")</f>
        <v/>
      </c>
      <c r="D74" s="344" t="str">
        <f>IF(B74&lt;&gt;"",_xlfn.XLOOKUP(B74,PUXADA!$B$2:$B$939,PUXADA!$I$2:$I$939,""),"")</f>
        <v/>
      </c>
      <c r="E74" s="345" t="str">
        <f>_xlfn.XLOOKUP(D74,'BR''S'!$B$2:$B$104,'BR''S'!$C$2:$C$104,"")</f>
        <v/>
      </c>
      <c r="F74" s="345" t="str">
        <f>_xlfn.XLOOKUP(D74,'BR''S'!$B$2:$B$104,'BR''S'!$H$2:$H$104,"")</f>
        <v/>
      </c>
      <c r="G74" s="345" t="str">
        <f>_xlfn.XLOOKUP(D74,'BR''S'!$B$2:$B$104,'BR''S'!$D$2:$D$104,"")</f>
        <v/>
      </c>
      <c r="H74" s="347" t="str">
        <f>IF(B74&lt;&gt;"",PUXADA!P72,"")</f>
        <v/>
      </c>
      <c r="I74" s="345" t="str">
        <f>IF(B74&lt;&gt;"",PUXADA!G72,"")</f>
        <v/>
      </c>
      <c r="J74" s="322"/>
      <c r="K74" s="87"/>
      <c r="L74" s="87"/>
      <c r="M74" s="87"/>
      <c r="N74" s="87" t="str">
        <f t="shared" si="10"/>
        <v/>
      </c>
      <c r="O74" s="87"/>
      <c r="P74" s="87"/>
      <c r="Q74" s="88" t="str">
        <f>IF(B74&lt;&gt;"",SUMIFS(RECONVAN!I:I,RECONVAN!$A:$A,HORÁRIO!B74,RECONVAN!$F:$F,HORÁRIO!$Q$2),"")</f>
        <v/>
      </c>
      <c r="R74" s="88" t="str">
        <f>IF(B74&lt;&gt;"",SUMIFS(RECONVAN!I:I,RECONVAN!$A:$A,HORÁRIO!B74,RECONVAN!$F:$F,HORÁRIO!$R$2),"")</f>
        <v/>
      </c>
      <c r="S74" s="88" t="str">
        <f>IF(B74&lt;&gt;"",SUMIFS(RECONVAN!I:I,RECONVAN!$A:$A,HORÁRIO!B74,RECONVAN!$F:$F,HORÁRIO!$S$2),"")</f>
        <v/>
      </c>
      <c r="T74" s="88" t="str">
        <f>IF(B74&lt;&gt;"",SUMIFS(RECONVAN!I:I,RECONVAN!$A:$A,HORÁRIO!B74,RECONVAN!$F:$F,HORÁRIO!$T$2),"")</f>
        <v/>
      </c>
      <c r="U74" s="88" t="str">
        <f>IF(B74&lt;&gt;"",SUMIFS(RECONVAN!I:I,RECONVAN!$A:$A,HORÁRIO!B74,RECONVAN!$F:$F,HORÁRIO!$U$2),"")</f>
        <v/>
      </c>
      <c r="V74" s="88" t="str">
        <f>IF(B74&lt;&gt;"",SUMIFS(RECONVAN!I:I,RECONVAN!$A:$A,HORÁRIO!B74,RECONVAN!$F:$F,HORÁRIO!$V$2),"")</f>
        <v/>
      </c>
      <c r="W74" s="88" t="str">
        <f>IF(B74&lt;&gt;"",SUMIFS(RECONVAN!I:I,RECONVAN!$A:$A,HORÁRIO!B74,RECONVAN!$F:$F,HORÁRIO!$W$2),"")</f>
        <v/>
      </c>
      <c r="X74" s="88" t="str">
        <f>IF(B74&lt;&gt;"",SUMIFS(RECONVAN!I:I,RECONVAN!$A:$A,HORÁRIO!B74,RECONVAN!$F:$F,HORÁRIO!$X$2),"")</f>
        <v/>
      </c>
      <c r="Y74" s="88" t="str">
        <f>IF(B74&lt;&gt;"",SUMIFS(RECONVAN!I:I,RECONVAN!$A:$A,HORÁRIO!B74,RECONVAN!$F:$F,HORÁRIO!$Y$2),"")</f>
        <v/>
      </c>
      <c r="Z74" s="88" t="str">
        <f>IF(B74&lt;&gt;"",SUMIFS(RECONVAN!I:I,RECONVAN!$A:$A,HORÁRIO!B74,RECONVAN!$F:$F,HORÁRIO!$Z$2),"")</f>
        <v/>
      </c>
      <c r="AA74" s="88" t="str">
        <f>IF(B74&lt;&gt;"",SUMIFS(RECONVAN!I:I,RECONVAN!$A:$A,HORÁRIO!B74,RECONVAN!$F:$F,HORÁRIO!$AA$2),"")</f>
        <v/>
      </c>
      <c r="AB74" s="88" t="str">
        <f>IF(B74&lt;&gt;"",SUMIFS(RECONVAN!I:I,RECONVAN!$A:$A,HORÁRIO!B74,RECONVAN!$F:$F,HORÁRIO!$AB$2),"")</f>
        <v/>
      </c>
      <c r="AC74" s="88" t="str">
        <f>IF(B74&lt;&gt;"",SUMIFS(RECONVAN!I:I,RECONVAN!$A:$A,HORÁRIO!B74,RECONVAN!$F:$F,HORÁRIO!$AC$2),"")</f>
        <v/>
      </c>
      <c r="AD74" s="89" t="str">
        <f t="shared" si="12"/>
        <v/>
      </c>
      <c r="AE74" s="89" t="str">
        <f t="shared" si="13"/>
        <v/>
      </c>
    </row>
    <row r="75" spans="1:31" ht="18.75" x14ac:dyDescent="0.3">
      <c r="A75" s="344" t="str">
        <f t="shared" si="7"/>
        <v/>
      </c>
      <c r="B75" s="344" t="str">
        <f>PUXADA!B73</f>
        <v/>
      </c>
      <c r="C75" s="448" t="str">
        <f>IF(B75&lt;&gt;"",_xlfn.XLOOKUP(B75,PUXADA!$B$2:$B$939,PUXADA!$C$2:$C$939,""),"")</f>
        <v/>
      </c>
      <c r="D75" s="344" t="str">
        <f>IF(B75&lt;&gt;"",_xlfn.XLOOKUP(B75,PUXADA!$B$2:$B$939,PUXADA!$I$2:$I$939,""),"")</f>
        <v/>
      </c>
      <c r="E75" s="344" t="str">
        <f>_xlfn.XLOOKUP(D75,'BR''S'!$B$2:$B$104,'BR''S'!$C$2:$C$104,"")</f>
        <v/>
      </c>
      <c r="F75" s="344" t="str">
        <f>_xlfn.XLOOKUP(D75,'BR''S'!$B$2:$B$104,'BR''S'!$H$2:$H$104,"")</f>
        <v/>
      </c>
      <c r="G75" s="344" t="str">
        <f>_xlfn.XLOOKUP(D75,'BR''S'!$B$2:$B$104,'BR''S'!$D$2:$D$104,"")</f>
        <v/>
      </c>
      <c r="H75" s="346" t="str">
        <f>IF(B75&lt;&gt;"",PUXADA!P73,"")</f>
        <v/>
      </c>
      <c r="I75" s="344" t="str">
        <f>IF(B75&lt;&gt;"",PUXADA!G73,"")</f>
        <v/>
      </c>
      <c r="J75" s="561"/>
      <c r="K75" s="84"/>
      <c r="L75" s="84"/>
      <c r="M75" s="84"/>
      <c r="N75" s="84" t="str">
        <f t="shared" si="10"/>
        <v/>
      </c>
      <c r="O75" s="84"/>
      <c r="P75" s="84"/>
      <c r="Q75" s="85" t="str">
        <f>IF(B75&lt;&gt;"",SUMIFS(RECONVAN!I:I,RECONVAN!$A:$A,HORÁRIO!B75,RECONVAN!$F:$F,HORÁRIO!$Q$2),"")</f>
        <v/>
      </c>
      <c r="R75" s="85" t="str">
        <f>IF(B75&lt;&gt;"",SUMIFS(RECONVAN!I:I,RECONVAN!$A:$A,HORÁRIO!B75,RECONVAN!$F:$F,HORÁRIO!$R$2),"")</f>
        <v/>
      </c>
      <c r="S75" s="85" t="str">
        <f>IF(B75&lt;&gt;"",SUMIFS(RECONVAN!I:I,RECONVAN!$A:$A,HORÁRIO!B75,RECONVAN!$F:$F,HORÁRIO!$S$2),"")</f>
        <v/>
      </c>
      <c r="T75" s="85" t="str">
        <f>IF(B75&lt;&gt;"",SUMIFS(RECONVAN!I:I,RECONVAN!$A:$A,HORÁRIO!B75,RECONVAN!$F:$F,HORÁRIO!$T$2),"")</f>
        <v/>
      </c>
      <c r="U75" s="85" t="str">
        <f>IF(B75&lt;&gt;"",SUMIFS(RECONVAN!I:I,RECONVAN!$A:$A,HORÁRIO!B75,RECONVAN!$F:$F,HORÁRIO!$U$2),"")</f>
        <v/>
      </c>
      <c r="V75" s="85" t="str">
        <f>IF(B75&lt;&gt;"",SUMIFS(RECONVAN!I:I,RECONVAN!$A:$A,HORÁRIO!B75,RECONVAN!$F:$F,HORÁRIO!$V$2),"")</f>
        <v/>
      </c>
      <c r="W75" s="85" t="str">
        <f>IF(B75&lt;&gt;"",SUMIFS(RECONVAN!I:I,RECONVAN!$A:$A,HORÁRIO!B75,RECONVAN!$F:$F,HORÁRIO!$W$2),"")</f>
        <v/>
      </c>
      <c r="X75" s="85" t="str">
        <f>IF(B75&lt;&gt;"",SUMIFS(RECONVAN!I:I,RECONVAN!$A:$A,HORÁRIO!B75,RECONVAN!$F:$F,HORÁRIO!$X$2),"")</f>
        <v/>
      </c>
      <c r="Y75" s="85" t="str">
        <f>IF(B75&lt;&gt;"",SUMIFS(RECONVAN!I:I,RECONVAN!$A:$A,HORÁRIO!B75,RECONVAN!$F:$F,HORÁRIO!$Y$2),"")</f>
        <v/>
      </c>
      <c r="Z75" s="85" t="str">
        <f>IF(B75&lt;&gt;"",SUMIFS(RECONVAN!I:I,RECONVAN!$A:$A,HORÁRIO!B75,RECONVAN!$F:$F,HORÁRIO!$Z$2),"")</f>
        <v/>
      </c>
      <c r="AA75" s="85" t="str">
        <f>IF(B75&lt;&gt;"",SUMIFS(RECONVAN!I:I,RECONVAN!$A:$A,HORÁRIO!B75,RECONVAN!$F:$F,HORÁRIO!$AA$2),"")</f>
        <v/>
      </c>
      <c r="AB75" s="85" t="str">
        <f>IF(B75&lt;&gt;"",SUMIFS(RECONVAN!I:I,RECONVAN!$A:$A,HORÁRIO!B75,RECONVAN!$F:$F,HORÁRIO!$AB$2),"")</f>
        <v/>
      </c>
      <c r="AC75" s="85" t="str">
        <f>IF(B75&lt;&gt;"",SUMIFS(RECONVAN!I:I,RECONVAN!$A:$A,HORÁRIO!B75,RECONVAN!$F:$F,HORÁRIO!$AC$2),"")</f>
        <v/>
      </c>
      <c r="AD75" s="86" t="str">
        <f t="shared" si="12"/>
        <v/>
      </c>
      <c r="AE75" s="86" t="str">
        <f t="shared" si="13"/>
        <v/>
      </c>
    </row>
    <row r="76" spans="1:31" ht="18.75" x14ac:dyDescent="0.3">
      <c r="A76" s="344" t="str">
        <f t="shared" si="7"/>
        <v/>
      </c>
      <c r="B76" s="344" t="str">
        <f>PUXADA!B74</f>
        <v/>
      </c>
      <c r="C76" s="448" t="str">
        <f>IF(B76&lt;&gt;"",_xlfn.XLOOKUP(B76,PUXADA!$B$2:$B$939,PUXADA!$C$2:$C$939,""),"")</f>
        <v/>
      </c>
      <c r="D76" s="344" t="str">
        <f>IF(B76&lt;&gt;"",_xlfn.XLOOKUP(B76,PUXADA!$B$2:$B$939,PUXADA!$I$2:$I$939,""),"")</f>
        <v/>
      </c>
      <c r="E76" s="345" t="str">
        <f>_xlfn.XLOOKUP(D76,'BR''S'!$B$2:$B$104,'BR''S'!$C$2:$C$104,"")</f>
        <v/>
      </c>
      <c r="F76" s="345" t="str">
        <f>_xlfn.XLOOKUP(D76,'BR''S'!$B$2:$B$104,'BR''S'!$H$2:$H$104,"")</f>
        <v/>
      </c>
      <c r="G76" s="345" t="str">
        <f>_xlfn.XLOOKUP(D76,'BR''S'!$B$2:$B$104,'BR''S'!$D$2:$D$104,"")</f>
        <v/>
      </c>
      <c r="H76" s="347" t="str">
        <f>IF(B76&lt;&gt;"",PUXADA!P74,"")</f>
        <v/>
      </c>
      <c r="I76" s="345" t="str">
        <f>IF(B76&lt;&gt;"",PUXADA!G74,"")</f>
        <v/>
      </c>
      <c r="J76" s="322"/>
      <c r="K76" s="87"/>
      <c r="L76" s="87"/>
      <c r="M76" s="87"/>
      <c r="N76" s="87" t="str">
        <f t="shared" si="10"/>
        <v/>
      </c>
      <c r="O76" s="87"/>
      <c r="P76" s="87"/>
      <c r="Q76" s="88" t="str">
        <f>IF(B76&lt;&gt;"",SUMIFS(RECONVAN!I:I,RECONVAN!$A:$A,HORÁRIO!B76,RECONVAN!$F:$F,HORÁRIO!$Q$2),"")</f>
        <v/>
      </c>
      <c r="R76" s="88" t="str">
        <f>IF(B76&lt;&gt;"",SUMIFS(RECONVAN!I:I,RECONVAN!$A:$A,HORÁRIO!B76,RECONVAN!$F:$F,HORÁRIO!$R$2),"")</f>
        <v/>
      </c>
      <c r="S76" s="88" t="str">
        <f>IF(B76&lt;&gt;"",SUMIFS(RECONVAN!I:I,RECONVAN!$A:$A,HORÁRIO!B76,RECONVAN!$F:$F,HORÁRIO!$S$2),"")</f>
        <v/>
      </c>
      <c r="T76" s="88" t="str">
        <f>IF(B76&lt;&gt;"",SUMIFS(RECONVAN!I:I,RECONVAN!$A:$A,HORÁRIO!B76,RECONVAN!$F:$F,HORÁRIO!$T$2),"")</f>
        <v/>
      </c>
      <c r="U76" s="88" t="str">
        <f>IF(B76&lt;&gt;"",SUMIFS(RECONVAN!I:I,RECONVAN!$A:$A,HORÁRIO!B76,RECONVAN!$F:$F,HORÁRIO!$U$2),"")</f>
        <v/>
      </c>
      <c r="V76" s="88" t="str">
        <f>IF(B76&lt;&gt;"",SUMIFS(RECONVAN!I:I,RECONVAN!$A:$A,HORÁRIO!B76,RECONVAN!$F:$F,HORÁRIO!$V$2),"")</f>
        <v/>
      </c>
      <c r="W76" s="88" t="str">
        <f>IF(B76&lt;&gt;"",SUMIFS(RECONVAN!I:I,RECONVAN!$A:$A,HORÁRIO!B76,RECONVAN!$F:$F,HORÁRIO!$W$2),"")</f>
        <v/>
      </c>
      <c r="X76" s="88" t="str">
        <f>IF(B76&lt;&gt;"",SUMIFS(RECONVAN!I:I,RECONVAN!$A:$A,HORÁRIO!B76,RECONVAN!$F:$F,HORÁRIO!$X$2),"")</f>
        <v/>
      </c>
      <c r="Y76" s="88" t="str">
        <f>IF(B76&lt;&gt;"",SUMIFS(RECONVAN!I:I,RECONVAN!$A:$A,HORÁRIO!B76,RECONVAN!$F:$F,HORÁRIO!$Y$2),"")</f>
        <v/>
      </c>
      <c r="Z76" s="88" t="str">
        <f>IF(B76&lt;&gt;"",SUMIFS(RECONVAN!I:I,RECONVAN!$A:$A,HORÁRIO!B76,RECONVAN!$F:$F,HORÁRIO!$Z$2),"")</f>
        <v/>
      </c>
      <c r="AA76" s="88" t="str">
        <f>IF(B76&lt;&gt;"",SUMIFS(RECONVAN!I:I,RECONVAN!$A:$A,HORÁRIO!B76,RECONVAN!$F:$F,HORÁRIO!$AA$2),"")</f>
        <v/>
      </c>
      <c r="AB76" s="88" t="str">
        <f>IF(B76&lt;&gt;"",SUMIFS(RECONVAN!I:I,RECONVAN!$A:$A,HORÁRIO!B76,RECONVAN!$F:$F,HORÁRIO!$AB$2),"")</f>
        <v/>
      </c>
      <c r="AC76" s="88" t="str">
        <f>IF(B76&lt;&gt;"",SUMIFS(RECONVAN!I:I,RECONVAN!$A:$A,HORÁRIO!B76,RECONVAN!$F:$F,HORÁRIO!$AC$2),"")</f>
        <v/>
      </c>
      <c r="AD76" s="89" t="str">
        <f t="shared" si="12"/>
        <v/>
      </c>
      <c r="AE76" s="89" t="str">
        <f t="shared" si="13"/>
        <v/>
      </c>
    </row>
    <row r="77" spans="1:31" ht="18.75" x14ac:dyDescent="0.3">
      <c r="A77" s="344" t="str">
        <f t="shared" si="7"/>
        <v/>
      </c>
      <c r="B77" s="344" t="str">
        <f>PUXADA!B75</f>
        <v/>
      </c>
      <c r="C77" s="448" t="str">
        <f>IF(B77&lt;&gt;"",_xlfn.XLOOKUP(B77,PUXADA!$B$2:$B$939,PUXADA!$C$2:$C$939,""),"")</f>
        <v/>
      </c>
      <c r="D77" s="344" t="str">
        <f>IF(B77&lt;&gt;"",_xlfn.XLOOKUP(B77,PUXADA!$B$2:$B$939,PUXADA!$I$2:$I$939,""),"")</f>
        <v/>
      </c>
      <c r="E77" s="344" t="str">
        <f>_xlfn.XLOOKUP(D77,'BR''S'!$B$2:$B$104,'BR''S'!$C$2:$C$104,"")</f>
        <v/>
      </c>
      <c r="F77" s="344" t="str">
        <f>_xlfn.XLOOKUP(D77,'BR''S'!$B$2:$B$104,'BR''S'!$H$2:$H$104,"")</f>
        <v/>
      </c>
      <c r="G77" s="344" t="str">
        <f>_xlfn.XLOOKUP(D77,'BR''S'!$B$2:$B$104,'BR''S'!$D$2:$D$104,"")</f>
        <v/>
      </c>
      <c r="H77" s="346" t="str">
        <f>IF(B77&lt;&gt;"",PUXADA!P75,"")</f>
        <v/>
      </c>
      <c r="I77" s="344" t="str">
        <f>IF(B77&lt;&gt;"",PUXADA!G75,"")</f>
        <v/>
      </c>
      <c r="J77" s="561"/>
      <c r="K77" s="84"/>
      <c r="L77" s="84"/>
      <c r="M77" s="84"/>
      <c r="N77" s="84" t="str">
        <f t="shared" si="10"/>
        <v/>
      </c>
      <c r="O77" s="84"/>
      <c r="P77" s="84"/>
      <c r="Q77" s="85" t="str">
        <f>IF(B77&lt;&gt;"",SUMIFS(RECONVAN!I:I,RECONVAN!$A:$A,HORÁRIO!B77,RECONVAN!$F:$F,HORÁRIO!$Q$2),"")</f>
        <v/>
      </c>
      <c r="R77" s="85" t="str">
        <f>IF(B77&lt;&gt;"",SUMIFS(RECONVAN!I:I,RECONVAN!$A:$A,HORÁRIO!B77,RECONVAN!$F:$F,HORÁRIO!$R$2),"")</f>
        <v/>
      </c>
      <c r="S77" s="85" t="str">
        <f>IF(B77&lt;&gt;"",SUMIFS(RECONVAN!I:I,RECONVAN!$A:$A,HORÁRIO!B77,RECONVAN!$F:$F,HORÁRIO!$S$2),"")</f>
        <v/>
      </c>
      <c r="T77" s="85" t="str">
        <f>IF(B77&lt;&gt;"",SUMIFS(RECONVAN!I:I,RECONVAN!$A:$A,HORÁRIO!B77,RECONVAN!$F:$F,HORÁRIO!$T$2),"")</f>
        <v/>
      </c>
      <c r="U77" s="85" t="str">
        <f>IF(B77&lt;&gt;"",SUMIFS(RECONVAN!I:I,RECONVAN!$A:$A,HORÁRIO!B77,RECONVAN!$F:$F,HORÁRIO!$U$2),"")</f>
        <v/>
      </c>
      <c r="V77" s="85" t="str">
        <f>IF(B77&lt;&gt;"",SUMIFS(RECONVAN!I:I,RECONVAN!$A:$A,HORÁRIO!B77,RECONVAN!$F:$F,HORÁRIO!$V$2),"")</f>
        <v/>
      </c>
      <c r="W77" s="85" t="str">
        <f>IF(B77&lt;&gt;"",SUMIFS(RECONVAN!I:I,RECONVAN!$A:$A,HORÁRIO!B77,RECONVAN!$F:$F,HORÁRIO!$W$2),"")</f>
        <v/>
      </c>
      <c r="X77" s="85" t="str">
        <f>IF(B77&lt;&gt;"",SUMIFS(RECONVAN!I:I,RECONVAN!$A:$A,HORÁRIO!B77,RECONVAN!$F:$F,HORÁRIO!$X$2),"")</f>
        <v/>
      </c>
      <c r="Y77" s="85" t="str">
        <f>IF(B77&lt;&gt;"",SUMIFS(RECONVAN!I:I,RECONVAN!$A:$A,HORÁRIO!B77,RECONVAN!$F:$F,HORÁRIO!$Y$2),"")</f>
        <v/>
      </c>
      <c r="Z77" s="85" t="str">
        <f>IF(B77&lt;&gt;"",SUMIFS(RECONVAN!I:I,RECONVAN!$A:$A,HORÁRIO!B77,RECONVAN!$F:$F,HORÁRIO!$Z$2),"")</f>
        <v/>
      </c>
      <c r="AA77" s="85" t="str">
        <f>IF(B77&lt;&gt;"",SUMIFS(RECONVAN!I:I,RECONVAN!$A:$A,HORÁRIO!B77,RECONVAN!$F:$F,HORÁRIO!$AA$2),"")</f>
        <v/>
      </c>
      <c r="AB77" s="85" t="str">
        <f>IF(B77&lt;&gt;"",SUMIFS(RECONVAN!I:I,RECONVAN!$A:$A,HORÁRIO!B77,RECONVAN!$F:$F,HORÁRIO!$AB$2),"")</f>
        <v/>
      </c>
      <c r="AC77" s="85" t="str">
        <f>IF(B77&lt;&gt;"",SUMIFS(RECONVAN!I:I,RECONVAN!$A:$A,HORÁRIO!B77,RECONVAN!$F:$F,HORÁRIO!$AC$2),"")</f>
        <v/>
      </c>
      <c r="AD77" s="86" t="str">
        <f t="shared" si="12"/>
        <v/>
      </c>
      <c r="AE77" s="86" t="str">
        <f t="shared" si="13"/>
        <v/>
      </c>
    </row>
    <row r="78" spans="1:31" ht="18.75" x14ac:dyDescent="0.3">
      <c r="A78" s="344" t="str">
        <f t="shared" si="7"/>
        <v/>
      </c>
      <c r="B78" s="344" t="str">
        <f>PUXADA!B76</f>
        <v/>
      </c>
      <c r="C78" s="448" t="str">
        <f>IF(B78&lt;&gt;"",_xlfn.XLOOKUP(B78,PUXADA!$B$2:$B$939,PUXADA!$C$2:$C$939,""),"")</f>
        <v/>
      </c>
      <c r="D78" s="344" t="str">
        <f>IF(B78&lt;&gt;"",_xlfn.XLOOKUP(B78,PUXADA!$B$2:$B$939,PUXADA!$I$2:$I$939,""),"")</f>
        <v/>
      </c>
      <c r="E78" s="345" t="str">
        <f>_xlfn.XLOOKUP(D78,'BR''S'!$B$2:$B$104,'BR''S'!$C$2:$C$104,"")</f>
        <v/>
      </c>
      <c r="F78" s="345" t="str">
        <f>_xlfn.XLOOKUP(D78,'BR''S'!$B$2:$B$104,'BR''S'!$H$2:$H$104,"")</f>
        <v/>
      </c>
      <c r="G78" s="345" t="str">
        <f>_xlfn.XLOOKUP(D78,'BR''S'!$B$2:$B$104,'BR''S'!$D$2:$D$104,"")</f>
        <v/>
      </c>
      <c r="H78" s="347" t="str">
        <f>IF(B78&lt;&gt;"",PUXADA!P76,"")</f>
        <v/>
      </c>
      <c r="I78" s="345" t="str">
        <f>IF(B78&lt;&gt;"",PUXADA!G76,"")</f>
        <v/>
      </c>
      <c r="J78" s="322"/>
      <c r="K78" s="87"/>
      <c r="L78" s="87"/>
      <c r="M78" s="480"/>
      <c r="N78" s="84" t="str">
        <f t="shared" si="10"/>
        <v/>
      </c>
      <c r="O78" s="87"/>
      <c r="P78" s="87"/>
      <c r="Q78" s="85" t="str">
        <f>IF(B78&lt;&gt;"",SUMIFS(RECONVAN!I:I,RECONVAN!$A:$A,HORÁRIO!B78,RECONVAN!$F:$F,HORÁRIO!$Q$2),"")</f>
        <v/>
      </c>
      <c r="R78" s="85" t="str">
        <f>IF(B78&lt;&gt;"",SUMIFS(RECONVAN!I:I,RECONVAN!$A:$A,HORÁRIO!B78,RECONVAN!$F:$F,HORÁRIO!$R$2),"")</f>
        <v/>
      </c>
      <c r="S78" s="85" t="str">
        <f>IF(B78&lt;&gt;"",SUMIFS(RECONVAN!I:I,RECONVAN!$A:$A,HORÁRIO!B78,RECONVAN!$F:$F,HORÁRIO!$S$2),"")</f>
        <v/>
      </c>
      <c r="T78" s="85" t="str">
        <f>IF(B78&lt;&gt;"",SUMIFS(RECONVAN!I:I,RECONVAN!$A:$A,HORÁRIO!B78,RECONVAN!$F:$F,HORÁRIO!$T$2),"")</f>
        <v/>
      </c>
      <c r="U78" s="85" t="str">
        <f>IF(B78&lt;&gt;"",SUMIFS(RECONVAN!I:I,RECONVAN!$A:$A,HORÁRIO!B78,RECONVAN!$F:$F,HORÁRIO!$U$2),"")</f>
        <v/>
      </c>
      <c r="V78" s="85" t="str">
        <f>IF(B78&lt;&gt;"",SUMIFS(RECONVAN!I:I,RECONVAN!$A:$A,HORÁRIO!B78,RECONVAN!$F:$F,HORÁRIO!$V$2),"")</f>
        <v/>
      </c>
      <c r="W78" s="85" t="str">
        <f>IF(B78&lt;&gt;"",SUMIFS(RECONVAN!I:I,RECONVAN!$A:$A,HORÁRIO!B78,RECONVAN!$F:$F,HORÁRIO!$W$2),"")</f>
        <v/>
      </c>
      <c r="X78" s="85" t="str">
        <f>IF(B78&lt;&gt;"",SUMIFS(RECONVAN!I:I,RECONVAN!$A:$A,HORÁRIO!B78,RECONVAN!$F:$F,HORÁRIO!$X$2),"")</f>
        <v/>
      </c>
      <c r="Y78" s="85" t="str">
        <f>IF(B78&lt;&gt;"",SUMIFS(RECONVAN!I:I,RECONVAN!$A:$A,HORÁRIO!B78,RECONVAN!$F:$F,HORÁRIO!$Y$2),"")</f>
        <v/>
      </c>
      <c r="Z78" s="85" t="str">
        <f>IF(B78&lt;&gt;"",SUMIFS(RECONVAN!I:I,RECONVAN!$A:$A,HORÁRIO!B78,RECONVAN!$F:$F,HORÁRIO!$Z$2),"")</f>
        <v/>
      </c>
      <c r="AA78" s="85" t="str">
        <f>IF(B78&lt;&gt;"",SUMIFS(RECONVAN!I:I,RECONVAN!$A:$A,HORÁRIO!B78,RECONVAN!$F:$F,HORÁRIO!$AA$2),"")</f>
        <v/>
      </c>
      <c r="AB78" s="85" t="str">
        <f>IF(B78&lt;&gt;"",SUMIFS(RECONVAN!I:I,RECONVAN!$A:$A,HORÁRIO!B78,RECONVAN!$F:$F,HORÁRIO!$AB$2),"")</f>
        <v/>
      </c>
      <c r="AC78" s="85" t="str">
        <f>IF(B78&lt;&gt;"",SUMIFS(RECONVAN!I:I,RECONVAN!$A:$A,HORÁRIO!B78,RECONVAN!$F:$F,HORÁRIO!$AC$2),"")</f>
        <v/>
      </c>
      <c r="AD78" s="86" t="str">
        <f t="shared" si="12"/>
        <v/>
      </c>
      <c r="AE78" s="86" t="str">
        <f t="shared" si="13"/>
        <v/>
      </c>
    </row>
    <row r="79" spans="1:31" ht="18.75" x14ac:dyDescent="0.3">
      <c r="A79" s="344" t="str">
        <f t="shared" si="7"/>
        <v/>
      </c>
      <c r="B79" s="344" t="str">
        <f>PUXADA!B77</f>
        <v/>
      </c>
      <c r="C79" s="448" t="str">
        <f>IF(B79&lt;&gt;"",_xlfn.XLOOKUP(B79,PUXADA!$B$2:$B$939,PUXADA!$C$2:$C$939,""),"")</f>
        <v/>
      </c>
      <c r="D79" s="344" t="str">
        <f>IF(B79&lt;&gt;"",_xlfn.XLOOKUP(B79,PUXADA!$B$2:$B$939,PUXADA!$I$2:$I$939,""),"")</f>
        <v/>
      </c>
      <c r="E79" s="344" t="str">
        <f>_xlfn.XLOOKUP(D79,'BR''S'!$B$2:$B$104,'BR''S'!$C$2:$C$104,"")</f>
        <v/>
      </c>
      <c r="F79" s="344" t="str">
        <f>_xlfn.XLOOKUP(D79,'BR''S'!$B$2:$B$104,'BR''S'!$H$2:$H$104,"")</f>
        <v/>
      </c>
      <c r="G79" s="344" t="str">
        <f>_xlfn.XLOOKUP(D79,'BR''S'!$B$2:$B$104,'BR''S'!$D$2:$D$104,"")</f>
        <v/>
      </c>
      <c r="H79" s="346" t="str">
        <f>IF(B79&lt;&gt;"",PUXADA!P77,"")</f>
        <v/>
      </c>
      <c r="I79" s="344" t="str">
        <f>IF(B79&lt;&gt;"",PUXADA!G77,"")</f>
        <v/>
      </c>
      <c r="J79" s="561"/>
      <c r="K79" s="84"/>
      <c r="L79" s="84"/>
      <c r="M79" s="84"/>
      <c r="N79" s="84" t="str">
        <f t="shared" si="10"/>
        <v/>
      </c>
      <c r="O79" s="84"/>
      <c r="P79" s="84"/>
      <c r="Q79" s="85" t="str">
        <f>IF(B79&lt;&gt;"",SUMIFS(RECONVAN!I:I,RECONVAN!$A:$A,HORÁRIO!B79,RECONVAN!$F:$F,HORÁRIO!$Q$2),"")</f>
        <v/>
      </c>
      <c r="R79" s="85" t="str">
        <f>IF(B79&lt;&gt;"",SUMIFS(RECONVAN!I:I,RECONVAN!$A:$A,HORÁRIO!B79,RECONVAN!$F:$F,HORÁRIO!$R$2),"")</f>
        <v/>
      </c>
      <c r="S79" s="85" t="str">
        <f>IF(B79&lt;&gt;"",SUMIFS(RECONVAN!I:I,RECONVAN!$A:$A,HORÁRIO!B79,RECONVAN!$F:$F,HORÁRIO!$S$2),"")</f>
        <v/>
      </c>
      <c r="T79" s="85" t="str">
        <f>IF(B79&lt;&gt;"",SUMIFS(RECONVAN!I:I,RECONVAN!$A:$A,HORÁRIO!B79,RECONVAN!$F:$F,HORÁRIO!$T$2),"")</f>
        <v/>
      </c>
      <c r="U79" s="85" t="str">
        <f>IF(B79&lt;&gt;"",SUMIFS(RECONVAN!I:I,RECONVAN!$A:$A,HORÁRIO!B79,RECONVAN!$F:$F,HORÁRIO!$U$2),"")</f>
        <v/>
      </c>
      <c r="V79" s="85" t="str">
        <f>IF(B79&lt;&gt;"",SUMIFS(RECONVAN!I:I,RECONVAN!$A:$A,HORÁRIO!B79,RECONVAN!$F:$F,HORÁRIO!$V$2),"")</f>
        <v/>
      </c>
      <c r="W79" s="85" t="str">
        <f>IF(B79&lt;&gt;"",SUMIFS(RECONVAN!I:I,RECONVAN!$A:$A,HORÁRIO!B79,RECONVAN!$F:$F,HORÁRIO!$W$2),"")</f>
        <v/>
      </c>
      <c r="X79" s="85" t="str">
        <f>IF(B79&lt;&gt;"",SUMIFS(RECONVAN!I:I,RECONVAN!$A:$A,HORÁRIO!B79,RECONVAN!$F:$F,HORÁRIO!$X$2),"")</f>
        <v/>
      </c>
      <c r="Y79" s="85" t="str">
        <f>IF(B79&lt;&gt;"",SUMIFS(RECONVAN!I:I,RECONVAN!$A:$A,HORÁRIO!B79,RECONVAN!$F:$F,HORÁRIO!$Y$2),"")</f>
        <v/>
      </c>
      <c r="Z79" s="85" t="str">
        <f>IF(B79&lt;&gt;"",SUMIFS(RECONVAN!I:I,RECONVAN!$A:$A,HORÁRIO!B79,RECONVAN!$F:$F,HORÁRIO!$Z$2),"")</f>
        <v/>
      </c>
      <c r="AA79" s="85" t="str">
        <f>IF(B79&lt;&gt;"",SUMIFS(RECONVAN!I:I,RECONVAN!$A:$A,HORÁRIO!B79,RECONVAN!$F:$F,HORÁRIO!$AA$2),"")</f>
        <v/>
      </c>
      <c r="AB79" s="85" t="str">
        <f>IF(B79&lt;&gt;"",SUMIFS(RECONVAN!I:I,RECONVAN!$A:$A,HORÁRIO!B79,RECONVAN!$F:$F,HORÁRIO!$AB$2),"")</f>
        <v/>
      </c>
      <c r="AC79" s="85" t="str">
        <f>IF(B79&lt;&gt;"",SUMIFS(RECONVAN!I:I,RECONVAN!$A:$A,HORÁRIO!B79,RECONVAN!$F:$F,HORÁRIO!$AC$2),"")</f>
        <v/>
      </c>
      <c r="AD79" s="86" t="str">
        <f t="shared" si="12"/>
        <v/>
      </c>
      <c r="AE79" s="86" t="str">
        <f t="shared" si="13"/>
        <v/>
      </c>
    </row>
    <row r="80" spans="1:31" ht="18.75" x14ac:dyDescent="0.3">
      <c r="A80" s="344" t="str">
        <f t="shared" si="7"/>
        <v/>
      </c>
      <c r="B80" s="344" t="str">
        <f>PUXADA!B78</f>
        <v/>
      </c>
      <c r="C80" s="448" t="str">
        <f>IF(B80&lt;&gt;"",_xlfn.XLOOKUP(B80,PUXADA!$B$2:$B$939,PUXADA!$C$2:$C$939,""),"")</f>
        <v/>
      </c>
      <c r="D80" s="344" t="str">
        <f>IF(B80&lt;&gt;"",_xlfn.XLOOKUP(B80,PUXADA!$B$2:$B$939,PUXADA!$I$2:$I$939,""),"")</f>
        <v/>
      </c>
      <c r="E80" s="345" t="str">
        <f>_xlfn.XLOOKUP(D80,'BR''S'!$B$2:$B$104,'BR''S'!$C$2:$C$104,"")</f>
        <v/>
      </c>
      <c r="F80" s="345" t="str">
        <f>_xlfn.XLOOKUP(D80,'BR''S'!$B$2:$B$104,'BR''S'!$H$2:$H$104,"")</f>
        <v/>
      </c>
      <c r="G80" s="345" t="str">
        <f>_xlfn.XLOOKUP(D80,'BR''S'!$B$2:$B$104,'BR''S'!$D$2:$D$104,"")</f>
        <v/>
      </c>
      <c r="H80" s="347" t="str">
        <f>IF(B80&lt;&gt;"",PUXADA!P78,"")</f>
        <v/>
      </c>
      <c r="I80" s="345" t="str">
        <f>IF(B80&lt;&gt;"",PUXADA!G78,"")</f>
        <v/>
      </c>
      <c r="J80" s="322"/>
      <c r="K80" s="87"/>
      <c r="L80" s="87"/>
      <c r="M80" s="480"/>
      <c r="N80" s="84" t="str">
        <f t="shared" si="10"/>
        <v/>
      </c>
      <c r="O80" s="87"/>
      <c r="P80" s="87"/>
      <c r="Q80" s="85" t="str">
        <f>IF(B80&lt;&gt;"",SUMIFS(RECONVAN!I:I,RECONVAN!$A:$A,HORÁRIO!B80,RECONVAN!$F:$F,HORÁRIO!$Q$2),"")</f>
        <v/>
      </c>
      <c r="R80" s="85" t="str">
        <f>IF(B80&lt;&gt;"",SUMIFS(RECONVAN!I:I,RECONVAN!$A:$A,HORÁRIO!B80,RECONVAN!$F:$F,HORÁRIO!$R$2),"")</f>
        <v/>
      </c>
      <c r="S80" s="85" t="str">
        <f>IF(B80&lt;&gt;"",SUMIFS(RECONVAN!I:I,RECONVAN!$A:$A,HORÁRIO!B80,RECONVAN!$F:$F,HORÁRIO!$S$2),"")</f>
        <v/>
      </c>
      <c r="T80" s="85" t="str">
        <f>IF(B80&lt;&gt;"",SUMIFS(RECONVAN!I:I,RECONVAN!$A:$A,HORÁRIO!B80,RECONVAN!$F:$F,HORÁRIO!$T$2),"")</f>
        <v/>
      </c>
      <c r="U80" s="85" t="str">
        <f>IF(B80&lt;&gt;"",SUMIFS(RECONVAN!I:I,RECONVAN!$A:$A,HORÁRIO!B80,RECONVAN!$F:$F,HORÁRIO!$U$2),"")</f>
        <v/>
      </c>
      <c r="V80" s="85" t="str">
        <f>IF(B80&lt;&gt;"",SUMIFS(RECONVAN!I:I,RECONVAN!$A:$A,HORÁRIO!B80,RECONVAN!$F:$F,HORÁRIO!$V$2),"")</f>
        <v/>
      </c>
      <c r="W80" s="85" t="str">
        <f>IF(B80&lt;&gt;"",SUMIFS(RECONVAN!I:I,RECONVAN!$A:$A,HORÁRIO!B80,RECONVAN!$F:$F,HORÁRIO!$W$2),"")</f>
        <v/>
      </c>
      <c r="X80" s="85" t="str">
        <f>IF(B80&lt;&gt;"",SUMIFS(RECONVAN!I:I,RECONVAN!$A:$A,HORÁRIO!B80,RECONVAN!$F:$F,HORÁRIO!$X$2),"")</f>
        <v/>
      </c>
      <c r="Y80" s="85" t="str">
        <f>IF(B80&lt;&gt;"",SUMIFS(RECONVAN!I:I,RECONVAN!$A:$A,HORÁRIO!B80,RECONVAN!$F:$F,HORÁRIO!$Y$2),"")</f>
        <v/>
      </c>
      <c r="Z80" s="85" t="str">
        <f>IF(B80&lt;&gt;"",SUMIFS(RECONVAN!I:I,RECONVAN!$A:$A,HORÁRIO!B80,RECONVAN!$F:$F,HORÁRIO!$Z$2),"")</f>
        <v/>
      </c>
      <c r="AA80" s="85" t="str">
        <f>IF(B80&lt;&gt;"",SUMIFS(RECONVAN!I:I,RECONVAN!$A:$A,HORÁRIO!B80,RECONVAN!$F:$F,HORÁRIO!$AA$2),"")</f>
        <v/>
      </c>
      <c r="AB80" s="85" t="str">
        <f>IF(B80&lt;&gt;"",SUMIFS(RECONVAN!I:I,RECONVAN!$A:$A,HORÁRIO!B80,RECONVAN!$F:$F,HORÁRIO!$AB$2),"")</f>
        <v/>
      </c>
      <c r="AC80" s="85" t="str">
        <f>IF(B80&lt;&gt;"",SUMIFS(RECONVAN!I:I,RECONVAN!$A:$A,HORÁRIO!B80,RECONVAN!$F:$F,HORÁRIO!$AC$2),"")</f>
        <v/>
      </c>
      <c r="AD80" s="86" t="str">
        <f t="shared" si="12"/>
        <v/>
      </c>
      <c r="AE80" s="86" t="str">
        <f t="shared" si="13"/>
        <v/>
      </c>
    </row>
    <row r="81" spans="1:31" ht="18.75" x14ac:dyDescent="0.3">
      <c r="A81" s="344" t="str">
        <f t="shared" si="7"/>
        <v/>
      </c>
      <c r="B81" s="344" t="str">
        <f>PUXADA!B79</f>
        <v/>
      </c>
      <c r="C81" s="448" t="str">
        <f>IF(B81&lt;&gt;"",_xlfn.XLOOKUP(B81,PUXADA!$B$2:$B$939,PUXADA!$C$2:$C$939,""),"")</f>
        <v/>
      </c>
      <c r="D81" s="344" t="str">
        <f>IF(B81&lt;&gt;"",_xlfn.XLOOKUP(B81,PUXADA!$B$2:$B$939,PUXADA!$I$2:$I$939,""),"")</f>
        <v/>
      </c>
      <c r="E81" s="344" t="str">
        <f>_xlfn.XLOOKUP(D81,'BR''S'!$B$2:$B$104,'BR''S'!$C$2:$C$104,"")</f>
        <v/>
      </c>
      <c r="F81" s="344" t="str">
        <f>_xlfn.XLOOKUP(D81,'BR''S'!$B$2:$B$104,'BR''S'!$H$2:$H$104,"")</f>
        <v/>
      </c>
      <c r="G81" s="344" t="str">
        <f>_xlfn.XLOOKUP(D81,'BR''S'!$B$2:$B$104,'BR''S'!$D$2:$D$104,"")</f>
        <v/>
      </c>
      <c r="H81" s="346" t="str">
        <f>IF(B81&lt;&gt;"",PUXADA!P79,"")</f>
        <v/>
      </c>
      <c r="I81" s="344" t="str">
        <f>IF(B81&lt;&gt;"",PUXADA!G79,"")</f>
        <v/>
      </c>
      <c r="J81" s="561"/>
      <c r="K81" s="84"/>
      <c r="L81" s="84"/>
      <c r="M81" s="84"/>
      <c r="N81" s="84" t="str">
        <f t="shared" si="10"/>
        <v/>
      </c>
      <c r="O81" s="84"/>
      <c r="P81" s="84"/>
      <c r="Q81" s="85" t="str">
        <f>IF(B81&lt;&gt;"",SUMIFS(RECONVAN!I:I,RECONVAN!$A:$A,HORÁRIO!B81,RECONVAN!$F:$F,HORÁRIO!$Q$2),"")</f>
        <v/>
      </c>
      <c r="R81" s="85" t="str">
        <f>IF(B81&lt;&gt;"",SUMIFS(RECONVAN!I:I,RECONVAN!$A:$A,HORÁRIO!B81,RECONVAN!$F:$F,HORÁRIO!$R$2),"")</f>
        <v/>
      </c>
      <c r="S81" s="85" t="str">
        <f>IF(B81&lt;&gt;"",SUMIFS(RECONVAN!I:I,RECONVAN!$A:$A,HORÁRIO!B81,RECONVAN!$F:$F,HORÁRIO!$S$2),"")</f>
        <v/>
      </c>
      <c r="T81" s="85" t="str">
        <f>IF(B81&lt;&gt;"",SUMIFS(RECONVAN!I:I,RECONVAN!$A:$A,HORÁRIO!B81,RECONVAN!$F:$F,HORÁRIO!$T$2),"")</f>
        <v/>
      </c>
      <c r="U81" s="85" t="str">
        <f>IF(B81&lt;&gt;"",SUMIFS(RECONVAN!I:I,RECONVAN!$A:$A,HORÁRIO!B81,RECONVAN!$F:$F,HORÁRIO!$U$2),"")</f>
        <v/>
      </c>
      <c r="V81" s="85" t="str">
        <f>IF(B81&lt;&gt;"",SUMIFS(RECONVAN!I:I,RECONVAN!$A:$A,HORÁRIO!B81,RECONVAN!$F:$F,HORÁRIO!$V$2),"")</f>
        <v/>
      </c>
      <c r="W81" s="85" t="str">
        <f>IF(B81&lt;&gt;"",SUMIFS(RECONVAN!I:I,RECONVAN!$A:$A,HORÁRIO!B81,RECONVAN!$F:$F,HORÁRIO!$W$2),"")</f>
        <v/>
      </c>
      <c r="X81" s="85" t="str">
        <f>IF(B81&lt;&gt;"",SUMIFS(RECONVAN!I:I,RECONVAN!$A:$A,HORÁRIO!B81,RECONVAN!$F:$F,HORÁRIO!$X$2),"")</f>
        <v/>
      </c>
      <c r="Y81" s="85" t="str">
        <f>IF(B81&lt;&gt;"",SUMIFS(RECONVAN!I:I,RECONVAN!$A:$A,HORÁRIO!B81,RECONVAN!$F:$F,HORÁRIO!$Y$2),"")</f>
        <v/>
      </c>
      <c r="Z81" s="85" t="str">
        <f>IF(B81&lt;&gt;"",SUMIFS(RECONVAN!I:I,RECONVAN!$A:$A,HORÁRIO!B81,RECONVAN!$F:$F,HORÁRIO!$Z$2),"")</f>
        <v/>
      </c>
      <c r="AA81" s="85" t="str">
        <f>IF(B81&lt;&gt;"",SUMIFS(RECONVAN!I:I,RECONVAN!$A:$A,HORÁRIO!B81,RECONVAN!$F:$F,HORÁRIO!$AA$2),"")</f>
        <v/>
      </c>
      <c r="AB81" s="85" t="str">
        <f>IF(B81&lt;&gt;"",SUMIFS(RECONVAN!I:I,RECONVAN!$A:$A,HORÁRIO!B81,RECONVAN!$F:$F,HORÁRIO!$AB$2),"")</f>
        <v/>
      </c>
      <c r="AC81" s="85" t="str">
        <f>IF(B81&lt;&gt;"",SUMIFS(RECONVAN!I:I,RECONVAN!$A:$A,HORÁRIO!B81,RECONVAN!$F:$F,HORÁRIO!$AC$2),"")</f>
        <v/>
      </c>
      <c r="AD81" s="86" t="str">
        <f t="shared" si="12"/>
        <v/>
      </c>
      <c r="AE81" s="86" t="str">
        <f t="shared" si="13"/>
        <v/>
      </c>
    </row>
    <row r="82" spans="1:31" ht="18.75" x14ac:dyDescent="0.3">
      <c r="A82" s="344" t="str">
        <f t="shared" si="7"/>
        <v/>
      </c>
      <c r="B82" s="344" t="str">
        <f>PUXADA!B80</f>
        <v/>
      </c>
      <c r="C82" s="448" t="str">
        <f>IF(B82&lt;&gt;"",_xlfn.XLOOKUP(B82,PUXADA!$B$2:$B$939,PUXADA!$C$2:$C$939,""),"")</f>
        <v/>
      </c>
      <c r="D82" s="344" t="str">
        <f>IF(B82&lt;&gt;"",_xlfn.XLOOKUP(B82,PUXADA!$B$2:$B$939,PUXADA!$I$2:$I$939,""),"")</f>
        <v/>
      </c>
      <c r="E82" s="345" t="str">
        <f>_xlfn.XLOOKUP(D82,'BR''S'!$B$2:$B$104,'BR''S'!$C$2:$C$104,"")</f>
        <v/>
      </c>
      <c r="F82" s="345" t="str">
        <f>_xlfn.XLOOKUP(D82,'BR''S'!$B$2:$B$104,'BR''S'!$H$2:$H$104,"")</f>
        <v/>
      </c>
      <c r="G82" s="345" t="str">
        <f>_xlfn.XLOOKUP(D82,'BR''S'!$B$2:$B$104,'BR''S'!$D$2:$D$104,"")</f>
        <v/>
      </c>
      <c r="H82" s="347" t="str">
        <f>IF(B82&lt;&gt;"",PUXADA!P80,"")</f>
        <v/>
      </c>
      <c r="I82" s="345" t="str">
        <f>IF(B82&lt;&gt;"",PUXADA!G80,"")</f>
        <v/>
      </c>
      <c r="J82" s="322"/>
      <c r="K82" s="87"/>
      <c r="L82" s="87"/>
      <c r="M82" s="480"/>
      <c r="N82" s="84" t="str">
        <f t="shared" si="10"/>
        <v/>
      </c>
      <c r="O82" s="87"/>
      <c r="P82" s="87"/>
      <c r="Q82" s="85" t="str">
        <f>IF(B82&lt;&gt;"",SUMIFS(RECONVAN!I:I,RECONVAN!$A:$A,HORÁRIO!B82,RECONVAN!$F:$F,HORÁRIO!$Q$2),"")</f>
        <v/>
      </c>
      <c r="R82" s="85" t="str">
        <f>IF(B82&lt;&gt;"",SUMIFS(RECONVAN!I:I,RECONVAN!$A:$A,HORÁRIO!B82,RECONVAN!$F:$F,HORÁRIO!$R$2),"")</f>
        <v/>
      </c>
      <c r="S82" s="85" t="str">
        <f>IF(B82&lt;&gt;"",SUMIFS(RECONVAN!I:I,RECONVAN!$A:$A,HORÁRIO!B82,RECONVAN!$F:$F,HORÁRIO!$S$2),"")</f>
        <v/>
      </c>
      <c r="T82" s="85" t="str">
        <f>IF(B82&lt;&gt;"",SUMIFS(RECONVAN!I:I,RECONVAN!$A:$A,HORÁRIO!B82,RECONVAN!$F:$F,HORÁRIO!$T$2),"")</f>
        <v/>
      </c>
      <c r="U82" s="85" t="str">
        <f>IF(B82&lt;&gt;"",SUMIFS(RECONVAN!I:I,RECONVAN!$A:$A,HORÁRIO!B82,RECONVAN!$F:$F,HORÁRIO!$U$2),"")</f>
        <v/>
      </c>
      <c r="V82" s="85" t="str">
        <f>IF(B82&lt;&gt;"",SUMIFS(RECONVAN!I:I,RECONVAN!$A:$A,HORÁRIO!B82,RECONVAN!$F:$F,HORÁRIO!$V$2),"")</f>
        <v/>
      </c>
      <c r="W82" s="85" t="str">
        <f>IF(B82&lt;&gt;"",SUMIFS(RECONVAN!I:I,RECONVAN!$A:$A,HORÁRIO!B82,RECONVAN!$F:$F,HORÁRIO!$W$2),"")</f>
        <v/>
      </c>
      <c r="X82" s="85" t="str">
        <f>IF(B82&lt;&gt;"",SUMIFS(RECONVAN!I:I,RECONVAN!$A:$A,HORÁRIO!B82,RECONVAN!$F:$F,HORÁRIO!$X$2),"")</f>
        <v/>
      </c>
      <c r="Y82" s="85" t="str">
        <f>IF(B82&lt;&gt;"",SUMIFS(RECONVAN!I:I,RECONVAN!$A:$A,HORÁRIO!B82,RECONVAN!$F:$F,HORÁRIO!$Y$2),"")</f>
        <v/>
      </c>
      <c r="Z82" s="85" t="str">
        <f>IF(B82&lt;&gt;"",SUMIFS(RECONVAN!I:I,RECONVAN!$A:$A,HORÁRIO!B82,RECONVAN!$F:$F,HORÁRIO!$Z$2),"")</f>
        <v/>
      </c>
      <c r="AA82" s="85" t="str">
        <f>IF(B82&lt;&gt;"",SUMIFS(RECONVAN!I:I,RECONVAN!$A:$A,HORÁRIO!B82,RECONVAN!$F:$F,HORÁRIO!$AA$2),"")</f>
        <v/>
      </c>
      <c r="AB82" s="85" t="str">
        <f>IF(B82&lt;&gt;"",SUMIFS(RECONVAN!I:I,RECONVAN!$A:$A,HORÁRIO!B82,RECONVAN!$F:$F,HORÁRIO!$AB$2),"")</f>
        <v/>
      </c>
      <c r="AC82" s="85" t="str">
        <f>IF(B82&lt;&gt;"",SUMIFS(RECONVAN!I:I,RECONVAN!$A:$A,HORÁRIO!B82,RECONVAN!$F:$F,HORÁRIO!$AC$2),"")</f>
        <v/>
      </c>
      <c r="AD82" s="86" t="str">
        <f t="shared" si="12"/>
        <v/>
      </c>
      <c r="AE82" s="86" t="str">
        <f t="shared" si="13"/>
        <v/>
      </c>
    </row>
    <row r="83" spans="1:31" ht="18.75" x14ac:dyDescent="0.3">
      <c r="A83" s="344" t="str">
        <f t="shared" si="7"/>
        <v/>
      </c>
      <c r="B83" s="344" t="str">
        <f>PUXADA!B81</f>
        <v/>
      </c>
      <c r="C83" s="448" t="str">
        <f>IF(B83&lt;&gt;"",_xlfn.XLOOKUP(B83,PUXADA!$B$2:$B$939,PUXADA!$C$2:$C$939,""),"")</f>
        <v/>
      </c>
      <c r="D83" s="344" t="str">
        <f>IF(B83&lt;&gt;"",_xlfn.XLOOKUP(B83,PUXADA!$B$2:$B$939,PUXADA!$I$2:$I$939,""),"")</f>
        <v/>
      </c>
      <c r="E83" s="344" t="str">
        <f>_xlfn.XLOOKUP(D83,'BR''S'!$B$2:$B$104,'BR''S'!$C$2:$C$104,"")</f>
        <v/>
      </c>
      <c r="F83" s="344" t="str">
        <f>_xlfn.XLOOKUP(D83,'BR''S'!$B$2:$B$104,'BR''S'!$H$2:$H$104,"")</f>
        <v/>
      </c>
      <c r="G83" s="344" t="str">
        <f>_xlfn.XLOOKUP(D83,'BR''S'!$B$2:$B$104,'BR''S'!$D$2:$D$104,"")</f>
        <v/>
      </c>
      <c r="H83" s="346" t="str">
        <f>IF(B83&lt;&gt;"",PUXADA!P81,"")</f>
        <v/>
      </c>
      <c r="I83" s="344" t="str">
        <f>IF(B83&lt;&gt;"",PUXADA!G81,"")</f>
        <v/>
      </c>
      <c r="J83" s="561"/>
      <c r="K83" s="84"/>
      <c r="L83" s="84"/>
      <c r="M83" s="84"/>
      <c r="N83" s="84" t="str">
        <f t="shared" si="10"/>
        <v/>
      </c>
      <c r="O83" s="84"/>
      <c r="P83" s="84"/>
      <c r="Q83" s="85" t="str">
        <f>IF(B83&lt;&gt;"",SUMIFS(RECONVAN!I:I,RECONVAN!$A:$A,HORÁRIO!B83,RECONVAN!$F:$F,HORÁRIO!$Q$2),"")</f>
        <v/>
      </c>
      <c r="R83" s="85" t="str">
        <f>IF(B83&lt;&gt;"",SUMIFS(RECONVAN!I:I,RECONVAN!$A:$A,HORÁRIO!B83,RECONVAN!$F:$F,HORÁRIO!$R$2),"")</f>
        <v/>
      </c>
      <c r="S83" s="85" t="str">
        <f>IF(B83&lt;&gt;"",SUMIFS(RECONVAN!I:I,RECONVAN!$A:$A,HORÁRIO!B83,RECONVAN!$F:$F,HORÁRIO!$S$2),"")</f>
        <v/>
      </c>
      <c r="T83" s="85" t="str">
        <f>IF(B83&lt;&gt;"",SUMIFS(RECONVAN!I:I,RECONVAN!$A:$A,HORÁRIO!B83,RECONVAN!$F:$F,HORÁRIO!$T$2),"")</f>
        <v/>
      </c>
      <c r="U83" s="85" t="str">
        <f>IF(B83&lt;&gt;"",SUMIFS(RECONVAN!I:I,RECONVAN!$A:$A,HORÁRIO!B83,RECONVAN!$F:$F,HORÁRIO!$U$2),"")</f>
        <v/>
      </c>
      <c r="V83" s="85" t="str">
        <f>IF(B83&lt;&gt;"",SUMIFS(RECONVAN!I:I,RECONVAN!$A:$A,HORÁRIO!B83,RECONVAN!$F:$F,HORÁRIO!$V$2),"")</f>
        <v/>
      </c>
      <c r="W83" s="85" t="str">
        <f>IF(B83&lt;&gt;"",SUMIFS(RECONVAN!I:I,RECONVAN!$A:$A,HORÁRIO!B83,RECONVAN!$F:$F,HORÁRIO!$W$2),"")</f>
        <v/>
      </c>
      <c r="X83" s="85" t="str">
        <f>IF(B83&lt;&gt;"",SUMIFS(RECONVAN!I:I,RECONVAN!$A:$A,HORÁRIO!B83,RECONVAN!$F:$F,HORÁRIO!$X$2),"")</f>
        <v/>
      </c>
      <c r="Y83" s="85" t="str">
        <f>IF(B83&lt;&gt;"",SUMIFS(RECONVAN!I:I,RECONVAN!$A:$A,HORÁRIO!B83,RECONVAN!$F:$F,HORÁRIO!$Y$2),"")</f>
        <v/>
      </c>
      <c r="Z83" s="85" t="str">
        <f>IF(B83&lt;&gt;"",SUMIFS(RECONVAN!I:I,RECONVAN!$A:$A,HORÁRIO!B83,RECONVAN!$F:$F,HORÁRIO!$Z$2),"")</f>
        <v/>
      </c>
      <c r="AA83" s="85" t="str">
        <f>IF(B83&lt;&gt;"",SUMIFS(RECONVAN!I:I,RECONVAN!$A:$A,HORÁRIO!B83,RECONVAN!$F:$F,HORÁRIO!$AA$2),"")</f>
        <v/>
      </c>
      <c r="AB83" s="85" t="str">
        <f>IF(B83&lt;&gt;"",SUMIFS(RECONVAN!I:I,RECONVAN!$A:$A,HORÁRIO!B83,RECONVAN!$F:$F,HORÁRIO!$AB$2),"")</f>
        <v/>
      </c>
      <c r="AC83" s="85" t="str">
        <f>IF(B83&lt;&gt;"",SUMIFS(RECONVAN!I:I,RECONVAN!$A:$A,HORÁRIO!B83,RECONVAN!$F:$F,HORÁRIO!$AC$2),"")</f>
        <v/>
      </c>
      <c r="AD83" s="86" t="str">
        <f t="shared" si="12"/>
        <v/>
      </c>
      <c r="AE83" s="86" t="str">
        <f t="shared" si="13"/>
        <v/>
      </c>
    </row>
    <row r="84" spans="1:31" ht="18.75" x14ac:dyDescent="0.3">
      <c r="A84" s="344" t="str">
        <f t="shared" si="7"/>
        <v/>
      </c>
      <c r="B84" s="344" t="str">
        <f>PUXADA!B82</f>
        <v/>
      </c>
      <c r="C84" s="448" t="str">
        <f>IF(B84&lt;&gt;"",_xlfn.XLOOKUP(B84,PUXADA!$B$2:$B$939,PUXADA!$C$2:$C$939,""),"")</f>
        <v/>
      </c>
      <c r="D84" s="344" t="str">
        <f>IF(B84&lt;&gt;"",_xlfn.XLOOKUP(B84,PUXADA!$B$2:$B$939,PUXADA!$I$2:$I$939,""),"")</f>
        <v/>
      </c>
      <c r="E84" s="345" t="str">
        <f>_xlfn.XLOOKUP(D84,'BR''S'!$B$2:$B$104,'BR''S'!$C$2:$C$104,"")</f>
        <v/>
      </c>
      <c r="F84" s="345" t="str">
        <f>_xlfn.XLOOKUP(D84,'BR''S'!$B$2:$B$104,'BR''S'!$H$2:$H$104,"")</f>
        <v/>
      </c>
      <c r="G84" s="345" t="str">
        <f>_xlfn.XLOOKUP(D84,'BR''S'!$B$2:$B$104,'BR''S'!$D$2:$D$104,"")</f>
        <v/>
      </c>
      <c r="H84" s="347" t="str">
        <f>IF(B84&lt;&gt;"",PUXADA!P82,"")</f>
        <v/>
      </c>
      <c r="I84" s="345" t="str">
        <f>IF(B84&lt;&gt;"",PUXADA!G82,"")</f>
        <v/>
      </c>
      <c r="J84" s="322"/>
      <c r="K84" s="87"/>
      <c r="L84" s="87"/>
      <c r="M84" s="480"/>
      <c r="N84" s="84" t="str">
        <f t="shared" si="10"/>
        <v/>
      </c>
      <c r="O84" s="87"/>
      <c r="P84" s="87"/>
      <c r="Q84" s="85" t="str">
        <f>IF(B84&lt;&gt;"",SUMIFS(RECONVAN!I:I,RECONVAN!$A:$A,HORÁRIO!B84,RECONVAN!$F:$F,HORÁRIO!$Q$2),"")</f>
        <v/>
      </c>
      <c r="R84" s="85" t="str">
        <f>IF(B84&lt;&gt;"",SUMIFS(RECONVAN!I:I,RECONVAN!$A:$A,HORÁRIO!B84,RECONVAN!$F:$F,HORÁRIO!$R$2),"")</f>
        <v/>
      </c>
      <c r="S84" s="85" t="str">
        <f>IF(B84&lt;&gt;"",SUMIFS(RECONVAN!I:I,RECONVAN!$A:$A,HORÁRIO!B84,RECONVAN!$F:$F,HORÁRIO!$S$2),"")</f>
        <v/>
      </c>
      <c r="T84" s="85" t="str">
        <f>IF(B84&lt;&gt;"",SUMIFS(RECONVAN!I:I,RECONVAN!$A:$A,HORÁRIO!B84,RECONVAN!$F:$F,HORÁRIO!$T$2),"")</f>
        <v/>
      </c>
      <c r="U84" s="85" t="str">
        <f>IF(B84&lt;&gt;"",SUMIFS(RECONVAN!I:I,RECONVAN!$A:$A,HORÁRIO!B84,RECONVAN!$F:$F,HORÁRIO!$U$2),"")</f>
        <v/>
      </c>
      <c r="V84" s="85" t="str">
        <f>IF(B84&lt;&gt;"",SUMIFS(RECONVAN!I:I,RECONVAN!$A:$A,HORÁRIO!B84,RECONVAN!$F:$F,HORÁRIO!$V$2),"")</f>
        <v/>
      </c>
      <c r="W84" s="85" t="str">
        <f>IF(B84&lt;&gt;"",SUMIFS(RECONVAN!I:I,RECONVAN!$A:$A,HORÁRIO!B84,RECONVAN!$F:$F,HORÁRIO!$W$2),"")</f>
        <v/>
      </c>
      <c r="X84" s="85" t="str">
        <f>IF(B84&lt;&gt;"",SUMIFS(RECONVAN!I:I,RECONVAN!$A:$A,HORÁRIO!B84,RECONVAN!$F:$F,HORÁRIO!$X$2),"")</f>
        <v/>
      </c>
      <c r="Y84" s="85" t="str">
        <f>IF(B84&lt;&gt;"",SUMIFS(RECONVAN!I:I,RECONVAN!$A:$A,HORÁRIO!B84,RECONVAN!$F:$F,HORÁRIO!$Y$2),"")</f>
        <v/>
      </c>
      <c r="Z84" s="85" t="str">
        <f>IF(B84&lt;&gt;"",SUMIFS(RECONVAN!I:I,RECONVAN!$A:$A,HORÁRIO!B84,RECONVAN!$F:$F,HORÁRIO!$Z$2),"")</f>
        <v/>
      </c>
      <c r="AA84" s="85" t="str">
        <f>IF(B84&lt;&gt;"",SUMIFS(RECONVAN!I:I,RECONVAN!$A:$A,HORÁRIO!B84,RECONVAN!$F:$F,HORÁRIO!$AA$2),"")</f>
        <v/>
      </c>
      <c r="AB84" s="85" t="str">
        <f>IF(B84&lt;&gt;"",SUMIFS(RECONVAN!I:I,RECONVAN!$A:$A,HORÁRIO!B84,RECONVAN!$F:$F,HORÁRIO!$AB$2),"")</f>
        <v/>
      </c>
      <c r="AC84" s="85" t="str">
        <f>IF(B84&lt;&gt;"",SUMIFS(RECONVAN!I:I,RECONVAN!$A:$A,HORÁRIO!B84,RECONVAN!$F:$F,HORÁRIO!$AC$2),"")</f>
        <v/>
      </c>
      <c r="AD84" s="86" t="str">
        <f t="shared" si="12"/>
        <v/>
      </c>
      <c r="AE84" s="86" t="str">
        <f t="shared" si="13"/>
        <v/>
      </c>
    </row>
    <row r="85" spans="1:31" ht="18.75" x14ac:dyDescent="0.3">
      <c r="A85" s="344" t="str">
        <f t="shared" si="7"/>
        <v/>
      </c>
      <c r="B85" s="344" t="str">
        <f>PUXADA!B83</f>
        <v/>
      </c>
      <c r="C85" s="448" t="str">
        <f>IF(B85&lt;&gt;"",_xlfn.XLOOKUP(B85,PUXADA!$B$2:$B$939,PUXADA!$C$2:$C$939,""),"")</f>
        <v/>
      </c>
      <c r="D85" s="344" t="str">
        <f>IF(B85&lt;&gt;"",_xlfn.XLOOKUP(B85,PUXADA!$B$2:$B$939,PUXADA!$I$2:$I$939,""),"")</f>
        <v/>
      </c>
      <c r="E85" s="344" t="str">
        <f>_xlfn.XLOOKUP(D85,'BR''S'!$B$2:$B$104,'BR''S'!$C$2:$C$104,"")</f>
        <v/>
      </c>
      <c r="F85" s="344" t="str">
        <f>_xlfn.XLOOKUP(D85,'BR''S'!$B$2:$B$104,'BR''S'!$H$2:$H$104,"")</f>
        <v/>
      </c>
      <c r="G85" s="344" t="str">
        <f>_xlfn.XLOOKUP(D85,'BR''S'!$B$2:$B$104,'BR''S'!$D$2:$D$104,"")</f>
        <v/>
      </c>
      <c r="H85" s="346" t="str">
        <f>IF(B85&lt;&gt;"",PUXADA!P83,"")</f>
        <v/>
      </c>
      <c r="I85" s="344" t="str">
        <f>IF(B85&lt;&gt;"",PUXADA!G83,"")</f>
        <v/>
      </c>
      <c r="J85" s="561"/>
      <c r="K85" s="84"/>
      <c r="L85" s="84"/>
      <c r="M85" s="84"/>
      <c r="N85" s="84" t="str">
        <f t="shared" si="10"/>
        <v/>
      </c>
      <c r="O85" s="84"/>
      <c r="P85" s="84"/>
      <c r="Q85" s="85" t="str">
        <f>IF(B85&lt;&gt;"",SUMIFS(RECONVAN!I:I,RECONVAN!$A:$A,HORÁRIO!B85,RECONVAN!$F:$F,HORÁRIO!$Q$2),"")</f>
        <v/>
      </c>
      <c r="R85" s="85" t="str">
        <f>IF(B85&lt;&gt;"",SUMIFS(RECONVAN!I:I,RECONVAN!$A:$A,HORÁRIO!B85,RECONVAN!$F:$F,HORÁRIO!$R$2),"")</f>
        <v/>
      </c>
      <c r="S85" s="85" t="str">
        <f>IF(B85&lt;&gt;"",SUMIFS(RECONVAN!I:I,RECONVAN!$A:$A,HORÁRIO!B85,RECONVAN!$F:$F,HORÁRIO!$S$2),"")</f>
        <v/>
      </c>
      <c r="T85" s="85" t="str">
        <f>IF(B85&lt;&gt;"",SUMIFS(RECONVAN!I:I,RECONVAN!$A:$A,HORÁRIO!B85,RECONVAN!$F:$F,HORÁRIO!$T$2),"")</f>
        <v/>
      </c>
      <c r="U85" s="85" t="str">
        <f>IF(B85&lt;&gt;"",SUMIFS(RECONVAN!I:I,RECONVAN!$A:$A,HORÁRIO!B85,RECONVAN!$F:$F,HORÁRIO!$U$2),"")</f>
        <v/>
      </c>
      <c r="V85" s="85" t="str">
        <f>IF(B85&lt;&gt;"",SUMIFS(RECONVAN!I:I,RECONVAN!$A:$A,HORÁRIO!B85,RECONVAN!$F:$F,HORÁRIO!$V$2),"")</f>
        <v/>
      </c>
      <c r="W85" s="85" t="str">
        <f>IF(B85&lt;&gt;"",SUMIFS(RECONVAN!I:I,RECONVAN!$A:$A,HORÁRIO!B85,RECONVAN!$F:$F,HORÁRIO!$W$2),"")</f>
        <v/>
      </c>
      <c r="X85" s="85" t="str">
        <f>IF(B85&lt;&gt;"",SUMIFS(RECONVAN!I:I,RECONVAN!$A:$A,HORÁRIO!B85,RECONVAN!$F:$F,HORÁRIO!$X$2),"")</f>
        <v/>
      </c>
      <c r="Y85" s="85" t="str">
        <f>IF(B85&lt;&gt;"",SUMIFS(RECONVAN!I:I,RECONVAN!$A:$A,HORÁRIO!B85,RECONVAN!$F:$F,HORÁRIO!$Y$2),"")</f>
        <v/>
      </c>
      <c r="Z85" s="85" t="str">
        <f>IF(B85&lt;&gt;"",SUMIFS(RECONVAN!I:I,RECONVAN!$A:$A,HORÁRIO!B85,RECONVAN!$F:$F,HORÁRIO!$Z$2),"")</f>
        <v/>
      </c>
      <c r="AA85" s="85" t="str">
        <f>IF(B85&lt;&gt;"",SUMIFS(RECONVAN!I:I,RECONVAN!$A:$A,HORÁRIO!B85,RECONVAN!$F:$F,HORÁRIO!$AA$2),"")</f>
        <v/>
      </c>
      <c r="AB85" s="85" t="str">
        <f>IF(B85&lt;&gt;"",SUMIFS(RECONVAN!I:I,RECONVAN!$A:$A,HORÁRIO!B85,RECONVAN!$F:$F,HORÁRIO!$AB$2),"")</f>
        <v/>
      </c>
      <c r="AC85" s="85" t="str">
        <f>IF(B85&lt;&gt;"",SUMIFS(RECONVAN!I:I,RECONVAN!$A:$A,HORÁRIO!B85,RECONVAN!$F:$F,HORÁRIO!$AC$2),"")</f>
        <v/>
      </c>
      <c r="AD85" s="86" t="str">
        <f t="shared" si="12"/>
        <v/>
      </c>
      <c r="AE85" s="86" t="str">
        <f t="shared" si="13"/>
        <v/>
      </c>
    </row>
    <row r="86" spans="1:31" ht="18.75" x14ac:dyDescent="0.3">
      <c r="A86" s="344" t="str">
        <f t="shared" si="7"/>
        <v/>
      </c>
      <c r="B86" s="344" t="str">
        <f>PUXADA!B84</f>
        <v/>
      </c>
      <c r="C86" s="448" t="str">
        <f>IF(B86&lt;&gt;"",_xlfn.XLOOKUP(B86,PUXADA!$B$2:$B$939,PUXADA!$C$2:$C$939,""),"")</f>
        <v/>
      </c>
      <c r="D86" s="344" t="str">
        <f>IF(B86&lt;&gt;"",_xlfn.XLOOKUP(B86,PUXADA!$B$2:$B$939,PUXADA!$I$2:$I$939,""),"")</f>
        <v/>
      </c>
      <c r="E86" s="345" t="str">
        <f>_xlfn.XLOOKUP(D86,'BR''S'!$B$2:$B$104,'BR''S'!$C$2:$C$104,"")</f>
        <v/>
      </c>
      <c r="F86" s="345" t="str">
        <f>_xlfn.XLOOKUP(D86,'BR''S'!$B$2:$B$104,'BR''S'!$H$2:$H$104,"")</f>
        <v/>
      </c>
      <c r="G86" s="345" t="str">
        <f>_xlfn.XLOOKUP(D86,'BR''S'!$B$2:$B$104,'BR''S'!$D$2:$D$104,"")</f>
        <v/>
      </c>
      <c r="H86" s="347" t="str">
        <f>IF(B86&lt;&gt;"",PUXADA!P84,"")</f>
        <v/>
      </c>
      <c r="I86" s="345" t="str">
        <f>IF(B86&lt;&gt;"",PUXADA!G84,"")</f>
        <v/>
      </c>
      <c r="J86" s="322"/>
      <c r="K86" s="87"/>
      <c r="L86" s="87"/>
      <c r="M86" s="480"/>
      <c r="N86" s="84" t="str">
        <f t="shared" si="10"/>
        <v/>
      </c>
      <c r="O86" s="87"/>
      <c r="P86" s="87"/>
      <c r="Q86" s="85" t="str">
        <f>IF(B86&lt;&gt;"",SUMIFS(RECONVAN!I:I,RECONVAN!$A:$A,HORÁRIO!B86,RECONVAN!$F:$F,HORÁRIO!$Q$2),"")</f>
        <v/>
      </c>
      <c r="R86" s="85" t="str">
        <f>IF(B86&lt;&gt;"",SUMIFS(RECONVAN!I:I,RECONVAN!$A:$A,HORÁRIO!B86,RECONVAN!$F:$F,HORÁRIO!$R$2),"")</f>
        <v/>
      </c>
      <c r="S86" s="85" t="str">
        <f>IF(B86&lt;&gt;"",SUMIFS(RECONVAN!I:I,RECONVAN!$A:$A,HORÁRIO!B86,RECONVAN!$F:$F,HORÁRIO!$S$2),"")</f>
        <v/>
      </c>
      <c r="T86" s="85" t="str">
        <f>IF(B86&lt;&gt;"",SUMIFS(RECONVAN!I:I,RECONVAN!$A:$A,HORÁRIO!B86,RECONVAN!$F:$F,HORÁRIO!$T$2),"")</f>
        <v/>
      </c>
      <c r="U86" s="85" t="str">
        <f>IF(B86&lt;&gt;"",SUMIFS(RECONVAN!I:I,RECONVAN!$A:$A,HORÁRIO!B86,RECONVAN!$F:$F,HORÁRIO!$U$2),"")</f>
        <v/>
      </c>
      <c r="V86" s="85" t="str">
        <f>IF(B86&lt;&gt;"",SUMIFS(RECONVAN!I:I,RECONVAN!$A:$A,HORÁRIO!B86,RECONVAN!$F:$F,HORÁRIO!$V$2),"")</f>
        <v/>
      </c>
      <c r="W86" s="85" t="str">
        <f>IF(B86&lt;&gt;"",SUMIFS(RECONVAN!I:I,RECONVAN!$A:$A,HORÁRIO!B86,RECONVAN!$F:$F,HORÁRIO!$W$2),"")</f>
        <v/>
      </c>
      <c r="X86" s="85" t="str">
        <f>IF(B86&lt;&gt;"",SUMIFS(RECONVAN!I:I,RECONVAN!$A:$A,HORÁRIO!B86,RECONVAN!$F:$F,HORÁRIO!$X$2),"")</f>
        <v/>
      </c>
      <c r="Y86" s="85" t="str">
        <f>IF(B86&lt;&gt;"",SUMIFS(RECONVAN!I:I,RECONVAN!$A:$A,HORÁRIO!B86,RECONVAN!$F:$F,HORÁRIO!$Y$2),"")</f>
        <v/>
      </c>
      <c r="Z86" s="85" t="str">
        <f>IF(B86&lt;&gt;"",SUMIFS(RECONVAN!I:I,RECONVAN!$A:$A,HORÁRIO!B86,RECONVAN!$F:$F,HORÁRIO!$Z$2),"")</f>
        <v/>
      </c>
      <c r="AA86" s="85" t="str">
        <f>IF(B86&lt;&gt;"",SUMIFS(RECONVAN!I:I,RECONVAN!$A:$A,HORÁRIO!B86,RECONVAN!$F:$F,HORÁRIO!$AA$2),"")</f>
        <v/>
      </c>
      <c r="AB86" s="85" t="str">
        <f>IF(B86&lt;&gt;"",SUMIFS(RECONVAN!I:I,RECONVAN!$A:$A,HORÁRIO!B86,RECONVAN!$F:$F,HORÁRIO!$AB$2),"")</f>
        <v/>
      </c>
      <c r="AC86" s="85" t="str">
        <f>IF(B86&lt;&gt;"",SUMIFS(RECONVAN!I:I,RECONVAN!$A:$A,HORÁRIO!B86,RECONVAN!$F:$F,HORÁRIO!$AC$2),"")</f>
        <v/>
      </c>
      <c r="AD86" s="86" t="str">
        <f t="shared" si="12"/>
        <v/>
      </c>
      <c r="AE86" s="86" t="str">
        <f t="shared" si="13"/>
        <v/>
      </c>
    </row>
    <row r="87" spans="1:31" ht="18.75" x14ac:dyDescent="0.3">
      <c r="A87" s="344" t="str">
        <f t="shared" si="7"/>
        <v/>
      </c>
      <c r="B87" s="344" t="str">
        <f>PUXADA!B85</f>
        <v/>
      </c>
      <c r="C87" s="448" t="str">
        <f>IF(B87&lt;&gt;"",_xlfn.XLOOKUP(B87,PUXADA!$B$2:$B$939,PUXADA!$C$2:$C$939,""),"")</f>
        <v/>
      </c>
      <c r="D87" s="344" t="str">
        <f>IF(B87&lt;&gt;"",_xlfn.XLOOKUP(B87,PUXADA!$B$2:$B$939,PUXADA!$I$2:$I$939,""),"")</f>
        <v/>
      </c>
      <c r="E87" s="345" t="str">
        <f>_xlfn.XLOOKUP(D87,'BR''S'!$B$2:$B$104,'BR''S'!$C$2:$C$104,"")</f>
        <v/>
      </c>
      <c r="F87" s="345" t="str">
        <f>_xlfn.XLOOKUP(D87,'BR''S'!$B$2:$B$104,'BR''S'!$H$2:$H$104,"")</f>
        <v/>
      </c>
      <c r="G87" s="345" t="str">
        <f>_xlfn.XLOOKUP(D87,'BR''S'!$B$2:$B$104,'BR''S'!$D$2:$D$104,"")</f>
        <v/>
      </c>
      <c r="H87" s="346" t="str">
        <f>IF(B87&lt;&gt;"",PUXADA!P85,"")</f>
        <v/>
      </c>
      <c r="I87" s="344" t="str">
        <f>IF(B87&lt;&gt;"",PUXADA!G85,"")</f>
        <v/>
      </c>
      <c r="J87" s="561"/>
      <c r="K87" s="87"/>
      <c r="L87" s="87"/>
      <c r="M87" s="480"/>
      <c r="N87" s="84" t="str">
        <f t="shared" si="10"/>
        <v/>
      </c>
      <c r="O87" s="87"/>
      <c r="P87" s="87"/>
      <c r="Q87" s="85" t="str">
        <f>IF(B87&lt;&gt;"",SUMIFS(RECONVAN!I:I,RECONVAN!$A:$A,HORÁRIO!B87,RECONVAN!$F:$F,HORÁRIO!$Q$2),"")</f>
        <v/>
      </c>
      <c r="R87" s="85" t="str">
        <f>IF(B87&lt;&gt;"",SUMIFS(RECONVAN!I:I,RECONVAN!$A:$A,HORÁRIO!B87,RECONVAN!$F:$F,HORÁRIO!$R$2),"")</f>
        <v/>
      </c>
      <c r="S87" s="85" t="str">
        <f>IF(B87&lt;&gt;"",SUMIFS(RECONVAN!I:I,RECONVAN!$A:$A,HORÁRIO!B87,RECONVAN!$F:$F,HORÁRIO!$S$2),"")</f>
        <v/>
      </c>
      <c r="T87" s="85" t="str">
        <f>IF(B87&lt;&gt;"",SUMIFS(RECONVAN!I:I,RECONVAN!$A:$A,HORÁRIO!B87,RECONVAN!$F:$F,HORÁRIO!$T$2),"")</f>
        <v/>
      </c>
      <c r="U87" s="85" t="str">
        <f>IF(B87&lt;&gt;"",SUMIFS(RECONVAN!I:I,RECONVAN!$A:$A,HORÁRIO!B87,RECONVAN!$F:$F,HORÁRIO!$U$2),"")</f>
        <v/>
      </c>
      <c r="V87" s="85" t="str">
        <f>IF(B87&lt;&gt;"",SUMIFS(RECONVAN!I:I,RECONVAN!$A:$A,HORÁRIO!B87,RECONVAN!$F:$F,HORÁRIO!$V$2),"")</f>
        <v/>
      </c>
      <c r="W87" s="85" t="str">
        <f>IF(B87&lt;&gt;"",SUMIFS(RECONVAN!I:I,RECONVAN!$A:$A,HORÁRIO!B87,RECONVAN!$F:$F,HORÁRIO!$W$2),"")</f>
        <v/>
      </c>
      <c r="X87" s="85" t="str">
        <f>IF(B87&lt;&gt;"",SUMIFS(RECONVAN!I:I,RECONVAN!$A:$A,HORÁRIO!B87,RECONVAN!$F:$F,HORÁRIO!$X$2),"")</f>
        <v/>
      </c>
      <c r="Y87" s="85" t="str">
        <f>IF(B87&lt;&gt;"",SUMIFS(RECONVAN!I:I,RECONVAN!$A:$A,HORÁRIO!B87,RECONVAN!$F:$F,HORÁRIO!$Y$2),"")</f>
        <v/>
      </c>
      <c r="Z87" s="85" t="str">
        <f>IF(B87&lt;&gt;"",SUMIFS(RECONVAN!I:I,RECONVAN!$A:$A,HORÁRIO!B87,RECONVAN!$F:$F,HORÁRIO!$Z$2),"")</f>
        <v/>
      </c>
      <c r="AA87" s="85" t="str">
        <f>IF(B87&lt;&gt;"",SUMIFS(RECONVAN!I:I,RECONVAN!$A:$A,HORÁRIO!B87,RECONVAN!$F:$F,HORÁRIO!$AA$2),"")</f>
        <v/>
      </c>
      <c r="AB87" s="85" t="str">
        <f>IF(B87&lt;&gt;"",SUMIFS(RECONVAN!I:I,RECONVAN!$A:$A,HORÁRIO!B87,RECONVAN!$F:$F,HORÁRIO!$AB$2),"")</f>
        <v/>
      </c>
      <c r="AC87" s="85" t="str">
        <f>IF(B87&lt;&gt;"",SUMIFS(RECONVAN!I:I,RECONVAN!$A:$A,HORÁRIO!B87,RECONVAN!$F:$F,HORÁRIO!$AC$2),"")</f>
        <v/>
      </c>
      <c r="AD87" s="86" t="str">
        <f t="shared" si="12"/>
        <v/>
      </c>
      <c r="AE87" s="86" t="str">
        <f t="shared" si="13"/>
        <v/>
      </c>
    </row>
    <row r="88" spans="1:31" ht="18.75" x14ac:dyDescent="0.3">
      <c r="A88" s="344" t="str">
        <f t="shared" si="7"/>
        <v/>
      </c>
      <c r="B88" s="344" t="str">
        <f>PUXADA!B86</f>
        <v/>
      </c>
      <c r="C88" s="448" t="str">
        <f>IF(B88&lt;&gt;"",_xlfn.XLOOKUP(B88,PUXADA!$B$2:$B$939,PUXADA!$C$2:$C$939,""),"")</f>
        <v/>
      </c>
      <c r="D88" s="344" t="str">
        <f>IF(B88&lt;&gt;"",_xlfn.XLOOKUP(B88,PUXADA!$B$2:$B$939,PUXADA!$I$2:$I$939,""),"")</f>
        <v/>
      </c>
      <c r="E88" s="345" t="str">
        <f>_xlfn.XLOOKUP(D88,'BR''S'!$B$2:$B$104,'BR''S'!$C$2:$C$104,"")</f>
        <v/>
      </c>
      <c r="F88" s="345" t="str">
        <f>_xlfn.XLOOKUP(D88,'BR''S'!$B$2:$B$104,'BR''S'!$H$2:$H$104,"")</f>
        <v/>
      </c>
      <c r="G88" s="345" t="str">
        <f>_xlfn.XLOOKUP(D88,'BR''S'!$B$2:$B$104,'BR''S'!$D$2:$D$104,"")</f>
        <v/>
      </c>
      <c r="H88" s="347" t="str">
        <f>IF(B88&lt;&gt;"",PUXADA!P86,"")</f>
        <v/>
      </c>
      <c r="I88" s="345" t="str">
        <f>IF(B88&lt;&gt;"",PUXADA!G86,"")</f>
        <v/>
      </c>
      <c r="J88" s="322"/>
      <c r="K88" s="87"/>
      <c r="L88" s="87"/>
      <c r="M88" s="480"/>
      <c r="N88" s="84" t="str">
        <f t="shared" si="10"/>
        <v/>
      </c>
      <c r="O88" s="87"/>
      <c r="P88" s="87"/>
      <c r="Q88" s="85" t="str">
        <f>IF(B88&lt;&gt;"",SUMIFS(RECONVAN!I:I,RECONVAN!$A:$A,HORÁRIO!B88,RECONVAN!$F:$F,HORÁRIO!$Q$2),"")</f>
        <v/>
      </c>
      <c r="R88" s="85" t="str">
        <f>IF(B88&lt;&gt;"",SUMIFS(RECONVAN!I:I,RECONVAN!$A:$A,HORÁRIO!B88,RECONVAN!$F:$F,HORÁRIO!$R$2),"")</f>
        <v/>
      </c>
      <c r="S88" s="85" t="str">
        <f>IF(B88&lt;&gt;"",SUMIFS(RECONVAN!I:I,RECONVAN!$A:$A,HORÁRIO!B88,RECONVAN!$F:$F,HORÁRIO!$S$2),"")</f>
        <v/>
      </c>
      <c r="T88" s="85" t="str">
        <f>IF(B88&lt;&gt;"",SUMIFS(RECONVAN!I:I,RECONVAN!$A:$A,HORÁRIO!B88,RECONVAN!$F:$F,HORÁRIO!$T$2),"")</f>
        <v/>
      </c>
      <c r="U88" s="85" t="str">
        <f>IF(B88&lt;&gt;"",SUMIFS(RECONVAN!I:I,RECONVAN!$A:$A,HORÁRIO!B88,RECONVAN!$F:$F,HORÁRIO!$U$2),"")</f>
        <v/>
      </c>
      <c r="V88" s="85" t="str">
        <f>IF(B88&lt;&gt;"",SUMIFS(RECONVAN!I:I,RECONVAN!$A:$A,HORÁRIO!B88,RECONVAN!$F:$F,HORÁRIO!$V$2),"")</f>
        <v/>
      </c>
      <c r="W88" s="85" t="str">
        <f>IF(B88&lt;&gt;"",SUMIFS(RECONVAN!I:I,RECONVAN!$A:$A,HORÁRIO!B88,RECONVAN!$F:$F,HORÁRIO!$W$2),"")</f>
        <v/>
      </c>
      <c r="X88" s="85" t="str">
        <f>IF(B88&lt;&gt;"",SUMIFS(RECONVAN!I:I,RECONVAN!$A:$A,HORÁRIO!B88,RECONVAN!$F:$F,HORÁRIO!$X$2),"")</f>
        <v/>
      </c>
      <c r="Y88" s="85" t="str">
        <f>IF(B88&lt;&gt;"",SUMIFS(RECONVAN!I:I,RECONVAN!$A:$A,HORÁRIO!B88,RECONVAN!$F:$F,HORÁRIO!$Y$2),"")</f>
        <v/>
      </c>
      <c r="Z88" s="85" t="str">
        <f>IF(B88&lt;&gt;"",SUMIFS(RECONVAN!I:I,RECONVAN!$A:$A,HORÁRIO!B88,RECONVAN!$F:$F,HORÁRIO!$Z$2),"")</f>
        <v/>
      </c>
      <c r="AA88" s="85" t="str">
        <f>IF(B88&lt;&gt;"",SUMIFS(RECONVAN!I:I,RECONVAN!$A:$A,HORÁRIO!B88,RECONVAN!$F:$F,HORÁRIO!$AA$2),"")</f>
        <v/>
      </c>
      <c r="AB88" s="85" t="str">
        <f>IF(B88&lt;&gt;"",SUMIFS(RECONVAN!I:I,RECONVAN!$A:$A,HORÁRIO!B88,RECONVAN!$F:$F,HORÁRIO!$AB$2),"")</f>
        <v/>
      </c>
      <c r="AC88" s="85" t="str">
        <f>IF(B88&lt;&gt;"",SUMIFS(RECONVAN!I:I,RECONVAN!$A:$A,HORÁRIO!B88,RECONVAN!$F:$F,HORÁRIO!$AC$2),"")</f>
        <v/>
      </c>
      <c r="AD88" s="86" t="str">
        <f t="shared" si="12"/>
        <v/>
      </c>
      <c r="AE88" s="86" t="str">
        <f t="shared" si="13"/>
        <v/>
      </c>
    </row>
    <row r="89" spans="1:31" ht="18.75" x14ac:dyDescent="0.3">
      <c r="A89" s="344" t="str">
        <f t="shared" si="7"/>
        <v/>
      </c>
      <c r="B89" s="344" t="str">
        <f>PUXADA!B87</f>
        <v/>
      </c>
      <c r="C89" s="448" t="str">
        <f>IF(B89&lt;&gt;"",_xlfn.XLOOKUP(B89,PUXADA!$B$2:$B$939,PUXADA!$C$2:$C$939,""),"")</f>
        <v/>
      </c>
      <c r="D89" s="344" t="str">
        <f>IF(B89&lt;&gt;"",_xlfn.XLOOKUP(B89,PUXADA!$B$2:$B$939,PUXADA!$I$2:$I$939,""),"")</f>
        <v/>
      </c>
      <c r="E89" s="345" t="str">
        <f>_xlfn.XLOOKUP(D89,'BR''S'!$B$2:$B$104,'BR''S'!$C$2:$C$104,"")</f>
        <v/>
      </c>
      <c r="F89" s="345" t="str">
        <f>_xlfn.XLOOKUP(D89,'BR''S'!$B$2:$B$104,'BR''S'!$H$2:$H$104,"")</f>
        <v/>
      </c>
      <c r="G89" s="345" t="str">
        <f>_xlfn.XLOOKUP(D89,'BR''S'!$B$2:$B$104,'BR''S'!$D$2:$D$104,"")</f>
        <v/>
      </c>
      <c r="H89" s="346" t="str">
        <f>IF(B89&lt;&gt;"",PUXADA!P87,"")</f>
        <v/>
      </c>
      <c r="I89" s="344" t="str">
        <f>IF(B89&lt;&gt;"",PUXADA!G87,"")</f>
        <v/>
      </c>
      <c r="J89" s="561"/>
      <c r="K89" s="87"/>
      <c r="L89" s="87"/>
      <c r="M89" s="480"/>
      <c r="N89" s="84" t="str">
        <f t="shared" si="10"/>
        <v/>
      </c>
      <c r="O89" s="87"/>
      <c r="P89" s="87"/>
      <c r="Q89" s="85" t="str">
        <f>IF(B89&lt;&gt;"",SUMIFS(RECONVAN!I:I,RECONVAN!$A:$A,HORÁRIO!B89,RECONVAN!$F:$F,HORÁRIO!$Q$2),"")</f>
        <v/>
      </c>
      <c r="R89" s="85" t="str">
        <f>IF(B89&lt;&gt;"",SUMIFS(RECONVAN!I:I,RECONVAN!$A:$A,HORÁRIO!B89,RECONVAN!$F:$F,HORÁRIO!$R$2),"")</f>
        <v/>
      </c>
      <c r="S89" s="85" t="str">
        <f>IF(B89&lt;&gt;"",SUMIFS(RECONVAN!I:I,RECONVAN!$A:$A,HORÁRIO!B89,RECONVAN!$F:$F,HORÁRIO!$S$2),"")</f>
        <v/>
      </c>
      <c r="T89" s="85" t="str">
        <f>IF(B89&lt;&gt;"",SUMIFS(RECONVAN!I:I,RECONVAN!$A:$A,HORÁRIO!B89,RECONVAN!$F:$F,HORÁRIO!$T$2),"")</f>
        <v/>
      </c>
      <c r="U89" s="85" t="str">
        <f>IF(B89&lt;&gt;"",SUMIFS(RECONVAN!I:I,RECONVAN!$A:$A,HORÁRIO!B89,RECONVAN!$F:$F,HORÁRIO!$U$2),"")</f>
        <v/>
      </c>
      <c r="V89" s="85" t="str">
        <f>IF(B89&lt;&gt;"",SUMIFS(RECONVAN!I:I,RECONVAN!$A:$A,HORÁRIO!B89,RECONVAN!$F:$F,HORÁRIO!$V$2),"")</f>
        <v/>
      </c>
      <c r="W89" s="85" t="str">
        <f>IF(B89&lt;&gt;"",SUMIFS(RECONVAN!I:I,RECONVAN!$A:$A,HORÁRIO!B89,RECONVAN!$F:$F,HORÁRIO!$W$2),"")</f>
        <v/>
      </c>
      <c r="X89" s="85" t="str">
        <f>IF(B89&lt;&gt;"",SUMIFS(RECONVAN!I:I,RECONVAN!$A:$A,HORÁRIO!B89,RECONVAN!$F:$F,HORÁRIO!$X$2),"")</f>
        <v/>
      </c>
      <c r="Y89" s="85" t="str">
        <f>IF(B89&lt;&gt;"",SUMIFS(RECONVAN!I:I,RECONVAN!$A:$A,HORÁRIO!B89,RECONVAN!$F:$F,HORÁRIO!$Y$2),"")</f>
        <v/>
      </c>
      <c r="Z89" s="85" t="str">
        <f>IF(B89&lt;&gt;"",SUMIFS(RECONVAN!I:I,RECONVAN!$A:$A,HORÁRIO!B89,RECONVAN!$F:$F,HORÁRIO!$Z$2),"")</f>
        <v/>
      </c>
      <c r="AA89" s="85" t="str">
        <f>IF(B89&lt;&gt;"",SUMIFS(RECONVAN!I:I,RECONVAN!$A:$A,HORÁRIO!B89,RECONVAN!$F:$F,HORÁRIO!$AA$2),"")</f>
        <v/>
      </c>
      <c r="AB89" s="85" t="str">
        <f>IF(B89&lt;&gt;"",SUMIFS(RECONVAN!I:I,RECONVAN!$A:$A,HORÁRIO!B89,RECONVAN!$F:$F,HORÁRIO!$AB$2),"")</f>
        <v/>
      </c>
      <c r="AC89" s="85" t="str">
        <f>IF(B89&lt;&gt;"",SUMIFS(RECONVAN!I:I,RECONVAN!$A:$A,HORÁRIO!B89,RECONVAN!$F:$F,HORÁRIO!$AC$2),"")</f>
        <v/>
      </c>
      <c r="AD89" s="86" t="str">
        <f t="shared" si="12"/>
        <v/>
      </c>
      <c r="AE89" s="86" t="str">
        <f t="shared" si="13"/>
        <v/>
      </c>
    </row>
    <row r="90" spans="1:31" ht="18.75" x14ac:dyDescent="0.3">
      <c r="A90" s="344" t="str">
        <f t="shared" ref="A90:A98" si="14">D90&amp;C90</f>
        <v/>
      </c>
      <c r="B90" s="344" t="str">
        <f>PUXADA!B88</f>
        <v/>
      </c>
      <c r="C90" s="448" t="str">
        <f>IF(B90&lt;&gt;"",_xlfn.XLOOKUP(B90,PUXADA!$B$2:$B$939,PUXADA!$C$2:$C$939,""),"")</f>
        <v/>
      </c>
      <c r="D90" s="344" t="str">
        <f>IF(B90&lt;&gt;"",_xlfn.XLOOKUP(B90,PUXADA!$B$2:$B$939,PUXADA!$I$2:$I$939,""),"")</f>
        <v/>
      </c>
      <c r="E90" s="345" t="str">
        <f>_xlfn.XLOOKUP(D90,'BR''S'!$B$2:$B$104,'BR''S'!$C$2:$C$104,"")</f>
        <v/>
      </c>
      <c r="F90" s="345" t="str">
        <f>_xlfn.XLOOKUP(D90,'BR''S'!$B$2:$B$104,'BR''S'!$H$2:$H$104,"")</f>
        <v/>
      </c>
      <c r="G90" s="345" t="str">
        <f>_xlfn.XLOOKUP(D90,'BR''S'!$B$2:$B$104,'BR''S'!$D$2:$D$104,"")</f>
        <v/>
      </c>
      <c r="H90" s="347" t="str">
        <f>IF(B90&lt;&gt;"",PUXADA!P88,"")</f>
        <v/>
      </c>
      <c r="I90" s="345" t="str">
        <f>IF(B90&lt;&gt;"",PUXADA!G88,"")</f>
        <v/>
      </c>
      <c r="J90" s="322"/>
      <c r="K90" s="87"/>
      <c r="L90" s="87"/>
      <c r="M90" s="480"/>
      <c r="N90" s="84" t="str">
        <f t="shared" si="10"/>
        <v/>
      </c>
      <c r="O90" s="87"/>
      <c r="P90" s="87"/>
      <c r="Q90" s="85" t="str">
        <f>IF(B90&lt;&gt;"",SUMIFS(RECONVAN!I:I,RECONVAN!$A:$A,HORÁRIO!B90,RECONVAN!$F:$F,HORÁRIO!$Q$2),"")</f>
        <v/>
      </c>
      <c r="R90" s="85" t="str">
        <f>IF(B90&lt;&gt;"",SUMIFS(RECONVAN!I:I,RECONVAN!$A:$A,HORÁRIO!B90,RECONVAN!$F:$F,HORÁRIO!$R$2),"")</f>
        <v/>
      </c>
      <c r="S90" s="85" t="str">
        <f>IF(B90&lt;&gt;"",SUMIFS(RECONVAN!I:I,RECONVAN!$A:$A,HORÁRIO!B90,RECONVAN!$F:$F,HORÁRIO!$S$2),"")</f>
        <v/>
      </c>
      <c r="T90" s="85" t="str">
        <f>IF(B90&lt;&gt;"",SUMIFS(RECONVAN!I:I,RECONVAN!$A:$A,HORÁRIO!B90,RECONVAN!$F:$F,HORÁRIO!$T$2),"")</f>
        <v/>
      </c>
      <c r="U90" s="85" t="str">
        <f>IF(B90&lt;&gt;"",SUMIFS(RECONVAN!I:I,RECONVAN!$A:$A,HORÁRIO!B90,RECONVAN!$F:$F,HORÁRIO!$U$2),"")</f>
        <v/>
      </c>
      <c r="V90" s="85" t="str">
        <f>IF(B90&lt;&gt;"",SUMIFS(RECONVAN!I:I,RECONVAN!$A:$A,HORÁRIO!B90,RECONVAN!$F:$F,HORÁRIO!$V$2),"")</f>
        <v/>
      </c>
      <c r="W90" s="85" t="str">
        <f>IF(B90&lt;&gt;"",SUMIFS(RECONVAN!I:I,RECONVAN!$A:$A,HORÁRIO!B90,RECONVAN!$F:$F,HORÁRIO!$W$2),"")</f>
        <v/>
      </c>
      <c r="X90" s="85" t="str">
        <f>IF(B90&lt;&gt;"",SUMIFS(RECONVAN!I:I,RECONVAN!$A:$A,HORÁRIO!B90,RECONVAN!$F:$F,HORÁRIO!$X$2),"")</f>
        <v/>
      </c>
      <c r="Y90" s="85" t="str">
        <f>IF(B90&lt;&gt;"",SUMIFS(RECONVAN!I:I,RECONVAN!$A:$A,HORÁRIO!B90,RECONVAN!$F:$F,HORÁRIO!$Y$2),"")</f>
        <v/>
      </c>
      <c r="Z90" s="85" t="str">
        <f>IF(B90&lt;&gt;"",SUMIFS(RECONVAN!I:I,RECONVAN!$A:$A,HORÁRIO!B90,RECONVAN!$F:$F,HORÁRIO!$Z$2),"")</f>
        <v/>
      </c>
      <c r="AA90" s="85" t="str">
        <f>IF(B90&lt;&gt;"",SUMIFS(RECONVAN!I:I,RECONVAN!$A:$A,HORÁRIO!B90,RECONVAN!$F:$F,HORÁRIO!$AA$2),"")</f>
        <v/>
      </c>
      <c r="AB90" s="85" t="str">
        <f>IF(B90&lt;&gt;"",SUMIFS(RECONVAN!I:I,RECONVAN!$A:$A,HORÁRIO!B90,RECONVAN!$F:$F,HORÁRIO!$AB$2),"")</f>
        <v/>
      </c>
      <c r="AC90" s="85" t="str">
        <f>IF(B90&lt;&gt;"",SUMIFS(RECONVAN!I:I,RECONVAN!$A:$A,HORÁRIO!B90,RECONVAN!$F:$F,HORÁRIO!$AC$2),"")</f>
        <v/>
      </c>
      <c r="AD90" s="86" t="str">
        <f t="shared" si="12"/>
        <v/>
      </c>
      <c r="AE90" s="86" t="str">
        <f t="shared" si="13"/>
        <v/>
      </c>
    </row>
    <row r="91" spans="1:31" ht="18.75" x14ac:dyDescent="0.3">
      <c r="A91" s="344" t="str">
        <f t="shared" si="14"/>
        <v/>
      </c>
      <c r="B91" s="344" t="str">
        <f>PUXADA!B89</f>
        <v/>
      </c>
      <c r="C91" s="448" t="str">
        <f>IF(B91&lt;&gt;"",_xlfn.XLOOKUP(B91,PUXADA!$B$2:$B$939,PUXADA!$C$2:$C$939,""),"")</f>
        <v/>
      </c>
      <c r="D91" s="344" t="str">
        <f>IF(B91&lt;&gt;"",_xlfn.XLOOKUP(B91,PUXADA!$B$2:$B$939,PUXADA!$I$2:$I$939,""),"")</f>
        <v/>
      </c>
      <c r="E91" s="345" t="str">
        <f>_xlfn.XLOOKUP(D91,'BR''S'!$B$2:$B$104,'BR''S'!$C$2:$C$104,"")</f>
        <v/>
      </c>
      <c r="F91" s="345" t="str">
        <f>_xlfn.XLOOKUP(D91,'BR''S'!$B$2:$B$104,'BR''S'!$H$2:$H$104,"")</f>
        <v/>
      </c>
      <c r="G91" s="345" t="str">
        <f>_xlfn.XLOOKUP(D91,'BR''S'!$B$2:$B$104,'BR''S'!$D$2:$D$104,"")</f>
        <v/>
      </c>
      <c r="H91" s="346" t="str">
        <f>IF(B91&lt;&gt;"",PUXADA!P89,"")</f>
        <v/>
      </c>
      <c r="I91" s="344" t="str">
        <f>IF(B91&lt;&gt;"",PUXADA!G89,"")</f>
        <v/>
      </c>
      <c r="J91" s="561"/>
      <c r="K91" s="87"/>
      <c r="L91" s="87"/>
      <c r="M91" s="480"/>
      <c r="N91" s="84" t="str">
        <f t="shared" si="10"/>
        <v/>
      </c>
      <c r="O91" s="87"/>
      <c r="P91" s="87"/>
      <c r="Q91" s="85" t="str">
        <f>IF(B91&lt;&gt;"",SUMIFS(RECONVAN!I:I,RECONVAN!$A:$A,HORÁRIO!B91,RECONVAN!$F:$F,HORÁRIO!$Q$2),"")</f>
        <v/>
      </c>
      <c r="R91" s="85" t="str">
        <f>IF(B91&lt;&gt;"",SUMIFS(RECONVAN!I:I,RECONVAN!$A:$A,HORÁRIO!B91,RECONVAN!$F:$F,HORÁRIO!$R$2),"")</f>
        <v/>
      </c>
      <c r="S91" s="85" t="str">
        <f>IF(B91&lt;&gt;"",SUMIFS(RECONVAN!I:I,RECONVAN!$A:$A,HORÁRIO!B91,RECONVAN!$F:$F,HORÁRIO!$S$2),"")</f>
        <v/>
      </c>
      <c r="T91" s="85" t="str">
        <f>IF(B91&lt;&gt;"",SUMIFS(RECONVAN!I:I,RECONVAN!$A:$A,HORÁRIO!B91,RECONVAN!$F:$F,HORÁRIO!$T$2),"")</f>
        <v/>
      </c>
      <c r="U91" s="85" t="str">
        <f>IF(B91&lt;&gt;"",SUMIFS(RECONVAN!I:I,RECONVAN!$A:$A,HORÁRIO!B91,RECONVAN!$F:$F,HORÁRIO!$U$2),"")</f>
        <v/>
      </c>
      <c r="V91" s="85" t="str">
        <f>IF(B91&lt;&gt;"",SUMIFS(RECONVAN!I:I,RECONVAN!$A:$A,HORÁRIO!B91,RECONVAN!$F:$F,HORÁRIO!$V$2),"")</f>
        <v/>
      </c>
      <c r="W91" s="85" t="str">
        <f>IF(B91&lt;&gt;"",SUMIFS(RECONVAN!I:I,RECONVAN!$A:$A,HORÁRIO!B91,RECONVAN!$F:$F,HORÁRIO!$W$2),"")</f>
        <v/>
      </c>
      <c r="X91" s="85" t="str">
        <f>IF(B91&lt;&gt;"",SUMIFS(RECONVAN!I:I,RECONVAN!$A:$A,HORÁRIO!B91,RECONVAN!$F:$F,HORÁRIO!$X$2),"")</f>
        <v/>
      </c>
      <c r="Y91" s="85" t="str">
        <f>IF(B91&lt;&gt;"",SUMIFS(RECONVAN!I:I,RECONVAN!$A:$A,HORÁRIO!B91,RECONVAN!$F:$F,HORÁRIO!$Y$2),"")</f>
        <v/>
      </c>
      <c r="Z91" s="85" t="str">
        <f>IF(B91&lt;&gt;"",SUMIFS(RECONVAN!I:I,RECONVAN!$A:$A,HORÁRIO!B91,RECONVAN!$F:$F,HORÁRIO!$Z$2),"")</f>
        <v/>
      </c>
      <c r="AA91" s="85" t="str">
        <f>IF(B91&lt;&gt;"",SUMIFS(RECONVAN!I:I,RECONVAN!$A:$A,HORÁRIO!B91,RECONVAN!$F:$F,HORÁRIO!$AA$2),"")</f>
        <v/>
      </c>
      <c r="AB91" s="85" t="str">
        <f>IF(B91&lt;&gt;"",SUMIFS(RECONVAN!I:I,RECONVAN!$A:$A,HORÁRIO!B91,RECONVAN!$F:$F,HORÁRIO!$AB$2),"")</f>
        <v/>
      </c>
      <c r="AC91" s="85" t="str">
        <f>IF(B91&lt;&gt;"",SUMIFS(RECONVAN!I:I,RECONVAN!$A:$A,HORÁRIO!B91,RECONVAN!$F:$F,HORÁRIO!$AC$2),"")</f>
        <v/>
      </c>
      <c r="AD91" s="86" t="str">
        <f t="shared" si="12"/>
        <v/>
      </c>
      <c r="AE91" s="86" t="str">
        <f t="shared" si="13"/>
        <v/>
      </c>
    </row>
    <row r="92" spans="1:31" ht="18.75" x14ac:dyDescent="0.3">
      <c r="A92" s="344" t="str">
        <f t="shared" si="14"/>
        <v/>
      </c>
      <c r="B92" s="344" t="str">
        <f>PUXADA!B90</f>
        <v/>
      </c>
      <c r="C92" s="448" t="str">
        <f>IF(B92&lt;&gt;"",_xlfn.XLOOKUP(B92,PUXADA!$B$2:$B$939,PUXADA!$C$2:$C$939,""),"")</f>
        <v/>
      </c>
      <c r="D92" s="344" t="str">
        <f>IF(B92&lt;&gt;"",_xlfn.XLOOKUP(B92,PUXADA!$B$2:$B$939,PUXADA!$I$2:$I$939,""),"")</f>
        <v/>
      </c>
      <c r="E92" s="345" t="str">
        <f>_xlfn.XLOOKUP(D92,'BR''S'!$B$2:$B$104,'BR''S'!$C$2:$C$104,"")</f>
        <v/>
      </c>
      <c r="F92" s="345" t="str">
        <f>_xlfn.XLOOKUP(D92,'BR''S'!$B$2:$B$104,'BR''S'!$H$2:$H$104,"")</f>
        <v/>
      </c>
      <c r="G92" s="345" t="str">
        <f>_xlfn.XLOOKUP(D92,'BR''S'!$B$2:$B$104,'BR''S'!$D$2:$D$104,"")</f>
        <v/>
      </c>
      <c r="H92" s="347" t="str">
        <f>IF(B92&lt;&gt;"",PUXADA!P90,"")</f>
        <v/>
      </c>
      <c r="I92" s="345" t="str">
        <f>IF(B92&lt;&gt;"",PUXADA!G90,"")</f>
        <v/>
      </c>
      <c r="J92" s="322"/>
      <c r="K92" s="87"/>
      <c r="L92" s="87"/>
      <c r="M92" s="480"/>
      <c r="N92" s="84" t="str">
        <f t="shared" si="10"/>
        <v/>
      </c>
      <c r="O92" s="87"/>
      <c r="P92" s="87"/>
      <c r="Q92" s="85" t="str">
        <f>IF(B92&lt;&gt;"",SUMIFS(RECONVAN!I:I,RECONVAN!$A:$A,HORÁRIO!B92,RECONVAN!$F:$F,HORÁRIO!$Q$2),"")</f>
        <v/>
      </c>
      <c r="R92" s="85" t="str">
        <f>IF(B92&lt;&gt;"",SUMIFS(RECONVAN!I:I,RECONVAN!$A:$A,HORÁRIO!B92,RECONVAN!$F:$F,HORÁRIO!$R$2),"")</f>
        <v/>
      </c>
      <c r="S92" s="85" t="str">
        <f>IF(B92&lt;&gt;"",SUMIFS(RECONVAN!I:I,RECONVAN!$A:$A,HORÁRIO!B92,RECONVAN!$F:$F,HORÁRIO!$S$2),"")</f>
        <v/>
      </c>
      <c r="T92" s="85" t="str">
        <f>IF(B92&lt;&gt;"",SUMIFS(RECONVAN!I:I,RECONVAN!$A:$A,HORÁRIO!B92,RECONVAN!$F:$F,HORÁRIO!$T$2),"")</f>
        <v/>
      </c>
      <c r="U92" s="85" t="str">
        <f>IF(B92&lt;&gt;"",SUMIFS(RECONVAN!I:I,RECONVAN!$A:$A,HORÁRIO!B92,RECONVAN!$F:$F,HORÁRIO!$U$2),"")</f>
        <v/>
      </c>
      <c r="V92" s="85" t="str">
        <f>IF(B92&lt;&gt;"",SUMIFS(RECONVAN!I:I,RECONVAN!$A:$A,HORÁRIO!B92,RECONVAN!$F:$F,HORÁRIO!$V$2),"")</f>
        <v/>
      </c>
      <c r="W92" s="85" t="str">
        <f>IF(B92&lt;&gt;"",SUMIFS(RECONVAN!I:I,RECONVAN!$A:$A,HORÁRIO!B92,RECONVAN!$F:$F,HORÁRIO!$W$2),"")</f>
        <v/>
      </c>
      <c r="X92" s="85" t="str">
        <f>IF(B92&lt;&gt;"",SUMIFS(RECONVAN!I:I,RECONVAN!$A:$A,HORÁRIO!B92,RECONVAN!$F:$F,HORÁRIO!$X$2),"")</f>
        <v/>
      </c>
      <c r="Y92" s="85" t="str">
        <f>IF(B92&lt;&gt;"",SUMIFS(RECONVAN!I:I,RECONVAN!$A:$A,HORÁRIO!B92,RECONVAN!$F:$F,HORÁRIO!$Y$2),"")</f>
        <v/>
      </c>
      <c r="Z92" s="85" t="str">
        <f>IF(B92&lt;&gt;"",SUMIFS(RECONVAN!I:I,RECONVAN!$A:$A,HORÁRIO!B92,RECONVAN!$F:$F,HORÁRIO!$Z$2),"")</f>
        <v/>
      </c>
      <c r="AA92" s="85" t="str">
        <f>IF(B92&lt;&gt;"",SUMIFS(RECONVAN!I:I,RECONVAN!$A:$A,HORÁRIO!B92,RECONVAN!$F:$F,HORÁRIO!$AA$2),"")</f>
        <v/>
      </c>
      <c r="AB92" s="85" t="str">
        <f>IF(B92&lt;&gt;"",SUMIFS(RECONVAN!I:I,RECONVAN!$A:$A,HORÁRIO!B92,RECONVAN!$F:$F,HORÁRIO!$AB$2),"")</f>
        <v/>
      </c>
      <c r="AC92" s="85" t="str">
        <f>IF(B92&lt;&gt;"",SUMIFS(RECONVAN!I:I,RECONVAN!$A:$A,HORÁRIO!B92,RECONVAN!$F:$F,HORÁRIO!$AC$2),"")</f>
        <v/>
      </c>
      <c r="AD92" s="86" t="str">
        <f t="shared" si="12"/>
        <v/>
      </c>
      <c r="AE92" s="86" t="str">
        <f t="shared" si="13"/>
        <v/>
      </c>
    </row>
    <row r="93" spans="1:31" ht="18.75" x14ac:dyDescent="0.3">
      <c r="A93" s="344" t="str">
        <f t="shared" si="14"/>
        <v/>
      </c>
      <c r="B93" s="344" t="str">
        <f>PUXADA!B91</f>
        <v/>
      </c>
      <c r="C93" s="448" t="str">
        <f>IF(B93&lt;&gt;"",_xlfn.XLOOKUP(B93,PUXADA!$B$2:$B$939,PUXADA!$C$2:$C$939,""),"")</f>
        <v/>
      </c>
      <c r="D93" s="344" t="str">
        <f>IF(B93&lt;&gt;"",_xlfn.XLOOKUP(B93,PUXADA!$B$2:$B$939,PUXADA!$I$2:$I$939,""),"")</f>
        <v/>
      </c>
      <c r="E93" s="345" t="str">
        <f>_xlfn.XLOOKUP(D93,'BR''S'!$B$2:$B$104,'BR''S'!$C$2:$C$104,"")</f>
        <v/>
      </c>
      <c r="F93" s="345" t="str">
        <f>_xlfn.XLOOKUP(D93,'BR''S'!$B$2:$B$104,'BR''S'!$H$2:$H$104,"")</f>
        <v/>
      </c>
      <c r="G93" s="345" t="str">
        <f>_xlfn.XLOOKUP(D93,'BR''S'!$B$2:$B$104,'BR''S'!$D$2:$D$104,"")</f>
        <v/>
      </c>
      <c r="H93" s="346" t="str">
        <f>IF(B93&lt;&gt;"",PUXADA!P91,"")</f>
        <v/>
      </c>
      <c r="I93" s="344" t="str">
        <f>IF(B93&lt;&gt;"",PUXADA!G91,"")</f>
        <v/>
      </c>
      <c r="J93" s="561"/>
      <c r="K93" s="87"/>
      <c r="L93" s="87"/>
      <c r="M93" s="480"/>
      <c r="N93" s="84" t="str">
        <f t="shared" si="10"/>
        <v/>
      </c>
      <c r="O93" s="87"/>
      <c r="P93" s="87"/>
      <c r="Q93" s="85" t="str">
        <f>IF(B93&lt;&gt;"",SUMIFS(RECONVAN!I:I,RECONVAN!$A:$A,HORÁRIO!B93,RECONVAN!$F:$F,HORÁRIO!$Q$2),"")</f>
        <v/>
      </c>
      <c r="R93" s="85" t="str">
        <f>IF(B93&lt;&gt;"",SUMIFS(RECONVAN!I:I,RECONVAN!$A:$A,HORÁRIO!B93,RECONVAN!$F:$F,HORÁRIO!$R$2),"")</f>
        <v/>
      </c>
      <c r="S93" s="85" t="str">
        <f>IF(B93&lt;&gt;"",SUMIFS(RECONVAN!I:I,RECONVAN!$A:$A,HORÁRIO!B93,RECONVAN!$F:$F,HORÁRIO!$S$2),"")</f>
        <v/>
      </c>
      <c r="T93" s="85" t="str">
        <f>IF(B93&lt;&gt;"",SUMIFS(RECONVAN!I:I,RECONVAN!$A:$A,HORÁRIO!B93,RECONVAN!$F:$F,HORÁRIO!$T$2),"")</f>
        <v/>
      </c>
      <c r="U93" s="85" t="str">
        <f>IF(B93&lt;&gt;"",SUMIFS(RECONVAN!I:I,RECONVAN!$A:$A,HORÁRIO!B93,RECONVAN!$F:$F,HORÁRIO!$U$2),"")</f>
        <v/>
      </c>
      <c r="V93" s="85" t="str">
        <f>IF(B93&lt;&gt;"",SUMIFS(RECONVAN!I:I,RECONVAN!$A:$A,HORÁRIO!B93,RECONVAN!$F:$F,HORÁRIO!$V$2),"")</f>
        <v/>
      </c>
      <c r="W93" s="85" t="str">
        <f>IF(B93&lt;&gt;"",SUMIFS(RECONVAN!I:I,RECONVAN!$A:$A,HORÁRIO!B93,RECONVAN!$F:$F,HORÁRIO!$W$2),"")</f>
        <v/>
      </c>
      <c r="X93" s="85" t="str">
        <f>IF(B93&lt;&gt;"",SUMIFS(RECONVAN!I:I,RECONVAN!$A:$A,HORÁRIO!B93,RECONVAN!$F:$F,HORÁRIO!$X$2),"")</f>
        <v/>
      </c>
      <c r="Y93" s="85" t="str">
        <f>IF(B93&lt;&gt;"",SUMIFS(RECONVAN!I:I,RECONVAN!$A:$A,HORÁRIO!B93,RECONVAN!$F:$F,HORÁRIO!$Y$2),"")</f>
        <v/>
      </c>
      <c r="Z93" s="85" t="str">
        <f>IF(B93&lt;&gt;"",SUMIFS(RECONVAN!I:I,RECONVAN!$A:$A,HORÁRIO!B93,RECONVAN!$F:$F,HORÁRIO!$Z$2),"")</f>
        <v/>
      </c>
      <c r="AA93" s="85" t="str">
        <f>IF(B93&lt;&gt;"",SUMIFS(RECONVAN!I:I,RECONVAN!$A:$A,HORÁRIO!B93,RECONVAN!$F:$F,HORÁRIO!$AA$2),"")</f>
        <v/>
      </c>
      <c r="AB93" s="85" t="str">
        <f>IF(B93&lt;&gt;"",SUMIFS(RECONVAN!I:I,RECONVAN!$A:$A,HORÁRIO!B93,RECONVAN!$F:$F,HORÁRIO!$AB$2),"")</f>
        <v/>
      </c>
      <c r="AC93" s="85" t="str">
        <f>IF(B93&lt;&gt;"",SUMIFS(RECONVAN!I:I,RECONVAN!$A:$A,HORÁRIO!B93,RECONVAN!$F:$F,HORÁRIO!$AC$2),"")</f>
        <v/>
      </c>
      <c r="AD93" s="86" t="str">
        <f t="shared" si="12"/>
        <v/>
      </c>
      <c r="AE93" s="86" t="str">
        <f t="shared" si="13"/>
        <v/>
      </c>
    </row>
    <row r="94" spans="1:31" ht="18.75" x14ac:dyDescent="0.3">
      <c r="A94" s="344" t="str">
        <f t="shared" si="14"/>
        <v/>
      </c>
      <c r="B94" s="344" t="str">
        <f>PUXADA!B92</f>
        <v/>
      </c>
      <c r="C94" s="448" t="str">
        <f>IF(B94&lt;&gt;"",_xlfn.XLOOKUP(B94,PUXADA!$B$2:$B$939,PUXADA!$C$2:$C$939,""),"")</f>
        <v/>
      </c>
      <c r="D94" s="344" t="str">
        <f>IF(B94&lt;&gt;"",_xlfn.XLOOKUP(B94,PUXADA!$B$2:$B$939,PUXADA!$I$2:$I$939,""),"")</f>
        <v/>
      </c>
      <c r="E94" s="345" t="str">
        <f>_xlfn.XLOOKUP(D94,'BR''S'!$B$2:$B$104,'BR''S'!$C$2:$C$104,"")</f>
        <v/>
      </c>
      <c r="F94" s="345" t="str">
        <f>_xlfn.XLOOKUP(D94,'BR''S'!$B$2:$B$104,'BR''S'!$H$2:$H$104,"")</f>
        <v/>
      </c>
      <c r="G94" s="345" t="str">
        <f>_xlfn.XLOOKUP(D94,'BR''S'!$B$2:$B$104,'BR''S'!$D$2:$D$104,"")</f>
        <v/>
      </c>
      <c r="H94" s="347" t="str">
        <f>IF(B94&lt;&gt;"",PUXADA!P92,"")</f>
        <v/>
      </c>
      <c r="I94" s="345" t="str">
        <f>IF(B94&lt;&gt;"",PUXADA!G92,"")</f>
        <v/>
      </c>
      <c r="J94" s="322"/>
      <c r="K94" s="87"/>
      <c r="L94" s="87"/>
      <c r="M94" s="480"/>
      <c r="N94" s="84" t="str">
        <f t="shared" si="10"/>
        <v/>
      </c>
      <c r="O94" s="87"/>
      <c r="P94" s="87"/>
      <c r="Q94" s="85" t="str">
        <f>IF(B94&lt;&gt;"",SUMIFS(RECONVAN!I:I,RECONVAN!$A:$A,HORÁRIO!B94,RECONVAN!$F:$F,HORÁRIO!$Q$2),"")</f>
        <v/>
      </c>
      <c r="R94" s="85" t="str">
        <f>IF(B94&lt;&gt;"",SUMIFS(RECONVAN!I:I,RECONVAN!$A:$A,HORÁRIO!B94,RECONVAN!$F:$F,HORÁRIO!$R$2),"")</f>
        <v/>
      </c>
      <c r="S94" s="85" t="str">
        <f>IF(B94&lt;&gt;"",SUMIFS(RECONVAN!I:I,RECONVAN!$A:$A,HORÁRIO!B94,RECONVAN!$F:$F,HORÁRIO!$S$2),"")</f>
        <v/>
      </c>
      <c r="T94" s="85" t="str">
        <f>IF(B94&lt;&gt;"",SUMIFS(RECONVAN!I:I,RECONVAN!$A:$A,HORÁRIO!B94,RECONVAN!$F:$F,HORÁRIO!$T$2),"")</f>
        <v/>
      </c>
      <c r="U94" s="85" t="str">
        <f>IF(B94&lt;&gt;"",SUMIFS(RECONVAN!I:I,RECONVAN!$A:$A,HORÁRIO!B94,RECONVAN!$F:$F,HORÁRIO!$U$2),"")</f>
        <v/>
      </c>
      <c r="V94" s="85" t="str">
        <f>IF(B94&lt;&gt;"",SUMIFS(RECONVAN!I:I,RECONVAN!$A:$A,HORÁRIO!B94,RECONVAN!$F:$F,HORÁRIO!$V$2),"")</f>
        <v/>
      </c>
      <c r="W94" s="85" t="str">
        <f>IF(B94&lt;&gt;"",SUMIFS(RECONVAN!I:I,RECONVAN!$A:$A,HORÁRIO!B94,RECONVAN!$F:$F,HORÁRIO!$W$2),"")</f>
        <v/>
      </c>
      <c r="X94" s="85" t="str">
        <f>IF(B94&lt;&gt;"",SUMIFS(RECONVAN!I:I,RECONVAN!$A:$A,HORÁRIO!B94,RECONVAN!$F:$F,HORÁRIO!$X$2),"")</f>
        <v/>
      </c>
      <c r="Y94" s="85" t="str">
        <f>IF(B94&lt;&gt;"",SUMIFS(RECONVAN!I:I,RECONVAN!$A:$A,HORÁRIO!B94,RECONVAN!$F:$F,HORÁRIO!$Y$2),"")</f>
        <v/>
      </c>
      <c r="Z94" s="85" t="str">
        <f>IF(B94&lt;&gt;"",SUMIFS(RECONVAN!I:I,RECONVAN!$A:$A,HORÁRIO!B94,RECONVAN!$F:$F,HORÁRIO!$Z$2),"")</f>
        <v/>
      </c>
      <c r="AA94" s="85" t="str">
        <f>IF(B94&lt;&gt;"",SUMIFS(RECONVAN!I:I,RECONVAN!$A:$A,HORÁRIO!B94,RECONVAN!$F:$F,HORÁRIO!$AA$2),"")</f>
        <v/>
      </c>
      <c r="AB94" s="85" t="str">
        <f>IF(B94&lt;&gt;"",SUMIFS(RECONVAN!I:I,RECONVAN!$A:$A,HORÁRIO!B94,RECONVAN!$F:$F,HORÁRIO!$AB$2),"")</f>
        <v/>
      </c>
      <c r="AC94" s="85" t="str">
        <f>IF(B94&lt;&gt;"",SUMIFS(RECONVAN!I:I,RECONVAN!$A:$A,HORÁRIO!B94,RECONVAN!$F:$F,HORÁRIO!$AC$2),"")</f>
        <v/>
      </c>
      <c r="AD94" s="86" t="str">
        <f t="shared" si="12"/>
        <v/>
      </c>
      <c r="AE94" s="86" t="str">
        <f t="shared" si="13"/>
        <v/>
      </c>
    </row>
    <row r="95" spans="1:31" ht="18.75" x14ac:dyDescent="0.3">
      <c r="A95" s="344" t="str">
        <f t="shared" si="14"/>
        <v/>
      </c>
      <c r="B95" s="344" t="str">
        <f>PUXADA!B93</f>
        <v/>
      </c>
      <c r="C95" s="448" t="str">
        <f>IF(B95&lt;&gt;"",_xlfn.XLOOKUP(B95,PUXADA!$B$2:$B$939,PUXADA!$C$2:$C$939,""),"")</f>
        <v/>
      </c>
      <c r="D95" s="344" t="str">
        <f>IF(B95&lt;&gt;"",_xlfn.XLOOKUP(B95,PUXADA!$B$2:$B$939,PUXADA!$I$2:$I$939,""),"")</f>
        <v/>
      </c>
      <c r="E95" s="345" t="str">
        <f>_xlfn.XLOOKUP(D95,'BR''S'!$B$2:$B$104,'BR''S'!$C$2:$C$104,"")</f>
        <v/>
      </c>
      <c r="F95" s="345" t="str">
        <f>_xlfn.XLOOKUP(D95,'BR''S'!$B$2:$B$104,'BR''S'!$H$2:$H$104,"")</f>
        <v/>
      </c>
      <c r="G95" s="345" t="str">
        <f>_xlfn.XLOOKUP(D95,'BR''S'!$B$2:$B$104,'BR''S'!$D$2:$D$104,"")</f>
        <v/>
      </c>
      <c r="H95" s="346" t="str">
        <f>IF(B95&lt;&gt;"",PUXADA!P93,"")</f>
        <v/>
      </c>
      <c r="I95" s="344" t="str">
        <f>IF(B95&lt;&gt;"",PUXADA!G93,"")</f>
        <v/>
      </c>
      <c r="J95" s="561"/>
      <c r="K95" s="87"/>
      <c r="L95" s="87"/>
      <c r="M95" s="480"/>
      <c r="N95" s="84" t="str">
        <f t="shared" si="10"/>
        <v/>
      </c>
      <c r="O95" s="87"/>
      <c r="P95" s="87"/>
      <c r="Q95" s="85" t="str">
        <f>IF(B95&lt;&gt;"",SUMIFS(RECONVAN!I:I,RECONVAN!$A:$A,HORÁRIO!B95,RECONVAN!$F:$F,HORÁRIO!$Q$2),"")</f>
        <v/>
      </c>
      <c r="R95" s="85" t="str">
        <f>IF(B95&lt;&gt;"",SUMIFS(RECONVAN!I:I,RECONVAN!$A:$A,HORÁRIO!B95,RECONVAN!$F:$F,HORÁRIO!$R$2),"")</f>
        <v/>
      </c>
      <c r="S95" s="85" t="str">
        <f>IF(B95&lt;&gt;"",SUMIFS(RECONVAN!I:I,RECONVAN!$A:$A,HORÁRIO!B95,RECONVAN!$F:$F,HORÁRIO!$S$2),"")</f>
        <v/>
      </c>
      <c r="T95" s="85" t="str">
        <f>IF(B95&lt;&gt;"",SUMIFS(RECONVAN!I:I,RECONVAN!$A:$A,HORÁRIO!B95,RECONVAN!$F:$F,HORÁRIO!$T$2),"")</f>
        <v/>
      </c>
      <c r="U95" s="85" t="str">
        <f>IF(B95&lt;&gt;"",SUMIFS(RECONVAN!I:I,RECONVAN!$A:$A,HORÁRIO!B95,RECONVAN!$F:$F,HORÁRIO!$U$2),"")</f>
        <v/>
      </c>
      <c r="V95" s="85" t="str">
        <f>IF(B95&lt;&gt;"",SUMIFS(RECONVAN!I:I,RECONVAN!$A:$A,HORÁRIO!B95,RECONVAN!$F:$F,HORÁRIO!$V$2),"")</f>
        <v/>
      </c>
      <c r="W95" s="85" t="str">
        <f>IF(B95&lt;&gt;"",SUMIFS(RECONVAN!I:I,RECONVAN!$A:$A,HORÁRIO!B95,RECONVAN!$F:$F,HORÁRIO!$W$2),"")</f>
        <v/>
      </c>
      <c r="X95" s="85" t="str">
        <f>IF(B95&lt;&gt;"",SUMIFS(RECONVAN!I:I,RECONVAN!$A:$A,HORÁRIO!B95,RECONVAN!$F:$F,HORÁRIO!$X$2),"")</f>
        <v/>
      </c>
      <c r="Y95" s="85" t="str">
        <f>IF(B95&lt;&gt;"",SUMIFS(RECONVAN!I:I,RECONVAN!$A:$A,HORÁRIO!B95,RECONVAN!$F:$F,HORÁRIO!$Y$2),"")</f>
        <v/>
      </c>
      <c r="Z95" s="85" t="str">
        <f>IF(B95&lt;&gt;"",SUMIFS(RECONVAN!I:I,RECONVAN!$A:$A,HORÁRIO!B95,RECONVAN!$F:$F,HORÁRIO!$Z$2),"")</f>
        <v/>
      </c>
      <c r="AA95" s="85" t="str">
        <f>IF(B95&lt;&gt;"",SUMIFS(RECONVAN!I:I,RECONVAN!$A:$A,HORÁRIO!B95,RECONVAN!$F:$F,HORÁRIO!$AA$2),"")</f>
        <v/>
      </c>
      <c r="AB95" s="85" t="str">
        <f>IF(B95&lt;&gt;"",SUMIFS(RECONVAN!I:I,RECONVAN!$A:$A,HORÁRIO!B95,RECONVAN!$F:$F,HORÁRIO!$AB$2),"")</f>
        <v/>
      </c>
      <c r="AC95" s="85" t="str">
        <f>IF(B95&lt;&gt;"",SUMIFS(RECONVAN!I:I,RECONVAN!$A:$A,HORÁRIO!B95,RECONVAN!$F:$F,HORÁRIO!$AC$2),"")</f>
        <v/>
      </c>
      <c r="AD95" s="86" t="str">
        <f t="shared" si="12"/>
        <v/>
      </c>
      <c r="AE95" s="86" t="str">
        <f t="shared" si="13"/>
        <v/>
      </c>
    </row>
    <row r="96" spans="1:31" ht="18.75" x14ac:dyDescent="0.3">
      <c r="A96" s="344" t="str">
        <f t="shared" si="14"/>
        <v/>
      </c>
      <c r="B96" s="344" t="str">
        <f>PUXADA!B94</f>
        <v/>
      </c>
      <c r="C96" s="448" t="str">
        <f>IF(B96&lt;&gt;"",_xlfn.XLOOKUP(B96,PUXADA!$B$2:$B$939,PUXADA!$C$2:$C$939,""),"")</f>
        <v/>
      </c>
      <c r="D96" s="344" t="str">
        <f>IF(B96&lt;&gt;"",_xlfn.XLOOKUP(B96,PUXADA!$B$2:$B$939,PUXADA!$I$2:$I$939,""),"")</f>
        <v/>
      </c>
      <c r="E96" s="345" t="str">
        <f>_xlfn.XLOOKUP(D96,'BR''S'!$B$2:$B$104,'BR''S'!$C$2:$C$104,"")</f>
        <v/>
      </c>
      <c r="F96" s="345" t="str">
        <f>_xlfn.XLOOKUP(D96,'BR''S'!$B$2:$B$104,'BR''S'!$H$2:$H$104,"")</f>
        <v/>
      </c>
      <c r="G96" s="345" t="str">
        <f>_xlfn.XLOOKUP(D96,'BR''S'!$B$2:$B$104,'BR''S'!$D$2:$D$104,"")</f>
        <v/>
      </c>
      <c r="H96" s="347" t="str">
        <f>IF(B96&lt;&gt;"",PUXADA!P94,"")</f>
        <v/>
      </c>
      <c r="I96" s="345" t="str">
        <f>IF(B96&lt;&gt;"",PUXADA!G94,"")</f>
        <v/>
      </c>
      <c r="J96" s="322"/>
      <c r="K96" s="87"/>
      <c r="L96" s="87"/>
      <c r="M96" s="480"/>
      <c r="N96" s="84" t="str">
        <f t="shared" si="10"/>
        <v/>
      </c>
      <c r="O96" s="87"/>
      <c r="P96" s="87"/>
      <c r="Q96" s="85" t="str">
        <f>IF(B96&lt;&gt;"",SUMIFS(RECONVAN!I:I,RECONVAN!$A:$A,HORÁRIO!B96,RECONVAN!$F:$F,HORÁRIO!$Q$2),"")</f>
        <v/>
      </c>
      <c r="R96" s="85" t="str">
        <f>IF(B96&lt;&gt;"",SUMIFS(RECONVAN!I:I,RECONVAN!$A:$A,HORÁRIO!B96,RECONVAN!$F:$F,HORÁRIO!$R$2),"")</f>
        <v/>
      </c>
      <c r="S96" s="85" t="str">
        <f>IF(B96&lt;&gt;"",SUMIFS(RECONVAN!I:I,RECONVAN!$A:$A,HORÁRIO!B96,RECONVAN!$F:$F,HORÁRIO!$S$2),"")</f>
        <v/>
      </c>
      <c r="T96" s="85" t="str">
        <f>IF(B96&lt;&gt;"",SUMIFS(RECONVAN!I:I,RECONVAN!$A:$A,HORÁRIO!B96,RECONVAN!$F:$F,HORÁRIO!$T$2),"")</f>
        <v/>
      </c>
      <c r="U96" s="85" t="str">
        <f>IF(B96&lt;&gt;"",SUMIFS(RECONVAN!I:I,RECONVAN!$A:$A,HORÁRIO!B96,RECONVAN!$F:$F,HORÁRIO!$U$2),"")</f>
        <v/>
      </c>
      <c r="V96" s="85" t="str">
        <f>IF(B96&lt;&gt;"",SUMIFS(RECONVAN!I:I,RECONVAN!$A:$A,HORÁRIO!B96,RECONVAN!$F:$F,HORÁRIO!$V$2),"")</f>
        <v/>
      </c>
      <c r="W96" s="85" t="str">
        <f>IF(B96&lt;&gt;"",SUMIFS(RECONVAN!I:I,RECONVAN!$A:$A,HORÁRIO!B96,RECONVAN!$F:$F,HORÁRIO!$W$2),"")</f>
        <v/>
      </c>
      <c r="X96" s="85" t="str">
        <f>IF(B96&lt;&gt;"",SUMIFS(RECONVAN!I:I,RECONVAN!$A:$A,HORÁRIO!B96,RECONVAN!$F:$F,HORÁRIO!$X$2),"")</f>
        <v/>
      </c>
      <c r="Y96" s="85" t="str">
        <f>IF(B96&lt;&gt;"",SUMIFS(RECONVAN!I:I,RECONVAN!$A:$A,HORÁRIO!B96,RECONVAN!$F:$F,HORÁRIO!$Y$2),"")</f>
        <v/>
      </c>
      <c r="Z96" s="85" t="str">
        <f>IF(B96&lt;&gt;"",SUMIFS(RECONVAN!I:I,RECONVAN!$A:$A,HORÁRIO!B96,RECONVAN!$F:$F,HORÁRIO!$Z$2),"")</f>
        <v/>
      </c>
      <c r="AA96" s="85" t="str">
        <f>IF(B96&lt;&gt;"",SUMIFS(RECONVAN!I:I,RECONVAN!$A:$A,HORÁRIO!B96,RECONVAN!$F:$F,HORÁRIO!$AA$2),"")</f>
        <v/>
      </c>
      <c r="AB96" s="85" t="str">
        <f>IF(B96&lt;&gt;"",SUMIFS(RECONVAN!I:I,RECONVAN!$A:$A,HORÁRIO!B96,RECONVAN!$F:$F,HORÁRIO!$AB$2),"")</f>
        <v/>
      </c>
      <c r="AC96" s="85" t="str">
        <f>IF(B96&lt;&gt;"",SUMIFS(RECONVAN!I:I,RECONVAN!$A:$A,HORÁRIO!B96,RECONVAN!$F:$F,HORÁRIO!$AC$2),"")</f>
        <v/>
      </c>
      <c r="AD96" s="86" t="str">
        <f t="shared" si="12"/>
        <v/>
      </c>
      <c r="AE96" s="86" t="str">
        <f t="shared" si="13"/>
        <v/>
      </c>
    </row>
    <row r="97" spans="1:31" ht="18.75" x14ac:dyDescent="0.3">
      <c r="A97" s="344" t="str">
        <f t="shared" si="14"/>
        <v/>
      </c>
      <c r="B97" s="344" t="str">
        <f>PUXADA!B95</f>
        <v/>
      </c>
      <c r="C97" s="448" t="str">
        <f>IF(B97&lt;&gt;"",_xlfn.XLOOKUP(B97,PUXADA!$B$2:$B$939,PUXADA!$C$2:$C$939,""),"")</f>
        <v/>
      </c>
      <c r="D97" s="344" t="str">
        <f>IF(B97&lt;&gt;"",_xlfn.XLOOKUP(B97,PUXADA!$B$2:$B$939,PUXADA!$I$2:$I$939,""),"")</f>
        <v/>
      </c>
      <c r="E97" s="345" t="str">
        <f>_xlfn.XLOOKUP(D97,'BR''S'!$B$2:$B$104,'BR''S'!$C$2:$C$104,"")</f>
        <v/>
      </c>
      <c r="F97" s="345" t="str">
        <f>_xlfn.XLOOKUP(D97,'BR''S'!$B$2:$B$104,'BR''S'!$H$2:$H$104,"")</f>
        <v/>
      </c>
      <c r="G97" s="345" t="str">
        <f>_xlfn.XLOOKUP(D97,'BR''S'!$B$2:$B$104,'BR''S'!$D$2:$D$104,"")</f>
        <v/>
      </c>
      <c r="H97" s="346" t="str">
        <f>IF(B97&lt;&gt;"",PUXADA!P95,"")</f>
        <v/>
      </c>
      <c r="I97" s="344" t="str">
        <f>IF(B97&lt;&gt;"",PUXADA!G95,"")</f>
        <v/>
      </c>
      <c r="J97" s="453"/>
      <c r="K97" s="87"/>
      <c r="L97" s="87"/>
      <c r="M97" s="480"/>
      <c r="N97" s="84" t="str">
        <f t="shared" si="10"/>
        <v/>
      </c>
      <c r="O97" s="87"/>
      <c r="P97" s="87"/>
      <c r="Q97" s="85" t="str">
        <f>IF(B97&lt;&gt;"",SUMIFS(RECONVAN!I:I,RECONVAN!$A:$A,HORÁRIO!B97,RECONVAN!$F:$F,HORÁRIO!$Q$2),"")</f>
        <v/>
      </c>
      <c r="R97" s="85" t="str">
        <f>IF(B97&lt;&gt;"",SUMIFS(RECONVAN!I:I,RECONVAN!$A:$A,HORÁRIO!B97,RECONVAN!$F:$F,HORÁRIO!$R$2),"")</f>
        <v/>
      </c>
      <c r="S97" s="85" t="str">
        <f>IF(B97&lt;&gt;"",SUMIFS(RECONVAN!I:I,RECONVAN!$A:$A,HORÁRIO!B97,RECONVAN!$F:$F,HORÁRIO!$S$2),"")</f>
        <v/>
      </c>
      <c r="T97" s="85" t="str">
        <f>IF(B97&lt;&gt;"",SUMIFS(RECONVAN!I:I,RECONVAN!$A:$A,HORÁRIO!B97,RECONVAN!$F:$F,HORÁRIO!$T$2),"")</f>
        <v/>
      </c>
      <c r="U97" s="85" t="str">
        <f>IF(B97&lt;&gt;"",SUMIFS(RECONVAN!I:I,RECONVAN!$A:$A,HORÁRIO!B97,RECONVAN!$F:$F,HORÁRIO!$U$2),"")</f>
        <v/>
      </c>
      <c r="V97" s="85" t="str">
        <f>IF(B97&lt;&gt;"",SUMIFS(RECONVAN!I:I,RECONVAN!$A:$A,HORÁRIO!B97,RECONVAN!$F:$F,HORÁRIO!$V$2),"")</f>
        <v/>
      </c>
      <c r="W97" s="85" t="str">
        <f>IF(B97&lt;&gt;"",SUMIFS(RECONVAN!I:I,RECONVAN!$A:$A,HORÁRIO!B97,RECONVAN!$F:$F,HORÁRIO!$W$2),"")</f>
        <v/>
      </c>
      <c r="X97" s="85" t="str">
        <f>IF(B97&lt;&gt;"",SUMIFS(RECONVAN!I:I,RECONVAN!$A:$A,HORÁRIO!B97,RECONVAN!$F:$F,HORÁRIO!$X$2),"")</f>
        <v/>
      </c>
      <c r="Y97" s="85" t="str">
        <f>IF(B97&lt;&gt;"",SUMIFS(RECONVAN!I:I,RECONVAN!$A:$A,HORÁRIO!B97,RECONVAN!$F:$F,HORÁRIO!$Y$2),"")</f>
        <v/>
      </c>
      <c r="Z97" s="85" t="str">
        <f>IF(B97&lt;&gt;"",SUMIFS(RECONVAN!I:I,RECONVAN!$A:$A,HORÁRIO!B97,RECONVAN!$F:$F,HORÁRIO!$Z$2),"")</f>
        <v/>
      </c>
      <c r="AA97" s="85" t="str">
        <f>IF(B97&lt;&gt;"",SUMIFS(RECONVAN!I:I,RECONVAN!$A:$A,HORÁRIO!B97,RECONVAN!$F:$F,HORÁRIO!$AA$2),"")</f>
        <v/>
      </c>
      <c r="AB97" s="85" t="str">
        <f>IF(B97&lt;&gt;"",SUMIFS(RECONVAN!I:I,RECONVAN!$A:$A,HORÁRIO!B97,RECONVAN!$F:$F,HORÁRIO!$AB$2),"")</f>
        <v/>
      </c>
      <c r="AC97" s="85" t="str">
        <f>IF(B97&lt;&gt;"",SUMIFS(RECONVAN!I:I,RECONVAN!$A:$A,HORÁRIO!B97,RECONVAN!$F:$F,HORÁRIO!$AC$2),"")</f>
        <v/>
      </c>
      <c r="AD97" s="86" t="str">
        <f t="shared" si="12"/>
        <v/>
      </c>
      <c r="AE97" s="86" t="str">
        <f t="shared" si="13"/>
        <v/>
      </c>
    </row>
    <row r="98" spans="1:31" ht="18.75" x14ac:dyDescent="0.3">
      <c r="A98" s="344" t="str">
        <f t="shared" si="14"/>
        <v/>
      </c>
      <c r="B98" s="344" t="str">
        <f>PUXADA!B96</f>
        <v/>
      </c>
      <c r="C98" s="448" t="str">
        <f>IF(B98&lt;&gt;"",_xlfn.XLOOKUP(B98,PUXADA!$B$2:$B$939,PUXADA!$C$2:$C$939,""),"")</f>
        <v/>
      </c>
      <c r="D98" s="344" t="str">
        <f>IF(B98&lt;&gt;"",_xlfn.XLOOKUP(B98,PUXADA!$B$2:$B$939,PUXADA!$I$2:$I$939,""),"")</f>
        <v/>
      </c>
      <c r="E98" s="345" t="str">
        <f>_xlfn.XLOOKUP(D98,'BR''S'!$B$2:$B$104,'BR''S'!$C$2:$C$104,"")</f>
        <v/>
      </c>
      <c r="F98" s="345" t="str">
        <f>_xlfn.XLOOKUP(D98,'BR''S'!$B$2:$B$104,'BR''S'!$H$2:$H$104,"")</f>
        <v/>
      </c>
      <c r="G98" s="345" t="str">
        <f>_xlfn.XLOOKUP(D98,'BR''S'!$B$2:$B$104,'BR''S'!$D$2:$D$104,"")</f>
        <v/>
      </c>
      <c r="H98" s="347" t="str">
        <f>IF(B98&lt;&gt;"",PUXADA!P96,"")</f>
        <v/>
      </c>
      <c r="I98" s="345" t="str">
        <f>IF(B98&lt;&gt;"",PUXADA!G96,"")</f>
        <v/>
      </c>
      <c r="J98" s="453"/>
      <c r="K98" s="87"/>
      <c r="L98" s="87"/>
      <c r="M98" s="480"/>
      <c r="N98" s="84" t="str">
        <f t="shared" si="10"/>
        <v/>
      </c>
      <c r="O98" s="87"/>
      <c r="P98" s="87"/>
      <c r="Q98" s="85" t="str">
        <f>IF(B98&lt;&gt;"",SUMIFS(RECONVAN!I:I,RECONVAN!$A:$A,HORÁRIO!B98,RECONVAN!$F:$F,HORÁRIO!$Q$2),"")</f>
        <v/>
      </c>
      <c r="R98" s="85" t="str">
        <f>IF(B98&lt;&gt;"",SUMIFS(RECONVAN!I:I,RECONVAN!$A:$A,HORÁRIO!B98,RECONVAN!$F:$F,HORÁRIO!$R$2),"")</f>
        <v/>
      </c>
      <c r="S98" s="85" t="str">
        <f>IF(B98&lt;&gt;"",SUMIFS(RECONVAN!I:I,RECONVAN!$A:$A,HORÁRIO!B98,RECONVAN!$F:$F,HORÁRIO!$S$2),"")</f>
        <v/>
      </c>
      <c r="T98" s="85" t="str">
        <f>IF(B98&lt;&gt;"",SUMIFS(RECONVAN!I:I,RECONVAN!$A:$A,HORÁRIO!B98,RECONVAN!$F:$F,HORÁRIO!$T$2),"")</f>
        <v/>
      </c>
      <c r="U98" s="85" t="str">
        <f>IF(B98&lt;&gt;"",SUMIFS(RECONVAN!I:I,RECONVAN!$A:$A,HORÁRIO!B98,RECONVAN!$F:$F,HORÁRIO!$U$2),"")</f>
        <v/>
      </c>
      <c r="V98" s="85" t="str">
        <f>IF(B98&lt;&gt;"",SUMIFS(RECONVAN!I:I,RECONVAN!$A:$A,HORÁRIO!B98,RECONVAN!$F:$F,HORÁRIO!$V$2),"")</f>
        <v/>
      </c>
      <c r="W98" s="85" t="str">
        <f>IF(B98&lt;&gt;"",SUMIFS(RECONVAN!I:I,RECONVAN!$A:$A,HORÁRIO!B98,RECONVAN!$F:$F,HORÁRIO!$W$2),"")</f>
        <v/>
      </c>
      <c r="X98" s="85" t="str">
        <f>IF(B98&lt;&gt;"",SUMIFS(RECONVAN!I:I,RECONVAN!$A:$A,HORÁRIO!B98,RECONVAN!$F:$F,HORÁRIO!$X$2),"")</f>
        <v/>
      </c>
      <c r="Y98" s="85" t="str">
        <f>IF(B98&lt;&gt;"",SUMIFS(RECONVAN!I:I,RECONVAN!$A:$A,HORÁRIO!B98,RECONVAN!$F:$F,HORÁRIO!$Y$2),"")</f>
        <v/>
      </c>
      <c r="Z98" s="85" t="str">
        <f>IF(B98&lt;&gt;"",SUMIFS(RECONVAN!I:I,RECONVAN!$A:$A,HORÁRIO!B98,RECONVAN!$F:$F,HORÁRIO!$Z$2),"")</f>
        <v/>
      </c>
      <c r="AA98" s="85" t="str">
        <f>IF(B98&lt;&gt;"",SUMIFS(RECONVAN!I:I,RECONVAN!$A:$A,HORÁRIO!B98,RECONVAN!$F:$F,HORÁRIO!$AA$2),"")</f>
        <v/>
      </c>
      <c r="AB98" s="85" t="str">
        <f>IF(B98&lt;&gt;"",SUMIFS(RECONVAN!I:I,RECONVAN!$A:$A,HORÁRIO!B98,RECONVAN!$F:$F,HORÁRIO!$AB$2),"")</f>
        <v/>
      </c>
      <c r="AC98" s="85" t="str">
        <f>IF(B98&lt;&gt;"",SUMIFS(RECONVAN!I:I,RECONVAN!$A:$A,HORÁRIO!B98,RECONVAN!$F:$F,HORÁRIO!$AC$2),"")</f>
        <v/>
      </c>
      <c r="AD98" s="86" t="str">
        <f t="shared" si="12"/>
        <v/>
      </c>
      <c r="AE98" s="86" t="str">
        <f t="shared" si="13"/>
        <v/>
      </c>
    </row>
    <row r="99" spans="1:31" ht="18.75" x14ac:dyDescent="0.3">
      <c r="A99" s="344"/>
      <c r="B99" s="344"/>
      <c r="C99" s="449"/>
      <c r="D99" s="345"/>
      <c r="E99" s="345"/>
      <c r="F99" s="345"/>
      <c r="G99" s="345"/>
      <c r="H99" s="347"/>
      <c r="I99" s="345"/>
      <c r="J99" s="322"/>
      <c r="K99" s="87"/>
      <c r="L99" s="87"/>
      <c r="M99" s="87"/>
      <c r="N99" s="87"/>
      <c r="O99" s="87"/>
      <c r="P99" s="87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9"/>
      <c r="AE99" s="89"/>
    </row>
    <row r="100" spans="1:31" ht="18.75" x14ac:dyDescent="0.3">
      <c r="A100" s="344"/>
      <c r="B100" s="344"/>
      <c r="C100" s="449"/>
      <c r="D100" s="345"/>
      <c r="E100" s="345"/>
      <c r="F100" s="345"/>
      <c r="G100" s="345"/>
      <c r="H100" s="347"/>
      <c r="I100" s="345"/>
      <c r="J100" s="322"/>
      <c r="K100" s="87"/>
      <c r="L100" s="87"/>
      <c r="M100" s="87"/>
      <c r="N100" s="87"/>
      <c r="O100" s="87"/>
      <c r="P100" s="87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9"/>
      <c r="AE100" s="89"/>
    </row>
    <row r="101" spans="1:31" ht="18.75" x14ac:dyDescent="0.3">
      <c r="A101" s="344"/>
      <c r="B101" s="344"/>
      <c r="C101" s="449"/>
      <c r="D101" s="345"/>
      <c r="E101" s="345"/>
      <c r="F101" s="345"/>
      <c r="G101" s="345"/>
      <c r="H101" s="347"/>
      <c r="I101" s="345"/>
      <c r="J101" s="322"/>
      <c r="K101" s="87"/>
      <c r="L101" s="87"/>
      <c r="M101" s="87"/>
      <c r="N101" s="87"/>
      <c r="O101" s="87"/>
      <c r="P101" s="87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9"/>
      <c r="AE101" s="89"/>
    </row>
    <row r="102" spans="1:31" ht="18.75" x14ac:dyDescent="0.3">
      <c r="A102" s="344"/>
      <c r="B102" s="344"/>
      <c r="C102" s="449"/>
      <c r="D102" s="345"/>
      <c r="E102" s="345"/>
      <c r="F102" s="345"/>
      <c r="G102" s="345"/>
      <c r="H102" s="347"/>
      <c r="I102" s="345"/>
      <c r="J102" s="322"/>
      <c r="K102" s="87"/>
      <c r="L102" s="87"/>
      <c r="M102" s="87"/>
      <c r="N102" s="87"/>
      <c r="O102" s="87"/>
      <c r="P102" s="87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9"/>
      <c r="AE102" s="89"/>
    </row>
    <row r="103" spans="1:31" ht="18.75" x14ac:dyDescent="0.3">
      <c r="A103" s="344"/>
      <c r="B103" s="344"/>
      <c r="C103" s="449"/>
      <c r="D103" s="345"/>
      <c r="E103" s="345"/>
      <c r="F103" s="345"/>
      <c r="G103" s="345"/>
      <c r="H103" s="347"/>
      <c r="I103" s="345"/>
      <c r="J103" s="322"/>
      <c r="K103" s="87"/>
      <c r="L103" s="87"/>
      <c r="M103" s="87"/>
      <c r="N103" s="87"/>
      <c r="O103" s="87"/>
      <c r="P103" s="87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9"/>
      <c r="AE103" s="89"/>
    </row>
    <row r="104" spans="1:31" ht="18.75" x14ac:dyDescent="0.3">
      <c r="A104" s="344"/>
      <c r="B104" s="344"/>
      <c r="C104" s="449"/>
      <c r="D104" s="345"/>
      <c r="E104" s="345"/>
      <c r="F104" s="345"/>
      <c r="G104" s="345"/>
      <c r="H104" s="347"/>
      <c r="I104" s="345"/>
      <c r="J104" s="322"/>
      <c r="K104" s="87"/>
      <c r="L104" s="87"/>
      <c r="M104" s="87"/>
      <c r="N104" s="87"/>
      <c r="O104" s="87"/>
      <c r="P104" s="87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9"/>
      <c r="AE104" s="89"/>
    </row>
    <row r="105" spans="1:31" ht="18.75" x14ac:dyDescent="0.3">
      <c r="A105" s="344"/>
      <c r="B105" s="344"/>
      <c r="C105" s="449"/>
      <c r="D105" s="345"/>
      <c r="E105" s="345"/>
      <c r="F105" s="345"/>
      <c r="G105" s="345"/>
      <c r="H105" s="347"/>
      <c r="I105" s="345"/>
      <c r="J105" s="322"/>
      <c r="K105" s="87"/>
      <c r="L105" s="87"/>
      <c r="M105" s="87"/>
      <c r="N105" s="87"/>
      <c r="O105" s="87"/>
      <c r="P105" s="87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9"/>
      <c r="AE105" s="89"/>
    </row>
    <row r="106" spans="1:31" ht="18.75" x14ac:dyDescent="0.3">
      <c r="A106" s="344"/>
      <c r="B106" s="344"/>
      <c r="C106" s="449"/>
      <c r="D106" s="345"/>
      <c r="E106" s="345"/>
      <c r="F106" s="345"/>
      <c r="G106" s="345"/>
      <c r="H106" s="347"/>
      <c r="I106" s="345"/>
      <c r="J106" s="322"/>
      <c r="K106" s="87"/>
      <c r="L106" s="87"/>
      <c r="M106" s="87"/>
      <c r="N106" s="87"/>
      <c r="O106" s="87"/>
      <c r="P106" s="87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9"/>
      <c r="AE106" s="89"/>
    </row>
    <row r="107" spans="1:31" ht="18.75" x14ac:dyDescent="0.3">
      <c r="A107" s="344"/>
      <c r="B107" s="344"/>
      <c r="C107" s="449"/>
      <c r="D107" s="345"/>
      <c r="E107" s="345"/>
      <c r="F107" s="345"/>
      <c r="G107" s="345"/>
      <c r="H107" s="347"/>
      <c r="I107" s="345"/>
      <c r="J107" s="322"/>
      <c r="K107" s="87"/>
      <c r="L107" s="87"/>
      <c r="M107" s="87"/>
      <c r="N107" s="87"/>
      <c r="O107" s="87"/>
      <c r="P107" s="87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9"/>
      <c r="AE107" s="89"/>
    </row>
    <row r="108" spans="1:31" ht="18.75" x14ac:dyDescent="0.3">
      <c r="A108" s="344"/>
      <c r="B108" s="344"/>
      <c r="C108" s="449"/>
      <c r="D108" s="345"/>
      <c r="E108" s="345"/>
      <c r="F108" s="345"/>
      <c r="G108" s="345"/>
      <c r="H108" s="347"/>
      <c r="I108" s="345"/>
      <c r="J108" s="322"/>
      <c r="K108" s="87"/>
      <c r="L108" s="87"/>
      <c r="M108" s="87"/>
      <c r="N108" s="87"/>
      <c r="O108" s="87"/>
      <c r="P108" s="87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9"/>
      <c r="AE108" s="89"/>
    </row>
    <row r="109" spans="1:31" ht="18.75" x14ac:dyDescent="0.3">
      <c r="A109" s="344"/>
      <c r="B109" s="344"/>
      <c r="C109" s="449"/>
      <c r="D109" s="345"/>
      <c r="E109" s="345"/>
      <c r="F109" s="345"/>
      <c r="G109" s="345"/>
      <c r="H109" s="347"/>
      <c r="I109" s="345"/>
      <c r="J109" s="322"/>
      <c r="K109" s="87"/>
      <c r="L109" s="87"/>
      <c r="M109" s="87"/>
      <c r="N109" s="87"/>
      <c r="O109" s="87"/>
      <c r="P109" s="87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9"/>
      <c r="AE109" s="89"/>
    </row>
    <row r="110" spans="1:31" ht="18.75" x14ac:dyDescent="0.3">
      <c r="A110" s="344"/>
      <c r="B110" s="344"/>
      <c r="C110" s="449"/>
      <c r="D110" s="345"/>
      <c r="E110" s="345"/>
      <c r="F110" s="345"/>
      <c r="G110" s="345"/>
      <c r="H110" s="347"/>
      <c r="I110" s="345"/>
      <c r="J110" s="322"/>
      <c r="K110" s="87"/>
      <c r="L110" s="87"/>
      <c r="M110" s="87"/>
      <c r="N110" s="87"/>
      <c r="O110" s="87"/>
      <c r="P110" s="87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9"/>
      <c r="AE110" s="89"/>
    </row>
    <row r="111" spans="1:31" ht="18.75" x14ac:dyDescent="0.3">
      <c r="A111" s="344"/>
      <c r="B111" s="344"/>
      <c r="C111" s="449"/>
      <c r="D111" s="345"/>
      <c r="E111" s="345"/>
      <c r="F111" s="345"/>
      <c r="G111" s="345"/>
      <c r="H111" s="347"/>
      <c r="I111" s="345"/>
      <c r="J111" s="322"/>
      <c r="K111" s="87"/>
      <c r="L111" s="87"/>
      <c r="M111" s="87"/>
      <c r="N111" s="87"/>
      <c r="O111" s="87"/>
      <c r="P111" s="87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9"/>
      <c r="AE111" s="89"/>
    </row>
    <row r="112" spans="1:31" ht="18.75" x14ac:dyDescent="0.3">
      <c r="A112" s="344"/>
      <c r="B112" s="344"/>
      <c r="C112" s="449"/>
      <c r="D112" s="345"/>
      <c r="E112" s="345"/>
      <c r="F112" s="345"/>
      <c r="G112" s="345"/>
      <c r="H112" s="347"/>
      <c r="I112" s="345"/>
      <c r="J112" s="322"/>
      <c r="K112" s="87"/>
      <c r="L112" s="87"/>
      <c r="M112" s="87"/>
      <c r="N112" s="87"/>
      <c r="O112" s="87"/>
      <c r="P112" s="87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9"/>
      <c r="AE112" s="89"/>
    </row>
    <row r="113" spans="1:31" ht="18.75" x14ac:dyDescent="0.3">
      <c r="A113" s="344"/>
      <c r="B113" s="344"/>
      <c r="C113" s="449"/>
      <c r="D113" s="345"/>
      <c r="E113" s="345"/>
      <c r="F113" s="345"/>
      <c r="G113" s="345"/>
      <c r="H113" s="347"/>
      <c r="I113" s="345"/>
      <c r="J113" s="322"/>
      <c r="K113" s="87"/>
      <c r="L113" s="87"/>
      <c r="M113" s="87"/>
      <c r="N113" s="87"/>
      <c r="O113" s="87"/>
      <c r="P113" s="87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9"/>
      <c r="AE113" s="89"/>
    </row>
    <row r="114" spans="1:31" ht="18.75" x14ac:dyDescent="0.3">
      <c r="A114" s="344"/>
      <c r="B114" s="344"/>
      <c r="C114" s="449"/>
      <c r="D114" s="345"/>
      <c r="E114" s="345"/>
      <c r="F114" s="345"/>
      <c r="G114" s="345"/>
      <c r="H114" s="347"/>
      <c r="I114" s="345"/>
      <c r="J114" s="322"/>
      <c r="K114" s="87"/>
      <c r="L114" s="87"/>
      <c r="M114" s="87"/>
      <c r="N114" s="87"/>
      <c r="O114" s="87"/>
      <c r="P114" s="87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9"/>
      <c r="AE114" s="89"/>
    </row>
    <row r="115" spans="1:31" ht="18.75" x14ac:dyDescent="0.3">
      <c r="A115" s="344"/>
      <c r="B115" s="344"/>
      <c r="C115" s="449"/>
      <c r="D115" s="345"/>
      <c r="E115" s="345"/>
      <c r="F115" s="345"/>
      <c r="G115" s="345"/>
      <c r="H115" s="347"/>
      <c r="I115" s="345"/>
      <c r="J115" s="322"/>
      <c r="K115" s="87"/>
      <c r="L115" s="87"/>
      <c r="M115" s="87"/>
      <c r="N115" s="87"/>
      <c r="O115" s="87"/>
      <c r="P115" s="87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9"/>
      <c r="AE115" s="89"/>
    </row>
    <row r="116" spans="1:31" ht="18.75" x14ac:dyDescent="0.3">
      <c r="A116" s="344"/>
      <c r="B116" s="344"/>
      <c r="C116" s="449"/>
      <c r="D116" s="345"/>
      <c r="E116" s="345"/>
      <c r="F116" s="345"/>
      <c r="G116" s="345"/>
      <c r="H116" s="347"/>
      <c r="I116" s="345"/>
      <c r="J116" s="322"/>
      <c r="K116" s="87"/>
      <c r="L116" s="87"/>
      <c r="M116" s="87"/>
      <c r="N116" s="87"/>
      <c r="O116" s="87"/>
      <c r="P116" s="87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9"/>
      <c r="AE116" s="89"/>
    </row>
    <row r="117" spans="1:31" ht="18.75" x14ac:dyDescent="0.3">
      <c r="A117" s="344"/>
      <c r="B117" s="344"/>
      <c r="C117" s="449"/>
      <c r="D117" s="345"/>
      <c r="E117" s="345"/>
      <c r="F117" s="345"/>
      <c r="G117" s="345"/>
      <c r="H117" s="347"/>
      <c r="I117" s="345"/>
      <c r="J117" s="322"/>
      <c r="K117" s="87"/>
      <c r="L117" s="87"/>
      <c r="M117" s="87"/>
      <c r="N117" s="87"/>
      <c r="O117" s="87"/>
      <c r="P117" s="87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9"/>
      <c r="AE117" s="89"/>
    </row>
    <row r="118" spans="1:31" ht="18.75" x14ac:dyDescent="0.3">
      <c r="A118" s="344"/>
      <c r="B118" s="344"/>
      <c r="C118" s="449"/>
      <c r="D118" s="345"/>
      <c r="E118" s="345"/>
      <c r="F118" s="345"/>
      <c r="G118" s="345"/>
      <c r="H118" s="347"/>
      <c r="I118" s="345"/>
      <c r="J118" s="322"/>
      <c r="K118" s="87"/>
      <c r="L118" s="87"/>
      <c r="M118" s="87"/>
      <c r="N118" s="87"/>
      <c r="O118" s="87"/>
      <c r="P118" s="87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9"/>
      <c r="AE118" s="89"/>
    </row>
    <row r="119" spans="1:31" ht="18.75" x14ac:dyDescent="0.3">
      <c r="A119" s="344"/>
      <c r="B119" s="344"/>
      <c r="C119" s="449"/>
      <c r="D119" s="345"/>
      <c r="E119" s="345"/>
      <c r="F119" s="345"/>
      <c r="G119" s="345"/>
      <c r="H119" s="347"/>
      <c r="I119" s="345"/>
      <c r="J119" s="322"/>
      <c r="K119" s="87"/>
      <c r="L119" s="87"/>
      <c r="M119" s="87"/>
      <c r="N119" s="87"/>
      <c r="O119" s="87"/>
      <c r="P119" s="87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9"/>
      <c r="AE119" s="89"/>
    </row>
    <row r="120" spans="1:31" ht="18.75" x14ac:dyDescent="0.3">
      <c r="A120" s="344"/>
      <c r="B120" s="344"/>
      <c r="C120" s="449"/>
      <c r="D120" s="345"/>
      <c r="E120" s="345"/>
      <c r="F120" s="345"/>
      <c r="G120" s="345"/>
      <c r="H120" s="347"/>
      <c r="I120" s="345"/>
      <c r="J120" s="322"/>
      <c r="K120" s="87"/>
      <c r="L120" s="87"/>
      <c r="M120" s="87"/>
      <c r="N120" s="87"/>
      <c r="O120" s="87"/>
      <c r="P120" s="87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9"/>
      <c r="AE120" s="89"/>
    </row>
    <row r="121" spans="1:31" ht="18.75" x14ac:dyDescent="0.3">
      <c r="A121" s="344"/>
      <c r="B121" s="344"/>
      <c r="C121" s="449"/>
      <c r="D121" s="345"/>
      <c r="E121" s="345"/>
      <c r="F121" s="345"/>
      <c r="G121" s="345"/>
      <c r="H121" s="347"/>
      <c r="I121" s="345"/>
      <c r="J121" s="322"/>
      <c r="K121" s="87"/>
      <c r="L121" s="87"/>
      <c r="M121" s="87"/>
      <c r="N121" s="87"/>
      <c r="O121" s="87"/>
      <c r="P121" s="87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9"/>
      <c r="AE121" s="89"/>
    </row>
    <row r="122" spans="1:31" ht="18.75" x14ac:dyDescent="0.3">
      <c r="A122" s="344"/>
      <c r="B122" s="344"/>
      <c r="C122" s="449"/>
      <c r="D122" s="345"/>
      <c r="E122" s="345"/>
      <c r="F122" s="345"/>
      <c r="G122" s="345"/>
      <c r="H122" s="347"/>
      <c r="I122" s="345"/>
      <c r="J122" s="322"/>
      <c r="K122" s="87"/>
      <c r="L122" s="87"/>
      <c r="M122" s="87"/>
      <c r="N122" s="87"/>
      <c r="O122" s="87"/>
      <c r="P122" s="87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9"/>
      <c r="AE122" s="89"/>
    </row>
    <row r="123" spans="1:31" ht="18.75" x14ac:dyDescent="0.3">
      <c r="A123" s="344"/>
      <c r="B123" s="344"/>
      <c r="C123" s="449"/>
      <c r="D123" s="345"/>
      <c r="E123" s="345"/>
      <c r="F123" s="345"/>
      <c r="G123" s="345"/>
      <c r="H123" s="347"/>
      <c r="I123" s="345"/>
      <c r="J123" s="322"/>
      <c r="K123" s="87"/>
      <c r="L123" s="87"/>
      <c r="M123" s="87"/>
      <c r="N123" s="87"/>
      <c r="O123" s="87"/>
      <c r="P123" s="87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88"/>
      <c r="AC123" s="88"/>
      <c r="AD123" s="89"/>
      <c r="AE123" s="89"/>
    </row>
    <row r="124" spans="1:31" ht="18.75" x14ac:dyDescent="0.3">
      <c r="A124" s="344"/>
      <c r="B124" s="344"/>
      <c r="C124" s="449"/>
      <c r="D124" s="345"/>
      <c r="E124" s="345"/>
      <c r="F124" s="345"/>
      <c r="G124" s="345"/>
      <c r="H124" s="347"/>
      <c r="I124" s="345"/>
      <c r="J124" s="322"/>
      <c r="K124" s="87"/>
      <c r="L124" s="87"/>
      <c r="M124" s="87"/>
      <c r="N124" s="87"/>
      <c r="O124" s="87"/>
      <c r="P124" s="87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88"/>
      <c r="AC124" s="88"/>
      <c r="AD124" s="89"/>
      <c r="AE124" s="89"/>
    </row>
    <row r="125" spans="1:31" ht="18.75" x14ac:dyDescent="0.3">
      <c r="A125" s="344"/>
      <c r="B125" s="344"/>
      <c r="C125" s="449"/>
      <c r="D125" s="345"/>
      <c r="E125" s="345"/>
      <c r="F125" s="345"/>
      <c r="G125" s="345"/>
      <c r="H125" s="347"/>
      <c r="I125" s="345"/>
      <c r="J125" s="322"/>
      <c r="K125" s="87"/>
      <c r="L125" s="87"/>
      <c r="M125" s="87"/>
      <c r="N125" s="87"/>
      <c r="O125" s="87"/>
      <c r="P125" s="87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9"/>
      <c r="AE125" s="89"/>
    </row>
    <row r="126" spans="1:31" ht="18.75" x14ac:dyDescent="0.3">
      <c r="A126" s="344"/>
      <c r="B126" s="344"/>
      <c r="C126" s="449"/>
      <c r="D126" s="345"/>
      <c r="E126" s="345"/>
      <c r="F126" s="345"/>
      <c r="G126" s="345"/>
      <c r="H126" s="347"/>
      <c r="I126" s="345"/>
      <c r="J126" s="322"/>
      <c r="K126" s="87"/>
      <c r="L126" s="87"/>
      <c r="M126" s="87"/>
      <c r="N126" s="87"/>
      <c r="O126" s="87"/>
      <c r="P126" s="87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88"/>
      <c r="AC126" s="88"/>
      <c r="AD126" s="89"/>
      <c r="AE126" s="89"/>
    </row>
    <row r="127" spans="1:31" ht="18.75" x14ac:dyDescent="0.3">
      <c r="A127" s="344"/>
      <c r="B127" s="344"/>
      <c r="C127" s="449"/>
      <c r="D127" s="345"/>
      <c r="E127" s="345"/>
      <c r="F127" s="345"/>
      <c r="G127" s="345"/>
      <c r="H127" s="347"/>
      <c r="I127" s="345"/>
      <c r="J127" s="322"/>
      <c r="K127" s="87"/>
      <c r="L127" s="87"/>
      <c r="M127" s="87"/>
      <c r="N127" s="87"/>
      <c r="O127" s="87"/>
      <c r="P127" s="87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88"/>
      <c r="AC127" s="88"/>
      <c r="AD127" s="89"/>
      <c r="AE127" s="89"/>
    </row>
    <row r="128" spans="1:31" ht="18.75" x14ac:dyDescent="0.3">
      <c r="A128" s="344"/>
      <c r="B128" s="344"/>
      <c r="C128" s="449"/>
      <c r="D128" s="345"/>
      <c r="E128" s="345"/>
      <c r="F128" s="345"/>
      <c r="G128" s="345"/>
      <c r="H128" s="347"/>
      <c r="I128" s="345"/>
      <c r="J128" s="322"/>
      <c r="K128" s="87"/>
      <c r="L128" s="87"/>
      <c r="M128" s="87"/>
      <c r="N128" s="87"/>
      <c r="O128" s="87"/>
      <c r="P128" s="87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88"/>
      <c r="AC128" s="88"/>
      <c r="AD128" s="89"/>
      <c r="AE128" s="89"/>
    </row>
    <row r="129" spans="1:31" ht="18.75" x14ac:dyDescent="0.3">
      <c r="A129" s="344"/>
      <c r="B129" s="344"/>
      <c r="C129" s="449"/>
      <c r="D129" s="345"/>
      <c r="E129" s="345"/>
      <c r="F129" s="345"/>
      <c r="G129" s="345"/>
      <c r="H129" s="347"/>
      <c r="I129" s="345"/>
      <c r="J129" s="322"/>
      <c r="K129" s="87"/>
      <c r="L129" s="87"/>
      <c r="M129" s="87"/>
      <c r="N129" s="87"/>
      <c r="O129" s="87"/>
      <c r="P129" s="87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9"/>
      <c r="AE129" s="89"/>
    </row>
    <row r="130" spans="1:31" ht="18.75" x14ac:dyDescent="0.3">
      <c r="A130" s="344"/>
      <c r="B130" s="344"/>
      <c r="C130" s="449"/>
      <c r="D130" s="345"/>
      <c r="E130" s="345"/>
      <c r="F130" s="345"/>
      <c r="G130" s="345"/>
      <c r="H130" s="347"/>
      <c r="I130" s="345"/>
      <c r="J130" s="322"/>
      <c r="K130" s="87"/>
      <c r="L130" s="87"/>
      <c r="M130" s="87"/>
      <c r="N130" s="87"/>
      <c r="O130" s="87"/>
      <c r="P130" s="87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9"/>
      <c r="AE130" s="89"/>
    </row>
    <row r="131" spans="1:31" ht="18.75" x14ac:dyDescent="0.3">
      <c r="A131" s="344"/>
      <c r="B131" s="344"/>
      <c r="C131" s="449"/>
      <c r="D131" s="345"/>
      <c r="E131" s="345"/>
      <c r="F131" s="345"/>
      <c r="G131" s="345"/>
      <c r="H131" s="347"/>
      <c r="I131" s="345"/>
      <c r="J131" s="322"/>
      <c r="K131" s="87"/>
      <c r="L131" s="87"/>
      <c r="M131" s="87"/>
      <c r="N131" s="87"/>
      <c r="O131" s="87"/>
      <c r="P131" s="87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9"/>
      <c r="AE131" s="89"/>
    </row>
    <row r="132" spans="1:31" ht="18.75" x14ac:dyDescent="0.3">
      <c r="A132" s="344"/>
      <c r="B132" s="344"/>
      <c r="C132" s="449"/>
      <c r="D132" s="345"/>
      <c r="E132" s="345"/>
      <c r="F132" s="345"/>
      <c r="G132" s="345"/>
      <c r="H132" s="347"/>
      <c r="I132" s="345"/>
      <c r="J132" s="322"/>
      <c r="K132" s="87"/>
      <c r="L132" s="87"/>
      <c r="M132" s="87"/>
      <c r="N132" s="87"/>
      <c r="O132" s="87"/>
      <c r="P132" s="87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9"/>
      <c r="AE132" s="89"/>
    </row>
    <row r="133" spans="1:31" ht="18.75" x14ac:dyDescent="0.3">
      <c r="A133" s="344"/>
      <c r="B133" s="344"/>
      <c r="C133" s="449"/>
      <c r="D133" s="345"/>
      <c r="E133" s="345"/>
      <c r="F133" s="345"/>
      <c r="G133" s="345"/>
      <c r="H133" s="347"/>
      <c r="I133" s="345"/>
      <c r="J133" s="322"/>
      <c r="K133" s="87"/>
      <c r="L133" s="87"/>
      <c r="M133" s="87"/>
      <c r="N133" s="87"/>
      <c r="O133" s="87"/>
      <c r="P133" s="87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9"/>
      <c r="AE133" s="89"/>
    </row>
  </sheetData>
  <autoFilter ref="A4:AE98" xr:uid="{00000000-0001-0000-0500-000000000000}"/>
  <mergeCells count="7">
    <mergeCell ref="AE2:AE3"/>
    <mergeCell ref="J2:P3"/>
    <mergeCell ref="C1:P1"/>
    <mergeCell ref="C2:G3"/>
    <mergeCell ref="H2:H3"/>
    <mergeCell ref="R1:V1"/>
    <mergeCell ref="X1:AC1"/>
  </mergeCells>
  <conditionalFormatting sqref="N27:N133">
    <cfRule type="cellIs" dxfId="15" priority="131" operator="greaterThan">
      <formula>0</formula>
    </cfRule>
  </conditionalFormatting>
  <conditionalFormatting sqref="D134:D1048576">
    <cfRule type="duplicateValues" dxfId="14" priority="40"/>
  </conditionalFormatting>
  <conditionalFormatting sqref="E5:E1048576">
    <cfRule type="duplicateValues" dxfId="13" priority="28"/>
  </conditionalFormatting>
  <conditionalFormatting sqref="D63:D98">
    <cfRule type="duplicateValues" dxfId="12" priority="21"/>
  </conditionalFormatting>
  <conditionalFormatting sqref="D55:D1048576">
    <cfRule type="duplicateValues" dxfId="11" priority="19"/>
  </conditionalFormatting>
  <conditionalFormatting sqref="D5:D1048576">
    <cfRule type="duplicateValues" dxfId="10" priority="18"/>
  </conditionalFormatting>
  <conditionalFormatting sqref="N5:N26">
    <cfRule type="cellIs" dxfId="9" priority="9" operator="greaterThan">
      <formula>0</formula>
    </cfRule>
  </conditionalFormatting>
  <conditionalFormatting sqref="D1:D3">
    <cfRule type="duplicateValues" dxfId="8" priority="8"/>
  </conditionalFormatting>
  <conditionalFormatting sqref="E1:E3">
    <cfRule type="duplicateValues" dxfId="7" priority="7"/>
  </conditionalFormatting>
  <conditionalFormatting sqref="D1:D3">
    <cfRule type="duplicateValues" dxfId="6" priority="6"/>
  </conditionalFormatting>
  <conditionalFormatting sqref="D1:D3">
    <cfRule type="duplicateValues" dxfId="5" priority="5"/>
  </conditionalFormatting>
  <conditionalFormatting sqref="D4">
    <cfRule type="duplicateValues" dxfId="4" priority="4"/>
  </conditionalFormatting>
  <conditionalFormatting sqref="E4">
    <cfRule type="duplicateValues" dxfId="3" priority="3"/>
  </conditionalFormatting>
  <conditionalFormatting sqref="D4">
    <cfRule type="duplicateValues" dxfId="2" priority="2"/>
  </conditionalFormatting>
  <conditionalFormatting sqref="D4">
    <cfRule type="duplicateValues" dxfId="1" priority="1"/>
  </conditionalFormatting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EA97-7D07-4DEE-BB56-44F49C79E917}">
  <sheetPr codeName="P15">
    <tabColor rgb="FFFF0000"/>
    <pageSetUpPr autoPageBreaks="0" fitToPage="1"/>
  </sheetPr>
  <dimension ref="A1:P24"/>
  <sheetViews>
    <sheetView showGridLines="0" topLeftCell="C1" zoomScale="85" zoomScaleNormal="85" workbookViewId="0">
      <selection activeCell="C26" sqref="C26"/>
    </sheetView>
  </sheetViews>
  <sheetFormatPr defaultRowHeight="14.85" customHeight="1" x14ac:dyDescent="0.2"/>
  <cols>
    <col min="1" max="1" width="9.140625" hidden="1" customWidth="1"/>
    <col min="2" max="2" width="13.5703125" hidden="1" customWidth="1"/>
    <col min="3" max="3" width="26.5703125" customWidth="1"/>
    <col min="4" max="4" width="37" customWidth="1"/>
    <col min="5" max="5" width="13" customWidth="1"/>
    <col min="6" max="6" width="19.85546875" bestFit="1" customWidth="1"/>
    <col min="7" max="7" width="10.85546875" customWidth="1"/>
    <col min="8" max="8" width="6.28515625" customWidth="1"/>
    <col min="9" max="9" width="10.7109375" customWidth="1"/>
    <col min="10" max="10" width="11" customWidth="1"/>
    <col min="11" max="11" width="11.28515625" customWidth="1"/>
    <col min="12" max="12" width="3.140625" customWidth="1"/>
    <col min="13" max="13" width="9.140625" customWidth="1"/>
    <col min="14" max="14" width="14.28515625" customWidth="1"/>
    <col min="15" max="15" width="10" style="59" customWidth="1"/>
    <col min="16" max="16" width="14.140625" customWidth="1"/>
  </cols>
  <sheetData>
    <row r="1" spans="3:16" ht="27.75" customHeight="1" thickBot="1" x14ac:dyDescent="0.25">
      <c r="C1" s="816" t="s">
        <v>287</v>
      </c>
      <c r="D1" s="817"/>
      <c r="E1" s="817"/>
      <c r="F1" s="817"/>
      <c r="G1" s="820" t="s">
        <v>288</v>
      </c>
      <c r="H1" s="821"/>
      <c r="I1" s="822">
        <f>G15</f>
        <v>704</v>
      </c>
      <c r="J1" s="823"/>
      <c r="K1" s="824" t="s">
        <v>289</v>
      </c>
      <c r="L1" s="825"/>
      <c r="M1" s="58">
        <f>L15</f>
        <v>0</v>
      </c>
      <c r="N1" s="2"/>
      <c r="O1" s="38"/>
      <c r="P1" s="3"/>
    </row>
    <row r="2" spans="3:16" ht="28.5" customHeight="1" thickBot="1" x14ac:dyDescent="0.25">
      <c r="C2" s="818"/>
      <c r="D2" s="819"/>
      <c r="E2" s="819"/>
      <c r="F2" s="819"/>
      <c r="G2" s="801" t="s">
        <v>290</v>
      </c>
      <c r="H2" s="802"/>
      <c r="I2" s="53">
        <f>E15</f>
        <v>0</v>
      </c>
      <c r="J2" s="803" t="s">
        <v>291</v>
      </c>
      <c r="K2" s="804"/>
      <c r="L2" s="826"/>
      <c r="M2" s="54">
        <f>J15</f>
        <v>0</v>
      </c>
      <c r="N2" s="4"/>
      <c r="O2" s="33"/>
      <c r="P2" s="5"/>
    </row>
    <row r="3" spans="3:16" ht="27" thickBot="1" x14ac:dyDescent="0.25">
      <c r="C3" s="797" t="s">
        <v>292</v>
      </c>
      <c r="D3" s="798"/>
      <c r="E3" s="799">
        <v>45939</v>
      </c>
      <c r="F3" s="800"/>
      <c r="G3" s="801" t="s">
        <v>293</v>
      </c>
      <c r="H3" s="802"/>
      <c r="I3" s="53">
        <f>O15</f>
        <v>0</v>
      </c>
      <c r="J3" s="803" t="s">
        <v>294</v>
      </c>
      <c r="K3" s="804"/>
      <c r="L3" s="804"/>
      <c r="M3" s="53">
        <f>K15</f>
        <v>0</v>
      </c>
      <c r="N3" s="4"/>
      <c r="O3" s="33"/>
      <c r="P3" s="5"/>
    </row>
    <row r="4" spans="3:16" ht="22.5" customHeight="1" thickBot="1" x14ac:dyDescent="0.25">
      <c r="C4" s="1" t="s">
        <v>229</v>
      </c>
      <c r="D4" s="6" t="s">
        <v>295</v>
      </c>
      <c r="E4" s="12" t="s">
        <v>231</v>
      </c>
      <c r="F4" s="525" t="s">
        <v>296</v>
      </c>
      <c r="G4" s="801" t="s">
        <v>218</v>
      </c>
      <c r="H4" s="802"/>
      <c r="I4" s="53">
        <f>N15</f>
        <v>0</v>
      </c>
      <c r="J4" s="805" t="s">
        <v>297</v>
      </c>
      <c r="K4" s="806"/>
      <c r="L4" s="807"/>
      <c r="M4" s="58">
        <f>I15</f>
        <v>0</v>
      </c>
      <c r="N4" s="7"/>
      <c r="O4" s="34"/>
      <c r="P4" s="8"/>
    </row>
    <row r="5" spans="3:16" ht="12.75" x14ac:dyDescent="0.2">
      <c r="C5" s="808" t="s">
        <v>17</v>
      </c>
      <c r="D5" s="808" t="s">
        <v>18</v>
      </c>
      <c r="E5" s="810" t="s">
        <v>13</v>
      </c>
      <c r="F5" s="812" t="s">
        <v>298</v>
      </c>
      <c r="G5" s="814" t="s">
        <v>299</v>
      </c>
      <c r="H5" s="795" t="s">
        <v>21</v>
      </c>
      <c r="I5" s="787" t="s">
        <v>8</v>
      </c>
      <c r="J5" s="787" t="s">
        <v>300</v>
      </c>
      <c r="K5" s="787" t="s">
        <v>301</v>
      </c>
      <c r="L5" s="789" t="s">
        <v>302</v>
      </c>
      <c r="M5" s="790"/>
      <c r="N5" s="793" t="s">
        <v>303</v>
      </c>
      <c r="O5" s="795" t="s">
        <v>304</v>
      </c>
      <c r="P5" s="787" t="s">
        <v>239</v>
      </c>
    </row>
    <row r="6" spans="3:16" ht="18" customHeight="1" thickBot="1" x14ac:dyDescent="0.25">
      <c r="C6" s="809"/>
      <c r="D6" s="809"/>
      <c r="E6" s="811"/>
      <c r="F6" s="813"/>
      <c r="G6" s="815"/>
      <c r="H6" s="796"/>
      <c r="I6" s="788"/>
      <c r="J6" s="788"/>
      <c r="K6" s="788"/>
      <c r="L6" s="791"/>
      <c r="M6" s="792"/>
      <c r="N6" s="794"/>
      <c r="O6" s="796"/>
      <c r="P6" s="788"/>
    </row>
    <row r="7" spans="3:16" ht="14.85" customHeight="1" x14ac:dyDescent="0.2">
      <c r="C7" s="9" t="s">
        <v>305</v>
      </c>
      <c r="D7" s="10" t="s">
        <v>306</v>
      </c>
      <c r="E7" s="23"/>
      <c r="F7" s="20">
        <v>45954</v>
      </c>
      <c r="G7" s="26">
        <v>704</v>
      </c>
      <c r="H7" s="21">
        <v>1</v>
      </c>
      <c r="I7" s="24"/>
      <c r="J7" s="24"/>
      <c r="K7" s="24"/>
      <c r="L7" s="778"/>
      <c r="M7" s="779"/>
      <c r="N7" s="780"/>
      <c r="O7" s="780"/>
      <c r="P7" s="554"/>
    </row>
    <row r="8" spans="3:16" ht="14.25" customHeight="1" x14ac:dyDescent="0.2">
      <c r="C8" s="9" t="s">
        <v>305</v>
      </c>
      <c r="D8" s="10" t="s">
        <v>307</v>
      </c>
      <c r="E8" s="19"/>
      <c r="F8" s="25"/>
      <c r="G8" s="11"/>
      <c r="H8" s="14"/>
      <c r="I8" s="27"/>
      <c r="J8" s="27"/>
      <c r="K8" s="27"/>
      <c r="L8" s="783"/>
      <c r="M8" s="784"/>
      <c r="N8" s="781"/>
      <c r="O8" s="781"/>
      <c r="P8" s="555"/>
    </row>
    <row r="9" spans="3:16" ht="14.25" customHeight="1" x14ac:dyDescent="0.2">
      <c r="C9" s="9" t="s">
        <v>305</v>
      </c>
      <c r="D9" s="10" t="s">
        <v>307</v>
      </c>
      <c r="E9" s="19"/>
      <c r="F9" s="25"/>
      <c r="G9" s="11"/>
      <c r="H9" s="14"/>
      <c r="I9" s="13"/>
      <c r="J9" s="13"/>
      <c r="K9" s="13"/>
      <c r="L9" s="783"/>
      <c r="M9" s="784"/>
      <c r="N9" s="781"/>
      <c r="O9" s="781"/>
      <c r="P9" s="555"/>
    </row>
    <row r="10" spans="3:16" ht="14.25" customHeight="1" x14ac:dyDescent="0.2">
      <c r="C10" s="9" t="s">
        <v>305</v>
      </c>
      <c r="D10" s="10" t="s">
        <v>307</v>
      </c>
      <c r="E10" s="19"/>
      <c r="F10" s="25"/>
      <c r="G10" s="11"/>
      <c r="H10" s="14"/>
      <c r="I10" s="13"/>
      <c r="J10" s="13"/>
      <c r="K10" s="13"/>
      <c r="L10" s="783"/>
      <c r="M10" s="784"/>
      <c r="N10" s="781"/>
      <c r="O10" s="781"/>
      <c r="P10" s="555"/>
    </row>
    <row r="11" spans="3:16" ht="14.25" customHeight="1" x14ac:dyDescent="0.2">
      <c r="C11" s="9" t="s">
        <v>305</v>
      </c>
      <c r="D11" s="10" t="s">
        <v>307</v>
      </c>
      <c r="E11" s="19"/>
      <c r="F11" s="22"/>
      <c r="G11" s="11"/>
      <c r="H11" s="15"/>
      <c r="I11" s="13"/>
      <c r="J11" s="13"/>
      <c r="K11" s="13"/>
      <c r="L11" s="783"/>
      <c r="M11" s="784"/>
      <c r="N11" s="781"/>
      <c r="O11" s="781"/>
      <c r="P11" s="555"/>
    </row>
    <row r="12" spans="3:16" ht="14.85" customHeight="1" x14ac:dyDescent="0.2">
      <c r="C12" s="9" t="s">
        <v>305</v>
      </c>
      <c r="D12" s="10" t="s">
        <v>307</v>
      </c>
      <c r="E12" s="19"/>
      <c r="F12" s="22"/>
      <c r="G12" s="11"/>
      <c r="H12" s="15"/>
      <c r="I12" s="13"/>
      <c r="J12" s="13"/>
      <c r="K12" s="13"/>
      <c r="L12" s="783"/>
      <c r="M12" s="784"/>
      <c r="N12" s="781"/>
      <c r="O12" s="781"/>
      <c r="P12" s="555"/>
    </row>
    <row r="13" spans="3:16" ht="14.85" customHeight="1" thickBot="1" x14ac:dyDescent="0.25">
      <c r="C13" s="9" t="s">
        <v>305</v>
      </c>
      <c r="D13" s="10" t="s">
        <v>307</v>
      </c>
      <c r="E13" s="19"/>
      <c r="F13" s="22"/>
      <c r="G13" s="11"/>
      <c r="H13" s="15"/>
      <c r="I13" s="31"/>
      <c r="J13" s="31"/>
      <c r="K13" s="31"/>
      <c r="L13" s="785"/>
      <c r="M13" s="786"/>
      <c r="N13" s="782"/>
      <c r="O13" s="782"/>
      <c r="P13" s="555"/>
    </row>
    <row r="14" spans="3:16" ht="14.85" customHeight="1" thickBot="1" x14ac:dyDescent="0.25">
      <c r="C14" s="771" t="s">
        <v>243</v>
      </c>
      <c r="D14" s="772"/>
      <c r="E14" s="37"/>
      <c r="F14" s="773"/>
      <c r="G14" s="774"/>
      <c r="H14" s="774"/>
      <c r="I14" s="774"/>
      <c r="J14" s="774"/>
      <c r="K14" s="774"/>
      <c r="L14" s="774"/>
      <c r="M14" s="774"/>
      <c r="N14" s="774"/>
      <c r="O14" s="774"/>
      <c r="P14" s="775"/>
    </row>
    <row r="15" spans="3:16" ht="14.85" customHeight="1" thickBot="1" x14ac:dyDescent="0.25">
      <c r="C15" s="771"/>
      <c r="D15" s="772"/>
      <c r="E15" s="32">
        <f>SUM(E7:E13)</f>
        <v>0</v>
      </c>
      <c r="F15" s="32"/>
      <c r="G15" s="36">
        <f t="shared" ref="G15:L15" si="0">SUM(G7:G13)</f>
        <v>704</v>
      </c>
      <c r="H15" s="32">
        <f t="shared" si="0"/>
        <v>1</v>
      </c>
      <c r="I15" s="32">
        <f t="shared" si="0"/>
        <v>0</v>
      </c>
      <c r="J15" s="32">
        <f t="shared" si="0"/>
        <v>0</v>
      </c>
      <c r="K15" s="32">
        <f t="shared" si="0"/>
        <v>0</v>
      </c>
      <c r="L15" s="776">
        <f t="shared" si="0"/>
        <v>0</v>
      </c>
      <c r="M15" s="777"/>
      <c r="N15" s="32">
        <f>N7</f>
        <v>0</v>
      </c>
      <c r="O15" s="32">
        <f>O7</f>
        <v>0</v>
      </c>
      <c r="P15" s="57"/>
    </row>
    <row r="16" spans="3:16" ht="6" customHeight="1" thickBot="1" x14ac:dyDescent="0.25"/>
    <row r="17" spans="3:16" ht="20.25" customHeight="1" thickBot="1" x14ac:dyDescent="0.25">
      <c r="C17" s="753" t="s">
        <v>252</v>
      </c>
      <c r="D17" s="754"/>
      <c r="E17" s="755" t="s">
        <v>308</v>
      </c>
      <c r="F17" s="756"/>
      <c r="G17" s="756"/>
      <c r="H17" s="754"/>
      <c r="I17" s="28"/>
      <c r="J17" s="28"/>
      <c r="K17" s="28"/>
      <c r="L17" s="28"/>
      <c r="M17" s="29"/>
      <c r="N17" s="29"/>
      <c r="O17" s="35"/>
      <c r="P17" s="30"/>
    </row>
    <row r="18" spans="3:16" ht="14.25" customHeight="1" x14ac:dyDescent="0.2">
      <c r="C18" s="757"/>
      <c r="D18" s="758"/>
      <c r="E18" s="761"/>
      <c r="F18" s="762"/>
      <c r="G18" s="762"/>
      <c r="H18" s="763"/>
      <c r="I18" s="55"/>
      <c r="J18" s="55"/>
      <c r="K18" s="55"/>
      <c r="L18" s="757"/>
      <c r="M18" s="767"/>
      <c r="N18" s="767"/>
      <c r="O18" s="767"/>
      <c r="P18" s="768"/>
    </row>
    <row r="19" spans="3:16" ht="14.85" customHeight="1" thickBot="1" x14ac:dyDescent="0.25">
      <c r="C19" s="759"/>
      <c r="D19" s="760"/>
      <c r="E19" s="764"/>
      <c r="F19" s="765"/>
      <c r="G19" s="765"/>
      <c r="H19" s="766"/>
      <c r="I19" s="56"/>
      <c r="J19" s="56"/>
      <c r="K19" s="56"/>
      <c r="L19" s="759"/>
      <c r="M19" s="769"/>
      <c r="N19" s="769"/>
      <c r="O19" s="769"/>
      <c r="P19" s="770"/>
    </row>
    <row r="21" spans="3:16" ht="14.85" customHeight="1" x14ac:dyDescent="0.2">
      <c r="C21" s="18"/>
    </row>
    <row r="23" spans="3:16" ht="12.75" x14ac:dyDescent="0.2">
      <c r="D23" s="177" t="s">
        <v>219</v>
      </c>
      <c r="E23" s="178" t="s">
        <v>309</v>
      </c>
    </row>
    <row r="24" spans="3:16" ht="14.85" customHeight="1" x14ac:dyDescent="0.2">
      <c r="D24" s="177" t="s">
        <v>224</v>
      </c>
      <c r="E24" s="278" t="s">
        <v>310</v>
      </c>
    </row>
  </sheetData>
  <sheetProtection formatCells="0" formatColumns="0" formatRows="0" insertColumns="0" insertRows="0" insertHyperlinks="0" deleteColumns="0" deleteRows="0" sort="0" autoFilter="0" pivotTables="0"/>
  <mergeCells count="43">
    <mergeCell ref="C1:F2"/>
    <mergeCell ref="G1:H1"/>
    <mergeCell ref="I1:J1"/>
    <mergeCell ref="K1:L1"/>
    <mergeCell ref="G2:H2"/>
    <mergeCell ref="J2:L2"/>
    <mergeCell ref="H5:H6"/>
    <mergeCell ref="C3:D3"/>
    <mergeCell ref="E3:F3"/>
    <mergeCell ref="G3:H3"/>
    <mergeCell ref="J3:L3"/>
    <mergeCell ref="G4:H4"/>
    <mergeCell ref="J4:L4"/>
    <mergeCell ref="C5:C6"/>
    <mergeCell ref="D5:D6"/>
    <mergeCell ref="E5:E6"/>
    <mergeCell ref="F5:F6"/>
    <mergeCell ref="G5:G6"/>
    <mergeCell ref="P5:P6"/>
    <mergeCell ref="I5:I6"/>
    <mergeCell ref="J5:J6"/>
    <mergeCell ref="K5:K6"/>
    <mergeCell ref="L5:M6"/>
    <mergeCell ref="N5:N6"/>
    <mergeCell ref="O5:O6"/>
    <mergeCell ref="C14:D14"/>
    <mergeCell ref="F14:P14"/>
    <mergeCell ref="C15:D15"/>
    <mergeCell ref="L15:M15"/>
    <mergeCell ref="L7:M7"/>
    <mergeCell ref="N7:N13"/>
    <mergeCell ref="O7:O13"/>
    <mergeCell ref="L8:M8"/>
    <mergeCell ref="L9:M9"/>
    <mergeCell ref="L10:M10"/>
    <mergeCell ref="L11:M11"/>
    <mergeCell ref="L12:M12"/>
    <mergeCell ref="L13:M13"/>
    <mergeCell ref="C17:D17"/>
    <mergeCell ref="E17:H17"/>
    <mergeCell ref="C18:D19"/>
    <mergeCell ref="E18:H19"/>
    <mergeCell ref="L18:P19"/>
  </mergeCells>
  <hyperlinks>
    <hyperlink ref="E24" r:id="rId1" xr:uid="{FD95B850-DA7B-4B21-959A-B8EF23987E11}"/>
    <hyperlink ref="E23" r:id="rId2" display="itoria_maria_da_silva_rodrigues@bat.com;" xr:uid="{B62CC90D-2CC7-4837-B8F5-150464E86DE3}"/>
  </hyperlinks>
  <pageMargins left="0" right="0" top="0.31496062992125984" bottom="0.31496062992125984" header="0" footer="0"/>
  <pageSetup paperSize="9" scale="74" firstPageNumber="0" orientation="landscape" r:id="rId3"/>
  <headerFooter alignWithMargins="0"/>
  <ignoredErrors>
    <ignoredError sqref="E15" unlockedFormula="1"/>
  </ignoredError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FD564-9F14-4654-9388-308FB4423925}">
  <sheetPr codeName="P14">
    <tabColor rgb="FFFF0000"/>
    <pageSetUpPr autoPageBreaks="0"/>
  </sheetPr>
  <dimension ref="A1:W73"/>
  <sheetViews>
    <sheetView showGridLines="0" topLeftCell="C1" zoomScale="90" zoomScaleNormal="90" workbookViewId="0">
      <selection activeCell="S26" sqref="S26"/>
    </sheetView>
  </sheetViews>
  <sheetFormatPr defaultColWidth="9.140625" defaultRowHeight="14.85" customHeight="1" x14ac:dyDescent="0.2"/>
  <cols>
    <col min="1" max="1" width="9.140625" style="79" hidden="1" customWidth="1"/>
    <col min="2" max="2" width="13.5703125" style="79" hidden="1" customWidth="1"/>
    <col min="3" max="3" width="20.7109375" style="79" customWidth="1"/>
    <col min="4" max="4" width="20.42578125" style="79" customWidth="1"/>
    <col min="5" max="5" width="11.7109375" style="79" customWidth="1"/>
    <col min="6" max="6" width="15.85546875" style="79" customWidth="1"/>
    <col min="7" max="7" width="10.42578125" style="79" customWidth="1"/>
    <col min="8" max="8" width="7.5703125" style="79" customWidth="1"/>
    <col min="9" max="9" width="9" style="79" customWidth="1"/>
    <col min="10" max="10" width="17.140625" style="79" customWidth="1"/>
    <col min="11" max="11" width="10.42578125" style="79" customWidth="1"/>
    <col min="12" max="13" width="6.85546875" style="79" customWidth="1"/>
    <col min="14" max="14" width="12.42578125" style="79" customWidth="1"/>
    <col min="15" max="15" width="11.42578125" style="80" customWidth="1"/>
    <col min="16" max="16" width="11.140625" style="79" customWidth="1"/>
    <col min="17" max="17" width="50.85546875" style="79" customWidth="1"/>
    <col min="18" max="18" width="14.42578125" style="79" bestFit="1" customWidth="1"/>
    <col min="19" max="19" width="41.42578125" style="79" bestFit="1" customWidth="1"/>
    <col min="20" max="16384" width="9.140625" style="79"/>
  </cols>
  <sheetData>
    <row r="1" spans="1:23" ht="32.1" customHeight="1" thickBot="1" x14ac:dyDescent="0.25">
      <c r="C1" s="722" t="s">
        <v>311</v>
      </c>
      <c r="D1" s="723"/>
      <c r="E1" s="723"/>
      <c r="F1" s="723"/>
      <c r="G1" s="731" t="s">
        <v>217</v>
      </c>
      <c r="H1" s="732"/>
      <c r="I1" s="726">
        <f>G68</f>
        <v>0</v>
      </c>
      <c r="J1" s="727"/>
      <c r="K1" s="846" t="s">
        <v>232</v>
      </c>
      <c r="L1" s="847"/>
      <c r="M1" s="393">
        <f>$L$68</f>
        <v>0</v>
      </c>
      <c r="N1" s="394"/>
      <c r="O1" s="368"/>
      <c r="P1" s="369"/>
      <c r="Q1" s="146"/>
      <c r="V1" s="177" t="s">
        <v>219</v>
      </c>
      <c r="W1" s="178" t="s">
        <v>312</v>
      </c>
    </row>
    <row r="2" spans="1:23" ht="32.1" customHeight="1" thickBot="1" x14ac:dyDescent="0.25">
      <c r="C2" s="724"/>
      <c r="D2" s="725"/>
      <c r="E2" s="725"/>
      <c r="F2" s="725"/>
      <c r="G2" s="706" t="s">
        <v>221</v>
      </c>
      <c r="H2" s="707"/>
      <c r="I2" s="355">
        <f>$E$68</f>
        <v>0</v>
      </c>
      <c r="J2" s="720" t="s">
        <v>222</v>
      </c>
      <c r="K2" s="721"/>
      <c r="L2" s="730"/>
      <c r="M2" s="358">
        <f>$J$68</f>
        <v>0</v>
      </c>
      <c r="N2" s="395"/>
      <c r="O2" s="370"/>
      <c r="P2" s="371"/>
      <c r="R2" s="183" t="s">
        <v>10</v>
      </c>
      <c r="S2" s="184" t="s">
        <v>223</v>
      </c>
      <c r="V2" s="177" t="s">
        <v>224</v>
      </c>
      <c r="W2" s="278" t="s">
        <v>313</v>
      </c>
    </row>
    <row r="3" spans="1:23" ht="32.1" customHeight="1" thickBot="1" x14ac:dyDescent="0.25">
      <c r="C3" s="716" t="s">
        <v>292</v>
      </c>
      <c r="D3" s="717"/>
      <c r="E3" s="851">
        <v>46232</v>
      </c>
      <c r="F3" s="852"/>
      <c r="G3" s="706" t="s">
        <v>227</v>
      </c>
      <c r="H3" s="707"/>
      <c r="I3" s="355">
        <f>$O$68</f>
        <v>3</v>
      </c>
      <c r="J3" s="720" t="s">
        <v>228</v>
      </c>
      <c r="K3" s="721"/>
      <c r="L3" s="721"/>
      <c r="M3" s="355">
        <f>$K$68</f>
        <v>0</v>
      </c>
      <c r="N3" s="395"/>
      <c r="O3" s="370"/>
      <c r="P3" s="371"/>
      <c r="R3" s="185" t="s">
        <v>16</v>
      </c>
      <c r="S3" s="186" t="str">
        <f>C1</f>
        <v>LITORAL</v>
      </c>
    </row>
    <row r="4" spans="1:23" ht="32.1" customHeight="1" thickBot="1" x14ac:dyDescent="0.25">
      <c r="C4" s="187" t="s">
        <v>229</v>
      </c>
      <c r="D4" s="523" t="s">
        <v>230</v>
      </c>
      <c r="E4" s="189" t="s">
        <v>231</v>
      </c>
      <c r="F4" s="356" t="s">
        <v>314</v>
      </c>
      <c r="G4" s="706" t="s">
        <v>218</v>
      </c>
      <c r="H4" s="707"/>
      <c r="I4" s="355">
        <f>$N$68</f>
        <v>0</v>
      </c>
      <c r="J4" s="848" t="s">
        <v>233</v>
      </c>
      <c r="K4" s="849"/>
      <c r="L4" s="850"/>
      <c r="M4" s="397">
        <f>$I$68</f>
        <v>0</v>
      </c>
      <c r="N4" s="396"/>
      <c r="O4" s="372"/>
      <c r="P4" s="373"/>
      <c r="Q4" s="146"/>
    </row>
    <row r="5" spans="1:23" s="90" customFormat="1" ht="14.25" customHeight="1" x14ac:dyDescent="0.25">
      <c r="A5" s="79"/>
      <c r="B5" s="79"/>
      <c r="C5" s="708" t="s">
        <v>17</v>
      </c>
      <c r="D5" s="708" t="s">
        <v>18</v>
      </c>
      <c r="E5" s="710" t="s">
        <v>19</v>
      </c>
      <c r="F5" s="712" t="s">
        <v>234</v>
      </c>
      <c r="G5" s="714" t="s">
        <v>1</v>
      </c>
      <c r="H5" s="704" t="s">
        <v>21</v>
      </c>
      <c r="I5" s="700" t="s">
        <v>315</v>
      </c>
      <c r="J5" s="700" t="s">
        <v>9</v>
      </c>
      <c r="K5" s="700" t="s">
        <v>236</v>
      </c>
      <c r="L5" s="842" t="s">
        <v>237</v>
      </c>
      <c r="M5" s="843"/>
      <c r="N5" s="702" t="s">
        <v>25</v>
      </c>
      <c r="O5" s="704" t="s">
        <v>238</v>
      </c>
      <c r="P5" s="700" t="s">
        <v>239</v>
      </c>
      <c r="Q5" s="375"/>
    </row>
    <row r="6" spans="1:23" s="90" customFormat="1" ht="18" customHeight="1" thickBot="1" x14ac:dyDescent="0.3">
      <c r="A6" s="79"/>
      <c r="B6" s="79"/>
      <c r="C6" s="709"/>
      <c r="D6" s="709"/>
      <c r="E6" s="711"/>
      <c r="F6" s="713"/>
      <c r="G6" s="715"/>
      <c r="H6" s="705"/>
      <c r="I6" s="701"/>
      <c r="J6" s="701"/>
      <c r="K6" s="701"/>
      <c r="L6" s="844"/>
      <c r="M6" s="845"/>
      <c r="N6" s="703"/>
      <c r="O6" s="705"/>
      <c r="P6" s="701"/>
      <c r="Q6" s="375"/>
    </row>
    <row r="7" spans="1:23" s="90" customFormat="1" ht="14.25" customHeight="1" x14ac:dyDescent="0.25">
      <c r="C7" s="195" t="s">
        <v>316</v>
      </c>
      <c r="D7" s="196" t="s">
        <v>317</v>
      </c>
      <c r="E7" s="197"/>
      <c r="F7" s="204"/>
      <c r="G7" s="567"/>
      <c r="H7" s="553"/>
      <c r="I7" s="201"/>
      <c r="J7" s="201"/>
      <c r="K7" s="201"/>
      <c r="L7" s="840"/>
      <c r="M7" s="841"/>
      <c r="N7" s="670"/>
      <c r="O7" s="670"/>
      <c r="P7" s="340"/>
      <c r="Q7" s="375"/>
    </row>
    <row r="8" spans="1:23" s="90" customFormat="1" ht="15" customHeight="1" x14ac:dyDescent="0.25">
      <c r="C8" s="195" t="s">
        <v>316</v>
      </c>
      <c r="D8" s="196" t="s">
        <v>318</v>
      </c>
      <c r="E8" s="203"/>
      <c r="F8" s="204"/>
      <c r="G8" s="567"/>
      <c r="H8" s="553"/>
      <c r="I8" s="207"/>
      <c r="J8" s="207"/>
      <c r="K8" s="207"/>
      <c r="L8" s="829"/>
      <c r="M8" s="830"/>
      <c r="N8" s="671"/>
      <c r="O8" s="671"/>
      <c r="P8" s="341"/>
      <c r="Q8" s="375"/>
    </row>
    <row r="9" spans="1:23" s="90" customFormat="1" ht="15" customHeight="1" x14ac:dyDescent="0.25">
      <c r="C9" s="195" t="s">
        <v>316</v>
      </c>
      <c r="D9" s="196" t="s">
        <v>318</v>
      </c>
      <c r="E9" s="203"/>
      <c r="F9" s="204"/>
      <c r="G9" s="567"/>
      <c r="H9" s="553"/>
      <c r="I9" s="209"/>
      <c r="J9" s="209"/>
      <c r="K9" s="209"/>
      <c r="L9" s="829"/>
      <c r="M9" s="830"/>
      <c r="N9" s="671"/>
      <c r="O9" s="671"/>
      <c r="P9" s="341"/>
      <c r="Q9" s="375"/>
    </row>
    <row r="10" spans="1:23" s="90" customFormat="1" ht="15" customHeight="1" x14ac:dyDescent="0.25">
      <c r="C10" s="195" t="s">
        <v>316</v>
      </c>
      <c r="D10" s="196" t="s">
        <v>318</v>
      </c>
      <c r="E10" s="203"/>
      <c r="F10" s="210"/>
      <c r="G10" s="567"/>
      <c r="H10" s="557"/>
      <c r="I10" s="209"/>
      <c r="J10" s="209"/>
      <c r="K10" s="209"/>
      <c r="L10" s="546"/>
      <c r="M10" s="547"/>
      <c r="N10" s="671"/>
      <c r="O10" s="671"/>
      <c r="P10" s="341"/>
      <c r="Q10" s="375"/>
    </row>
    <row r="11" spans="1:23" s="90" customFormat="1" ht="15" customHeight="1" x14ac:dyDescent="0.25">
      <c r="C11" s="195" t="s">
        <v>316</v>
      </c>
      <c r="D11" s="196" t="s">
        <v>318</v>
      </c>
      <c r="E11" s="203"/>
      <c r="F11" s="210"/>
      <c r="G11" s="205"/>
      <c r="H11" s="211"/>
      <c r="I11" s="209"/>
      <c r="J11" s="209"/>
      <c r="K11" s="209"/>
      <c r="L11" s="546"/>
      <c r="M11" s="547"/>
      <c r="N11" s="671"/>
      <c r="O11" s="671"/>
      <c r="P11" s="341"/>
      <c r="Q11" s="375"/>
    </row>
    <row r="12" spans="1:23" s="90" customFormat="1" ht="15" customHeight="1" x14ac:dyDescent="0.25">
      <c r="C12" s="195" t="s">
        <v>316</v>
      </c>
      <c r="D12" s="196" t="s">
        <v>318</v>
      </c>
      <c r="E12" s="203"/>
      <c r="F12" s="210"/>
      <c r="G12" s="205"/>
      <c r="H12" s="211"/>
      <c r="I12" s="209"/>
      <c r="J12" s="209"/>
      <c r="K12" s="209"/>
      <c r="L12" s="546"/>
      <c r="M12" s="547"/>
      <c r="N12" s="671"/>
      <c r="O12" s="671"/>
      <c r="P12" s="341"/>
      <c r="Q12" s="375"/>
    </row>
    <row r="13" spans="1:23" s="90" customFormat="1" ht="15" customHeight="1" x14ac:dyDescent="0.25">
      <c r="C13" s="195" t="s">
        <v>316</v>
      </c>
      <c r="D13" s="196" t="s">
        <v>318</v>
      </c>
      <c r="E13" s="203"/>
      <c r="F13" s="210"/>
      <c r="G13" s="205"/>
      <c r="H13" s="211"/>
      <c r="I13" s="209"/>
      <c r="J13" s="209"/>
      <c r="K13" s="209"/>
      <c r="L13" s="546"/>
      <c r="M13" s="547"/>
      <c r="N13" s="671"/>
      <c r="O13" s="671"/>
      <c r="P13" s="341"/>
      <c r="Q13" s="375"/>
    </row>
    <row r="14" spans="1:23" s="90" customFormat="1" ht="15" customHeight="1" x14ac:dyDescent="0.25">
      <c r="C14" s="195" t="s">
        <v>316</v>
      </c>
      <c r="D14" s="196" t="s">
        <v>318</v>
      </c>
      <c r="E14" s="203"/>
      <c r="F14" s="210"/>
      <c r="G14" s="205"/>
      <c r="H14" s="211"/>
      <c r="I14" s="209"/>
      <c r="J14" s="209"/>
      <c r="K14" s="209"/>
      <c r="L14" s="829"/>
      <c r="M14" s="830"/>
      <c r="N14" s="671"/>
      <c r="O14" s="671"/>
      <c r="P14" s="341"/>
      <c r="Q14" s="375"/>
    </row>
    <row r="15" spans="1:23" s="90" customFormat="1" ht="15.75" x14ac:dyDescent="0.25">
      <c r="C15" s="195" t="s">
        <v>316</v>
      </c>
      <c r="D15" s="196" t="s">
        <v>318</v>
      </c>
      <c r="E15" s="203"/>
      <c r="F15" s="210"/>
      <c r="G15" s="205"/>
      <c r="H15" s="211"/>
      <c r="I15" s="209"/>
      <c r="J15" s="209"/>
      <c r="K15" s="209"/>
      <c r="L15" s="829"/>
      <c r="M15" s="830"/>
      <c r="N15" s="671"/>
      <c r="O15" s="671"/>
      <c r="P15" s="341"/>
      <c r="Q15" s="375"/>
    </row>
    <row r="16" spans="1:23" s="90" customFormat="1" ht="16.5" thickBot="1" x14ac:dyDescent="0.3">
      <c r="C16" s="195" t="s">
        <v>316</v>
      </c>
      <c r="D16" s="196" t="s">
        <v>318</v>
      </c>
      <c r="E16" s="203"/>
      <c r="F16" s="210"/>
      <c r="G16" s="205"/>
      <c r="H16" s="211"/>
      <c r="I16" s="212"/>
      <c r="J16" s="212"/>
      <c r="K16" s="212"/>
      <c r="L16" s="833"/>
      <c r="M16" s="834"/>
      <c r="N16" s="672"/>
      <c r="O16" s="672"/>
      <c r="P16" s="341"/>
      <c r="Q16" s="375"/>
    </row>
    <row r="17" spans="3:17" s="90" customFormat="1" ht="16.5" hidden="1" thickBot="1" x14ac:dyDescent="0.3">
      <c r="C17" s="677" t="s">
        <v>243</v>
      </c>
      <c r="D17" s="678"/>
      <c r="E17" s="213"/>
      <c r="F17" s="679"/>
      <c r="G17" s="680"/>
      <c r="H17" s="680"/>
      <c r="I17" s="680"/>
      <c r="J17" s="680"/>
      <c r="K17" s="680"/>
      <c r="L17" s="680"/>
      <c r="M17" s="680"/>
      <c r="N17" s="680"/>
      <c r="O17" s="680"/>
      <c r="P17" s="681"/>
      <c r="Q17" s="375"/>
    </row>
    <row r="18" spans="3:17" s="90" customFormat="1" ht="15" customHeight="1" thickBot="1" x14ac:dyDescent="0.3">
      <c r="C18" s="682"/>
      <c r="D18" s="683"/>
      <c r="E18" s="216">
        <f>SUM(E7:E16)</f>
        <v>0</v>
      </c>
      <c r="F18" s="216"/>
      <c r="G18" s="217">
        <f>SUM(G7:G16)</f>
        <v>0</v>
      </c>
      <c r="H18" s="216">
        <f>SUM(H7:H16)</f>
        <v>0</v>
      </c>
      <c r="I18" s="216">
        <f>SUM(I7:I16)</f>
        <v>0</v>
      </c>
      <c r="J18" s="216">
        <f>SUM(J7:J16)</f>
        <v>0</v>
      </c>
      <c r="K18" s="216">
        <f>SUM(K7:K16)</f>
        <v>0</v>
      </c>
      <c r="L18" s="827">
        <f>SUM(L7:M16)</f>
        <v>0</v>
      </c>
      <c r="M18" s="828"/>
      <c r="N18" s="216">
        <f>SUM(N7)</f>
        <v>0</v>
      </c>
      <c r="O18" s="216">
        <v>3</v>
      </c>
      <c r="P18" s="374"/>
      <c r="Q18" s="375"/>
    </row>
    <row r="19" spans="3:17" s="90" customFormat="1" ht="15" customHeight="1" x14ac:dyDescent="0.25">
      <c r="C19" s="195" t="s">
        <v>319</v>
      </c>
      <c r="D19" s="196" t="s">
        <v>320</v>
      </c>
      <c r="E19" s="197"/>
      <c r="F19" s="204"/>
      <c r="G19" s="567"/>
      <c r="H19" s="553"/>
      <c r="I19" s="201"/>
      <c r="J19" s="201"/>
      <c r="K19" s="201"/>
      <c r="L19" s="840"/>
      <c r="M19" s="841"/>
      <c r="N19" s="670"/>
      <c r="O19" s="670"/>
      <c r="P19" s="340"/>
      <c r="Q19" s="375"/>
    </row>
    <row r="20" spans="3:17" s="90" customFormat="1" ht="15" customHeight="1" x14ac:dyDescent="0.25">
      <c r="C20" s="195" t="s">
        <v>319</v>
      </c>
      <c r="D20" s="196" t="s">
        <v>321</v>
      </c>
      <c r="E20" s="203"/>
      <c r="F20" s="204"/>
      <c r="G20" s="567"/>
      <c r="H20" s="553"/>
      <c r="I20" s="204"/>
      <c r="J20" s="207"/>
      <c r="K20" s="207"/>
      <c r="L20" s="829"/>
      <c r="M20" s="830"/>
      <c r="N20" s="671"/>
      <c r="O20" s="671"/>
      <c r="P20" s="341"/>
      <c r="Q20" s="375"/>
    </row>
    <row r="21" spans="3:17" s="90" customFormat="1" ht="15.75" x14ac:dyDescent="0.25">
      <c r="C21" s="195" t="s">
        <v>319</v>
      </c>
      <c r="D21" s="196" t="s">
        <v>321</v>
      </c>
      <c r="E21" s="203"/>
      <c r="F21" s="204"/>
      <c r="G21" s="567"/>
      <c r="H21" s="553"/>
      <c r="I21" s="209"/>
      <c r="J21" s="209"/>
      <c r="K21" s="209"/>
      <c r="L21" s="829"/>
      <c r="M21" s="830"/>
      <c r="N21" s="671"/>
      <c r="O21" s="671"/>
      <c r="P21" s="341"/>
      <c r="Q21" s="375"/>
    </row>
    <row r="22" spans="3:17" s="90" customFormat="1" ht="15.75" x14ac:dyDescent="0.25">
      <c r="C22" s="195" t="s">
        <v>319</v>
      </c>
      <c r="D22" s="196" t="s">
        <v>321</v>
      </c>
      <c r="E22" s="203"/>
      <c r="F22" s="204"/>
      <c r="G22" s="567"/>
      <c r="H22" s="553"/>
      <c r="I22" s="209"/>
      <c r="J22" s="209"/>
      <c r="K22" s="209"/>
      <c r="L22" s="829"/>
      <c r="M22" s="830"/>
      <c r="N22" s="671"/>
      <c r="O22" s="671"/>
      <c r="P22" s="341"/>
      <c r="Q22" s="375"/>
    </row>
    <row r="23" spans="3:17" s="90" customFormat="1" ht="15.75" x14ac:dyDescent="0.25">
      <c r="C23" s="195" t="s">
        <v>319</v>
      </c>
      <c r="D23" s="196" t="s">
        <v>321</v>
      </c>
      <c r="E23" s="203"/>
      <c r="F23" s="210"/>
      <c r="G23" s="567"/>
      <c r="H23" s="557"/>
      <c r="I23" s="209"/>
      <c r="J23" s="209"/>
      <c r="K23" s="209"/>
      <c r="L23" s="546"/>
      <c r="M23" s="547"/>
      <c r="N23" s="671"/>
      <c r="O23" s="671"/>
      <c r="P23" s="341"/>
      <c r="Q23" s="375"/>
    </row>
    <row r="24" spans="3:17" s="90" customFormat="1" ht="15.75" x14ac:dyDescent="0.25">
      <c r="C24" s="195" t="s">
        <v>319</v>
      </c>
      <c r="D24" s="196" t="s">
        <v>321</v>
      </c>
      <c r="E24" s="203"/>
      <c r="F24" s="210"/>
      <c r="G24" s="567"/>
      <c r="H24" s="557"/>
      <c r="I24" s="209"/>
      <c r="J24" s="209"/>
      <c r="K24" s="209"/>
      <c r="L24" s="546"/>
      <c r="M24" s="547"/>
      <c r="N24" s="671"/>
      <c r="O24" s="671"/>
      <c r="P24" s="341"/>
      <c r="Q24" s="375"/>
    </row>
    <row r="25" spans="3:17" s="90" customFormat="1" ht="15.75" x14ac:dyDescent="0.25">
      <c r="C25" s="195" t="s">
        <v>319</v>
      </c>
      <c r="D25" s="196" t="s">
        <v>321</v>
      </c>
      <c r="E25" s="203"/>
      <c r="F25" s="210"/>
      <c r="G25" s="205"/>
      <c r="H25" s="211"/>
      <c r="I25" s="209"/>
      <c r="J25" s="209"/>
      <c r="K25" s="209"/>
      <c r="L25" s="546"/>
      <c r="M25" s="547"/>
      <c r="N25" s="671"/>
      <c r="O25" s="671"/>
      <c r="P25" s="341"/>
      <c r="Q25" s="375"/>
    </row>
    <row r="26" spans="3:17" s="90" customFormat="1" ht="15.75" x14ac:dyDescent="0.25">
      <c r="C26" s="195" t="s">
        <v>319</v>
      </c>
      <c r="D26" s="196" t="s">
        <v>321</v>
      </c>
      <c r="E26" s="203"/>
      <c r="F26" s="210"/>
      <c r="G26" s="205"/>
      <c r="H26" s="211"/>
      <c r="I26" s="209"/>
      <c r="J26" s="209"/>
      <c r="K26" s="209"/>
      <c r="L26" s="829"/>
      <c r="M26" s="830"/>
      <c r="N26" s="671"/>
      <c r="O26" s="671"/>
      <c r="P26" s="341"/>
      <c r="Q26" s="375"/>
    </row>
    <row r="27" spans="3:17" s="90" customFormat="1" ht="15.75" x14ac:dyDescent="0.25">
      <c r="C27" s="195" t="s">
        <v>319</v>
      </c>
      <c r="D27" s="196" t="s">
        <v>321</v>
      </c>
      <c r="E27" s="203"/>
      <c r="F27" s="204"/>
      <c r="G27" s="205"/>
      <c r="H27" s="206"/>
      <c r="I27" s="209"/>
      <c r="J27" s="209"/>
      <c r="K27" s="209"/>
      <c r="L27" s="829"/>
      <c r="M27" s="830"/>
      <c r="N27" s="671"/>
      <c r="O27" s="671"/>
      <c r="P27" s="341"/>
      <c r="Q27" s="375"/>
    </row>
    <row r="28" spans="3:17" s="90" customFormat="1" ht="16.5" thickBot="1" x14ac:dyDescent="0.3">
      <c r="C28" s="195" t="s">
        <v>319</v>
      </c>
      <c r="D28" s="196" t="s">
        <v>321</v>
      </c>
      <c r="E28" s="203"/>
      <c r="F28" s="210"/>
      <c r="G28" s="205"/>
      <c r="H28" s="211"/>
      <c r="I28" s="212"/>
      <c r="J28" s="212"/>
      <c r="K28" s="212"/>
      <c r="L28" s="833"/>
      <c r="M28" s="834"/>
      <c r="N28" s="672"/>
      <c r="O28" s="672"/>
      <c r="P28" s="341"/>
      <c r="Q28" s="375"/>
    </row>
    <row r="29" spans="3:17" s="90" customFormat="1" ht="16.5" hidden="1" thickBot="1" x14ac:dyDescent="0.3">
      <c r="C29" s="677" t="s">
        <v>243</v>
      </c>
      <c r="D29" s="678"/>
      <c r="E29" s="213"/>
      <c r="F29" s="679"/>
      <c r="G29" s="680"/>
      <c r="H29" s="680"/>
      <c r="I29" s="680"/>
      <c r="J29" s="680"/>
      <c r="K29" s="680"/>
      <c r="L29" s="680"/>
      <c r="M29" s="680"/>
      <c r="N29" s="680"/>
      <c r="O29" s="680"/>
      <c r="P29" s="681"/>
      <c r="Q29" s="375"/>
    </row>
    <row r="30" spans="3:17" s="90" customFormat="1" ht="15" customHeight="1" thickBot="1" x14ac:dyDescent="0.3">
      <c r="C30" s="682"/>
      <c r="D30" s="683"/>
      <c r="E30" s="216">
        <f>SUM(E19:E28)</f>
        <v>0</v>
      </c>
      <c r="F30" s="216"/>
      <c r="G30" s="217">
        <f>SUM(G19:G28)</f>
        <v>0</v>
      </c>
      <c r="H30" s="216">
        <f>SUM(H19:H28)</f>
        <v>0</v>
      </c>
      <c r="I30" s="216">
        <f>SUM(I19:I28)</f>
        <v>0</v>
      </c>
      <c r="J30" s="216">
        <f>SUM(J19:J28)</f>
        <v>0</v>
      </c>
      <c r="K30" s="216">
        <f>SUM(K19:K28)</f>
        <v>0</v>
      </c>
      <c r="L30" s="827">
        <f>SUM(L19:M28)</f>
        <v>0</v>
      </c>
      <c r="M30" s="828"/>
      <c r="N30" s="216">
        <f>N19</f>
        <v>0</v>
      </c>
      <c r="O30" s="216">
        <f>O19</f>
        <v>0</v>
      </c>
      <c r="P30" s="374"/>
      <c r="Q30" s="375"/>
    </row>
    <row r="31" spans="3:17" s="90" customFormat="1" ht="15.75" x14ac:dyDescent="0.25">
      <c r="C31" s="195" t="s">
        <v>322</v>
      </c>
      <c r="D31" s="196" t="s">
        <v>323</v>
      </c>
      <c r="E31" s="376"/>
      <c r="F31" s="210"/>
      <c r="G31" s="567"/>
      <c r="H31" s="557"/>
      <c r="I31" s="209"/>
      <c r="J31" s="209"/>
      <c r="K31" s="209"/>
      <c r="L31" s="840"/>
      <c r="M31" s="841"/>
      <c r="N31" s="670"/>
      <c r="O31" s="670"/>
      <c r="P31" s="377"/>
      <c r="Q31" s="375"/>
    </row>
    <row r="32" spans="3:17" s="90" customFormat="1" ht="15" customHeight="1" x14ac:dyDescent="0.25">
      <c r="C32" s="195" t="s">
        <v>322</v>
      </c>
      <c r="D32" s="196" t="s">
        <v>324</v>
      </c>
      <c r="E32" s="378"/>
      <c r="F32" s="204"/>
      <c r="G32" s="567"/>
      <c r="H32" s="553"/>
      <c r="I32" s="209"/>
      <c r="J32" s="209"/>
      <c r="K32" s="209"/>
      <c r="L32" s="829"/>
      <c r="M32" s="830"/>
      <c r="N32" s="671"/>
      <c r="O32" s="671"/>
      <c r="P32" s="341"/>
      <c r="Q32" s="375"/>
    </row>
    <row r="33" spans="3:17" s="382" customFormat="1" ht="15" customHeight="1" x14ac:dyDescent="0.25">
      <c r="C33" s="379" t="s">
        <v>322</v>
      </c>
      <c r="D33" s="196" t="s">
        <v>324</v>
      </c>
      <c r="E33" s="378"/>
      <c r="F33" s="204"/>
      <c r="G33" s="567"/>
      <c r="H33" s="553"/>
      <c r="I33" s="209"/>
      <c r="J33" s="209"/>
      <c r="K33" s="209"/>
      <c r="L33" s="829"/>
      <c r="M33" s="830"/>
      <c r="N33" s="671"/>
      <c r="O33" s="671"/>
      <c r="P33" s="380"/>
      <c r="Q33" s="381"/>
    </row>
    <row r="34" spans="3:17" s="382" customFormat="1" ht="15" customHeight="1" x14ac:dyDescent="0.25">
      <c r="C34" s="379" t="s">
        <v>322</v>
      </c>
      <c r="D34" s="196" t="s">
        <v>324</v>
      </c>
      <c r="E34" s="378"/>
      <c r="F34" s="204"/>
      <c r="G34" s="205"/>
      <c r="H34" s="206"/>
      <c r="I34" s="209"/>
      <c r="J34" s="209"/>
      <c r="K34" s="209"/>
      <c r="L34" s="546"/>
      <c r="M34" s="547"/>
      <c r="N34" s="671"/>
      <c r="O34" s="671"/>
      <c r="P34" s="380"/>
      <c r="Q34" s="381"/>
    </row>
    <row r="35" spans="3:17" s="382" customFormat="1" ht="15" customHeight="1" x14ac:dyDescent="0.25">
      <c r="C35" s="379" t="s">
        <v>322</v>
      </c>
      <c r="D35" s="196" t="s">
        <v>324</v>
      </c>
      <c r="E35" s="378"/>
      <c r="F35" s="204"/>
      <c r="G35" s="205"/>
      <c r="H35" s="206"/>
      <c r="I35" s="209"/>
      <c r="J35" s="209"/>
      <c r="K35" s="209"/>
      <c r="L35" s="546"/>
      <c r="M35" s="547"/>
      <c r="N35" s="671"/>
      <c r="O35" s="671"/>
      <c r="P35" s="380"/>
      <c r="Q35" s="381"/>
    </row>
    <row r="36" spans="3:17" s="382" customFormat="1" ht="15" customHeight="1" x14ac:dyDescent="0.25">
      <c r="C36" s="379" t="s">
        <v>322</v>
      </c>
      <c r="D36" s="196" t="s">
        <v>324</v>
      </c>
      <c r="E36" s="378"/>
      <c r="F36" s="204"/>
      <c r="G36" s="205"/>
      <c r="H36" s="206"/>
      <c r="I36" s="209"/>
      <c r="J36" s="209"/>
      <c r="K36" s="209"/>
      <c r="L36" s="546"/>
      <c r="M36" s="547"/>
      <c r="N36" s="671"/>
      <c r="O36" s="671"/>
      <c r="P36" s="380"/>
      <c r="Q36" s="381"/>
    </row>
    <row r="37" spans="3:17" s="382" customFormat="1" ht="15" customHeight="1" x14ac:dyDescent="0.25">
      <c r="C37" s="379" t="s">
        <v>322</v>
      </c>
      <c r="D37" s="196" t="s">
        <v>324</v>
      </c>
      <c r="E37" s="378"/>
      <c r="F37" s="204"/>
      <c r="G37" s="205"/>
      <c r="H37" s="206"/>
      <c r="I37" s="209"/>
      <c r="J37" s="209"/>
      <c r="K37" s="209"/>
      <c r="L37" s="829"/>
      <c r="M37" s="830"/>
      <c r="N37" s="671"/>
      <c r="O37" s="671"/>
      <c r="P37" s="380"/>
      <c r="Q37" s="381"/>
    </row>
    <row r="38" spans="3:17" s="382" customFormat="1" ht="15" customHeight="1" x14ac:dyDescent="0.25">
      <c r="C38" s="379" t="s">
        <v>322</v>
      </c>
      <c r="D38" s="196" t="s">
        <v>324</v>
      </c>
      <c r="E38" s="378"/>
      <c r="F38" s="204"/>
      <c r="G38" s="205"/>
      <c r="H38" s="206"/>
      <c r="I38" s="209"/>
      <c r="J38" s="209"/>
      <c r="K38" s="209"/>
      <c r="L38" s="829"/>
      <c r="M38" s="830"/>
      <c r="N38" s="671"/>
      <c r="O38" s="671"/>
      <c r="P38" s="380"/>
      <c r="Q38" s="381"/>
    </row>
    <row r="39" spans="3:17" s="382" customFormat="1" ht="15" customHeight="1" x14ac:dyDescent="0.25">
      <c r="C39" s="379" t="s">
        <v>322</v>
      </c>
      <c r="D39" s="196" t="s">
        <v>324</v>
      </c>
      <c r="E39" s="378"/>
      <c r="F39" s="204"/>
      <c r="G39" s="205"/>
      <c r="H39" s="206"/>
      <c r="I39" s="209"/>
      <c r="J39" s="209"/>
      <c r="K39" s="209"/>
      <c r="L39" s="831"/>
      <c r="M39" s="832"/>
      <c r="N39" s="671"/>
      <c r="O39" s="671"/>
      <c r="P39" s="380"/>
      <c r="Q39" s="381"/>
    </row>
    <row r="40" spans="3:17" s="382" customFormat="1" ht="16.5" thickBot="1" x14ac:dyDescent="0.3">
      <c r="C40" s="379" t="s">
        <v>322</v>
      </c>
      <c r="D40" s="196" t="s">
        <v>324</v>
      </c>
      <c r="E40" s="387"/>
      <c r="F40" s="388"/>
      <c r="G40" s="205"/>
      <c r="H40" s="389"/>
      <c r="I40" s="209"/>
      <c r="J40" s="209"/>
      <c r="K40" s="209"/>
      <c r="L40" s="833"/>
      <c r="M40" s="834"/>
      <c r="N40" s="672"/>
      <c r="O40" s="672"/>
      <c r="P40" s="391"/>
      <c r="Q40" s="381"/>
    </row>
    <row r="41" spans="3:17" s="382" customFormat="1" ht="16.5" hidden="1" thickBot="1" x14ac:dyDescent="0.3">
      <c r="C41" s="835" t="s">
        <v>243</v>
      </c>
      <c r="D41" s="836"/>
      <c r="E41" s="213"/>
      <c r="F41" s="837"/>
      <c r="G41" s="838"/>
      <c r="H41" s="838"/>
      <c r="I41" s="838"/>
      <c r="J41" s="838"/>
      <c r="K41" s="838"/>
      <c r="L41" s="838"/>
      <c r="M41" s="838"/>
      <c r="N41" s="838"/>
      <c r="O41" s="838"/>
      <c r="P41" s="839"/>
      <c r="Q41" s="381"/>
    </row>
    <row r="42" spans="3:17" s="90" customFormat="1" ht="15" customHeight="1" thickBot="1" x14ac:dyDescent="0.3">
      <c r="C42" s="682"/>
      <c r="D42" s="683"/>
      <c r="E42" s="216">
        <f>SUM(E31:E40)</f>
        <v>0</v>
      </c>
      <c r="F42" s="216"/>
      <c r="G42" s="217">
        <f t="shared" ref="G42:K42" si="0">SUM(G31:G40)</f>
        <v>0</v>
      </c>
      <c r="H42" s="216">
        <f t="shared" si="0"/>
        <v>0</v>
      </c>
      <c r="I42" s="216">
        <f t="shared" si="0"/>
        <v>0</v>
      </c>
      <c r="J42" s="216">
        <f t="shared" si="0"/>
        <v>0</v>
      </c>
      <c r="K42" s="216">
        <f t="shared" si="0"/>
        <v>0</v>
      </c>
      <c r="L42" s="827">
        <f>SUM(L31:M40)</f>
        <v>0</v>
      </c>
      <c r="M42" s="828"/>
      <c r="N42" s="216">
        <f>N31</f>
        <v>0</v>
      </c>
      <c r="O42" s="216">
        <f>O31</f>
        <v>0</v>
      </c>
      <c r="P42" s="374"/>
      <c r="Q42" s="375"/>
    </row>
    <row r="43" spans="3:17" s="90" customFormat="1" ht="15.75" x14ac:dyDescent="0.25">
      <c r="C43" s="195" t="s">
        <v>325</v>
      </c>
      <c r="D43" s="196" t="s">
        <v>326</v>
      </c>
      <c r="E43" s="376"/>
      <c r="F43" s="204"/>
      <c r="G43" s="205"/>
      <c r="H43" s="206"/>
      <c r="I43" s="201"/>
      <c r="J43" s="201"/>
      <c r="K43" s="201"/>
      <c r="L43" s="840"/>
      <c r="M43" s="841"/>
      <c r="N43" s="670"/>
      <c r="O43" s="670"/>
      <c r="P43" s="377"/>
      <c r="Q43" s="375"/>
    </row>
    <row r="44" spans="3:17" s="90" customFormat="1" ht="15.75" x14ac:dyDescent="0.25">
      <c r="C44" s="195" t="s">
        <v>325</v>
      </c>
      <c r="D44" s="196" t="s">
        <v>327</v>
      </c>
      <c r="E44" s="378"/>
      <c r="F44" s="204"/>
      <c r="G44" s="205"/>
      <c r="H44" s="206"/>
      <c r="I44" s="207"/>
      <c r="J44" s="207"/>
      <c r="K44" s="207"/>
      <c r="L44" s="829"/>
      <c r="M44" s="830"/>
      <c r="N44" s="671"/>
      <c r="O44" s="671"/>
      <c r="P44" s="341"/>
      <c r="Q44" s="375"/>
    </row>
    <row r="45" spans="3:17" s="90" customFormat="1" ht="15.75" x14ac:dyDescent="0.25">
      <c r="C45" s="195" t="s">
        <v>325</v>
      </c>
      <c r="D45" s="196" t="s">
        <v>327</v>
      </c>
      <c r="E45" s="378"/>
      <c r="F45" s="204"/>
      <c r="G45" s="205"/>
      <c r="H45" s="206"/>
      <c r="I45" s="207"/>
      <c r="J45" s="207"/>
      <c r="K45" s="207"/>
      <c r="L45" s="829"/>
      <c r="M45" s="830"/>
      <c r="N45" s="671"/>
      <c r="O45" s="671"/>
      <c r="P45" s="380"/>
      <c r="Q45" s="375"/>
    </row>
    <row r="46" spans="3:17" s="90" customFormat="1" ht="15.75" x14ac:dyDescent="0.25">
      <c r="C46" s="195" t="s">
        <v>325</v>
      </c>
      <c r="D46" s="196" t="s">
        <v>327</v>
      </c>
      <c r="E46" s="378"/>
      <c r="F46" s="204"/>
      <c r="G46" s="205"/>
      <c r="H46" s="206"/>
      <c r="I46" s="207"/>
      <c r="J46" s="207"/>
      <c r="K46" s="207"/>
      <c r="L46" s="546"/>
      <c r="M46" s="547"/>
      <c r="N46" s="671"/>
      <c r="O46" s="671"/>
      <c r="P46" s="380"/>
      <c r="Q46" s="375"/>
    </row>
    <row r="47" spans="3:17" s="90" customFormat="1" ht="15.75" x14ac:dyDescent="0.25">
      <c r="C47" s="195" t="s">
        <v>325</v>
      </c>
      <c r="D47" s="196" t="s">
        <v>327</v>
      </c>
      <c r="E47" s="378"/>
      <c r="F47" s="204"/>
      <c r="G47" s="205"/>
      <c r="H47" s="206"/>
      <c r="I47" s="207"/>
      <c r="J47" s="207"/>
      <c r="K47" s="207"/>
      <c r="L47" s="546"/>
      <c r="M47" s="547"/>
      <c r="N47" s="671"/>
      <c r="O47" s="671"/>
      <c r="P47" s="380"/>
      <c r="Q47" s="375"/>
    </row>
    <row r="48" spans="3:17" s="90" customFormat="1" ht="15.75" x14ac:dyDescent="0.25">
      <c r="C48" s="195" t="s">
        <v>325</v>
      </c>
      <c r="D48" s="196" t="s">
        <v>327</v>
      </c>
      <c r="E48" s="378"/>
      <c r="F48" s="204"/>
      <c r="G48" s="205"/>
      <c r="H48" s="206"/>
      <c r="I48" s="207"/>
      <c r="J48" s="207"/>
      <c r="K48" s="207"/>
      <c r="L48" s="546"/>
      <c r="M48" s="547"/>
      <c r="N48" s="671"/>
      <c r="O48" s="671"/>
      <c r="P48" s="380"/>
      <c r="Q48" s="375"/>
    </row>
    <row r="49" spans="3:17" s="90" customFormat="1" ht="15.75" x14ac:dyDescent="0.25">
      <c r="C49" s="195" t="s">
        <v>325</v>
      </c>
      <c r="D49" s="196" t="s">
        <v>327</v>
      </c>
      <c r="E49" s="378"/>
      <c r="F49" s="204"/>
      <c r="G49" s="205"/>
      <c r="H49" s="206"/>
      <c r="I49" s="207"/>
      <c r="J49" s="207"/>
      <c r="K49" s="207"/>
      <c r="L49" s="829"/>
      <c r="M49" s="830"/>
      <c r="N49" s="671"/>
      <c r="O49" s="671"/>
      <c r="P49" s="380"/>
      <c r="Q49" s="375"/>
    </row>
    <row r="50" spans="3:17" s="90" customFormat="1" ht="15.75" x14ac:dyDescent="0.25">
      <c r="C50" s="195" t="s">
        <v>325</v>
      </c>
      <c r="D50" s="196" t="s">
        <v>327</v>
      </c>
      <c r="E50" s="378"/>
      <c r="F50" s="204"/>
      <c r="G50" s="205"/>
      <c r="H50" s="206"/>
      <c r="I50" s="207"/>
      <c r="J50" s="207"/>
      <c r="K50" s="207"/>
      <c r="L50" s="829"/>
      <c r="M50" s="830"/>
      <c r="N50" s="671"/>
      <c r="O50" s="671"/>
      <c r="P50" s="380"/>
      <c r="Q50" s="375"/>
    </row>
    <row r="51" spans="3:17" s="90" customFormat="1" ht="15.75" x14ac:dyDescent="0.25">
      <c r="C51" s="195" t="s">
        <v>325</v>
      </c>
      <c r="D51" s="196" t="s">
        <v>327</v>
      </c>
      <c r="E51" s="383"/>
      <c r="F51" s="384"/>
      <c r="G51" s="205"/>
      <c r="H51" s="385"/>
      <c r="I51" s="386"/>
      <c r="J51" s="386"/>
      <c r="K51" s="386"/>
      <c r="L51" s="831"/>
      <c r="M51" s="832"/>
      <c r="N51" s="671"/>
      <c r="O51" s="671"/>
      <c r="P51" s="380"/>
      <c r="Q51" s="375"/>
    </row>
    <row r="52" spans="3:17" s="90" customFormat="1" ht="16.5" thickBot="1" x14ac:dyDescent="0.3">
      <c r="C52" s="195" t="s">
        <v>325</v>
      </c>
      <c r="D52" s="196" t="s">
        <v>327</v>
      </c>
      <c r="E52" s="387"/>
      <c r="F52" s="388"/>
      <c r="G52" s="205"/>
      <c r="H52" s="389"/>
      <c r="I52" s="390"/>
      <c r="J52" s="390"/>
      <c r="K52" s="390"/>
      <c r="L52" s="833"/>
      <c r="M52" s="834"/>
      <c r="N52" s="672"/>
      <c r="O52" s="672"/>
      <c r="P52" s="391"/>
      <c r="Q52" s="375"/>
    </row>
    <row r="53" spans="3:17" s="90" customFormat="1" ht="16.5" hidden="1" thickBot="1" x14ac:dyDescent="0.3">
      <c r="C53" s="835" t="s">
        <v>243</v>
      </c>
      <c r="D53" s="836"/>
      <c r="E53" s="213"/>
      <c r="F53" s="837"/>
      <c r="G53" s="838"/>
      <c r="H53" s="838"/>
      <c r="I53" s="838"/>
      <c r="J53" s="838"/>
      <c r="K53" s="838"/>
      <c r="L53" s="838"/>
      <c r="M53" s="838"/>
      <c r="N53" s="838"/>
      <c r="O53" s="838"/>
      <c r="P53" s="839"/>
      <c r="Q53" s="375"/>
    </row>
    <row r="54" spans="3:17" s="90" customFormat="1" ht="16.5" thickBot="1" x14ac:dyDescent="0.3">
      <c r="C54" s="682"/>
      <c r="D54" s="683"/>
      <c r="E54" s="216">
        <f>SUM(E43:E52)</f>
        <v>0</v>
      </c>
      <c r="F54" s="216"/>
      <c r="G54" s="217">
        <f t="shared" ref="G54:K54" si="1">SUM(G43:G52)</f>
        <v>0</v>
      </c>
      <c r="H54" s="216">
        <f t="shared" si="1"/>
        <v>0</v>
      </c>
      <c r="I54" s="216">
        <f t="shared" si="1"/>
        <v>0</v>
      </c>
      <c r="J54" s="216">
        <f t="shared" si="1"/>
        <v>0</v>
      </c>
      <c r="K54" s="216">
        <f t="shared" si="1"/>
        <v>0</v>
      </c>
      <c r="L54" s="827">
        <f>SUM(L43:M52)</f>
        <v>0</v>
      </c>
      <c r="M54" s="828"/>
      <c r="N54" s="216">
        <f>N43</f>
        <v>0</v>
      </c>
      <c r="O54" s="216">
        <f>O43</f>
        <v>0</v>
      </c>
      <c r="P54" s="374"/>
      <c r="Q54" s="375"/>
    </row>
    <row r="55" spans="3:17" s="90" customFormat="1" ht="15.75" x14ac:dyDescent="0.25">
      <c r="C55" s="195" t="s">
        <v>328</v>
      </c>
      <c r="D55" s="196" t="s">
        <v>329</v>
      </c>
      <c r="E55" s="376"/>
      <c r="F55" s="204"/>
      <c r="G55" s="205"/>
      <c r="H55" s="206"/>
      <c r="I55" s="201"/>
      <c r="J55" s="201"/>
      <c r="K55" s="201"/>
      <c r="L55" s="840"/>
      <c r="M55" s="841"/>
      <c r="N55" s="670"/>
      <c r="O55" s="670"/>
      <c r="P55" s="377"/>
      <c r="Q55" s="375"/>
    </row>
    <row r="56" spans="3:17" s="90" customFormat="1" ht="15.75" x14ac:dyDescent="0.25">
      <c r="C56" s="195" t="s">
        <v>328</v>
      </c>
      <c r="D56" s="196" t="s">
        <v>330</v>
      </c>
      <c r="E56" s="378"/>
      <c r="F56" s="204"/>
      <c r="G56" s="205"/>
      <c r="H56" s="206"/>
      <c r="I56" s="207"/>
      <c r="J56" s="207"/>
      <c r="K56" s="207"/>
      <c r="L56" s="829"/>
      <c r="M56" s="830"/>
      <c r="N56" s="671"/>
      <c r="O56" s="671"/>
      <c r="P56" s="341"/>
      <c r="Q56" s="375"/>
    </row>
    <row r="57" spans="3:17" s="90" customFormat="1" ht="15.75" x14ac:dyDescent="0.25">
      <c r="C57" s="195" t="s">
        <v>328</v>
      </c>
      <c r="D57" s="196" t="s">
        <v>330</v>
      </c>
      <c r="E57" s="378"/>
      <c r="F57" s="204"/>
      <c r="G57" s="205"/>
      <c r="H57" s="206"/>
      <c r="I57" s="207"/>
      <c r="J57" s="207"/>
      <c r="K57" s="207"/>
      <c r="L57" s="546"/>
      <c r="M57" s="547"/>
      <c r="N57" s="671"/>
      <c r="O57" s="671"/>
      <c r="P57" s="341"/>
      <c r="Q57" s="375"/>
    </row>
    <row r="58" spans="3:17" s="90" customFormat="1" ht="15.75" x14ac:dyDescent="0.25">
      <c r="C58" s="195" t="s">
        <v>328</v>
      </c>
      <c r="D58" s="196" t="s">
        <v>330</v>
      </c>
      <c r="E58" s="378"/>
      <c r="F58" s="204"/>
      <c r="G58" s="205"/>
      <c r="H58" s="206"/>
      <c r="I58" s="207"/>
      <c r="J58" s="207"/>
      <c r="K58" s="207"/>
      <c r="L58" s="546"/>
      <c r="M58" s="547"/>
      <c r="N58" s="671"/>
      <c r="O58" s="671"/>
      <c r="P58" s="341"/>
      <c r="Q58" s="375"/>
    </row>
    <row r="59" spans="3:17" s="90" customFormat="1" ht="15.75" x14ac:dyDescent="0.25">
      <c r="C59" s="195" t="s">
        <v>328</v>
      </c>
      <c r="D59" s="196" t="s">
        <v>330</v>
      </c>
      <c r="E59" s="378"/>
      <c r="F59" s="204"/>
      <c r="G59" s="205"/>
      <c r="H59" s="206"/>
      <c r="I59" s="207"/>
      <c r="J59" s="207"/>
      <c r="K59" s="207"/>
      <c r="L59" s="546"/>
      <c r="M59" s="547"/>
      <c r="N59" s="671"/>
      <c r="O59" s="671"/>
      <c r="P59" s="341"/>
      <c r="Q59" s="375"/>
    </row>
    <row r="60" spans="3:17" s="90" customFormat="1" ht="15.75" x14ac:dyDescent="0.25">
      <c r="C60" s="195" t="s">
        <v>328</v>
      </c>
      <c r="D60" s="196" t="s">
        <v>330</v>
      </c>
      <c r="E60" s="378"/>
      <c r="F60" s="204"/>
      <c r="G60" s="205"/>
      <c r="H60" s="206"/>
      <c r="I60" s="207"/>
      <c r="J60" s="207"/>
      <c r="K60" s="207"/>
      <c r="L60" s="829"/>
      <c r="M60" s="830"/>
      <c r="N60" s="671"/>
      <c r="O60" s="671"/>
      <c r="P60" s="380"/>
      <c r="Q60" s="375"/>
    </row>
    <row r="61" spans="3:17" s="90" customFormat="1" ht="15.75" x14ac:dyDescent="0.25">
      <c r="C61" s="195" t="s">
        <v>328</v>
      </c>
      <c r="D61" s="196" t="s">
        <v>330</v>
      </c>
      <c r="E61" s="378"/>
      <c r="F61" s="204"/>
      <c r="G61" s="205"/>
      <c r="H61" s="206"/>
      <c r="I61" s="207"/>
      <c r="J61" s="207"/>
      <c r="K61" s="207"/>
      <c r="L61" s="829"/>
      <c r="M61" s="830"/>
      <c r="N61" s="671"/>
      <c r="O61" s="671"/>
      <c r="P61" s="380"/>
      <c r="Q61" s="375"/>
    </row>
    <row r="62" spans="3:17" s="90" customFormat="1" ht="15.75" x14ac:dyDescent="0.25">
      <c r="C62" s="195" t="s">
        <v>328</v>
      </c>
      <c r="D62" s="196" t="s">
        <v>330</v>
      </c>
      <c r="E62" s="378"/>
      <c r="F62" s="204"/>
      <c r="G62" s="205"/>
      <c r="H62" s="206"/>
      <c r="I62" s="207"/>
      <c r="J62" s="207"/>
      <c r="K62" s="207"/>
      <c r="L62" s="829"/>
      <c r="M62" s="830"/>
      <c r="N62" s="671"/>
      <c r="O62" s="671"/>
      <c r="P62" s="380"/>
      <c r="Q62" s="375"/>
    </row>
    <row r="63" spans="3:17" s="90" customFormat="1" ht="15.75" x14ac:dyDescent="0.25">
      <c r="C63" s="195" t="s">
        <v>328</v>
      </c>
      <c r="D63" s="196" t="s">
        <v>330</v>
      </c>
      <c r="E63" s="383"/>
      <c r="F63" s="384"/>
      <c r="G63" s="205"/>
      <c r="H63" s="385"/>
      <c r="I63" s="386"/>
      <c r="J63" s="386"/>
      <c r="K63" s="386"/>
      <c r="L63" s="831"/>
      <c r="M63" s="832"/>
      <c r="N63" s="671"/>
      <c r="O63" s="671"/>
      <c r="P63" s="380"/>
      <c r="Q63" s="375"/>
    </row>
    <row r="64" spans="3:17" s="90" customFormat="1" ht="16.5" thickBot="1" x14ac:dyDescent="0.3">
      <c r="C64" s="195" t="s">
        <v>328</v>
      </c>
      <c r="D64" s="196" t="s">
        <v>330</v>
      </c>
      <c r="E64" s="387"/>
      <c r="F64" s="388"/>
      <c r="G64" s="205"/>
      <c r="H64" s="389"/>
      <c r="I64" s="390"/>
      <c r="J64" s="390"/>
      <c r="K64" s="390"/>
      <c r="L64" s="833"/>
      <c r="M64" s="834"/>
      <c r="N64" s="672"/>
      <c r="O64" s="672"/>
      <c r="P64" s="391"/>
      <c r="Q64" s="375"/>
    </row>
    <row r="65" spans="3:19" s="90" customFormat="1" ht="16.5" hidden="1" thickBot="1" x14ac:dyDescent="0.3">
      <c r="C65" s="835" t="s">
        <v>243</v>
      </c>
      <c r="D65" s="836"/>
      <c r="E65" s="213"/>
      <c r="F65" s="837"/>
      <c r="G65" s="838"/>
      <c r="H65" s="838"/>
      <c r="I65" s="838"/>
      <c r="J65" s="838"/>
      <c r="K65" s="838"/>
      <c r="L65" s="838"/>
      <c r="M65" s="838"/>
      <c r="N65" s="838"/>
      <c r="O65" s="838"/>
      <c r="P65" s="839"/>
      <c r="Q65" s="375"/>
    </row>
    <row r="66" spans="3:19" s="90" customFormat="1" ht="16.5" thickBot="1" x14ac:dyDescent="0.3">
      <c r="C66" s="682"/>
      <c r="D66" s="683"/>
      <c r="E66" s="216">
        <f>SUM(E55:E64)</f>
        <v>0</v>
      </c>
      <c r="F66" s="216"/>
      <c r="G66" s="217">
        <f t="shared" ref="G66:K66" si="2">SUM(G55:G64)</f>
        <v>0</v>
      </c>
      <c r="H66" s="216">
        <f t="shared" si="2"/>
        <v>0</v>
      </c>
      <c r="I66" s="216">
        <f t="shared" si="2"/>
        <v>0</v>
      </c>
      <c r="J66" s="216">
        <f t="shared" si="2"/>
        <v>0</v>
      </c>
      <c r="K66" s="216">
        <f t="shared" si="2"/>
        <v>0</v>
      </c>
      <c r="L66" s="827">
        <f>SUM(L55:M64)</f>
        <v>0</v>
      </c>
      <c r="M66" s="828"/>
      <c r="N66" s="216">
        <f>N55</f>
        <v>0</v>
      </c>
      <c r="O66" s="216">
        <f>O55</f>
        <v>0</v>
      </c>
      <c r="P66" s="374"/>
      <c r="Q66" s="375"/>
    </row>
    <row r="67" spans="3:19" s="382" customFormat="1" ht="16.5" thickBot="1" x14ac:dyDescent="0.3">
      <c r="O67" s="392"/>
    </row>
    <row r="68" spans="3:19" s="90" customFormat="1" ht="15" customHeight="1" thickBot="1" x14ac:dyDescent="0.3">
      <c r="C68" s="682" t="s">
        <v>251</v>
      </c>
      <c r="D68" s="683"/>
      <c r="E68" s="216">
        <f>E42+E30+E18+E54+E66</f>
        <v>0</v>
      </c>
      <c r="F68" s="216"/>
      <c r="G68" s="217">
        <f>G42+G30+G18+G66+G54</f>
        <v>0</v>
      </c>
      <c r="H68" s="216">
        <f>H42+H30+H18+H54+H66</f>
        <v>0</v>
      </c>
      <c r="I68" s="216">
        <f>I42+I30+I18</f>
        <v>0</v>
      </c>
      <c r="J68" s="216">
        <f>J42+J30+J18+J66</f>
        <v>0</v>
      </c>
      <c r="K68" s="216">
        <f>K42+K30+K18</f>
        <v>0</v>
      </c>
      <c r="L68" s="827">
        <f>L42+L30+L18</f>
        <v>0</v>
      </c>
      <c r="M68" s="828"/>
      <c r="N68" s="216">
        <f>N42+N30+N18</f>
        <v>0</v>
      </c>
      <c r="O68" s="216">
        <f>O42+O30+O18+O54+O66</f>
        <v>3</v>
      </c>
      <c r="P68" s="374"/>
      <c r="Q68" s="375"/>
    </row>
    <row r="69" spans="3:19" s="90" customFormat="1" ht="20.25" customHeight="1" thickBot="1" x14ac:dyDescent="0.3">
      <c r="C69" s="673" t="s">
        <v>252</v>
      </c>
      <c r="D69" s="674"/>
      <c r="E69" s="675"/>
      <c r="F69" s="676"/>
      <c r="G69" s="676"/>
      <c r="H69" s="674"/>
      <c r="I69" s="219"/>
      <c r="J69" s="219"/>
      <c r="K69" s="219"/>
      <c r="L69" s="219"/>
      <c r="M69" s="220"/>
      <c r="N69" s="220"/>
      <c r="O69" s="221"/>
      <c r="P69" s="222"/>
      <c r="Q69" s="375"/>
    </row>
    <row r="70" spans="3:19" s="90" customFormat="1" ht="14.25" customHeight="1" x14ac:dyDescent="0.25">
      <c r="C70" s="685"/>
      <c r="D70" s="686"/>
      <c r="E70" s="689"/>
      <c r="F70" s="690"/>
      <c r="G70" s="690"/>
      <c r="H70" s="691"/>
      <c r="I70" s="223"/>
      <c r="J70" s="223"/>
      <c r="K70" s="223"/>
      <c r="L70" s="685"/>
      <c r="M70" s="695"/>
      <c r="N70" s="695"/>
      <c r="O70" s="695"/>
      <c r="P70" s="696"/>
      <c r="Q70" s="375"/>
    </row>
    <row r="71" spans="3:19" s="90" customFormat="1" ht="14.85" customHeight="1" thickBot="1" x14ac:dyDescent="0.3">
      <c r="C71" s="687"/>
      <c r="D71" s="688"/>
      <c r="E71" s="692"/>
      <c r="F71" s="693"/>
      <c r="G71" s="693"/>
      <c r="H71" s="694"/>
      <c r="I71" s="224"/>
      <c r="J71" s="224"/>
      <c r="K71" s="224"/>
      <c r="L71" s="687"/>
      <c r="M71" s="697"/>
      <c r="N71" s="697"/>
      <c r="O71" s="697"/>
      <c r="P71" s="698"/>
      <c r="Q71" s="375"/>
      <c r="S71" s="90" t="s">
        <v>257</v>
      </c>
    </row>
    <row r="72" spans="3:19" s="90" customFormat="1" ht="8.25" customHeight="1" x14ac:dyDescent="0.25">
      <c r="O72" s="342"/>
    </row>
    <row r="73" spans="3:19" ht="8.25" customHeight="1" x14ac:dyDescent="0.2">
      <c r="C73" s="225"/>
    </row>
  </sheetData>
  <sheetProtection formatCells="0" formatColumns="0" formatRows="0" insertColumns="0" insertRows="0" insertHyperlinks="0" deleteColumns="0" deleteRows="0" sort="0" autoFilter="0" pivotTables="0"/>
  <mergeCells count="96">
    <mergeCell ref="C65:D65"/>
    <mergeCell ref="F65:P65"/>
    <mergeCell ref="C66:D66"/>
    <mergeCell ref="L66:M66"/>
    <mergeCell ref="C53:D53"/>
    <mergeCell ref="F53:P53"/>
    <mergeCell ref="C54:D54"/>
    <mergeCell ref="L54:M54"/>
    <mergeCell ref="L55:M55"/>
    <mergeCell ref="N55:N64"/>
    <mergeCell ref="O55:O64"/>
    <mergeCell ref="L56:M56"/>
    <mergeCell ref="L60:M60"/>
    <mergeCell ref="L61:M61"/>
    <mergeCell ref="L62:M62"/>
    <mergeCell ref="L63:M63"/>
    <mergeCell ref="L64:M64"/>
    <mergeCell ref="L43:M43"/>
    <mergeCell ref="N43:N52"/>
    <mergeCell ref="O43:O52"/>
    <mergeCell ref="L44:M44"/>
    <mergeCell ref="L45:M45"/>
    <mergeCell ref="L49:M49"/>
    <mergeCell ref="L50:M50"/>
    <mergeCell ref="L51:M51"/>
    <mergeCell ref="L52:M52"/>
    <mergeCell ref="J4:L4"/>
    <mergeCell ref="L18:M18"/>
    <mergeCell ref="C3:D3"/>
    <mergeCell ref="E3:F3"/>
    <mergeCell ref="G3:H3"/>
    <mergeCell ref="J3:L3"/>
    <mergeCell ref="G4:H4"/>
    <mergeCell ref="C5:C6"/>
    <mergeCell ref="D5:D6"/>
    <mergeCell ref="E5:E6"/>
    <mergeCell ref="F5:F6"/>
    <mergeCell ref="G5:G6"/>
    <mergeCell ref="H5:H6"/>
    <mergeCell ref="C18:D18"/>
    <mergeCell ref="L9:M9"/>
    <mergeCell ref="C1:F2"/>
    <mergeCell ref="I1:J1"/>
    <mergeCell ref="G2:H2"/>
    <mergeCell ref="J2:L2"/>
    <mergeCell ref="K1:L1"/>
    <mergeCell ref="G1:H1"/>
    <mergeCell ref="O5:O6"/>
    <mergeCell ref="P5:P6"/>
    <mergeCell ref="N7:N16"/>
    <mergeCell ref="O7:O16"/>
    <mergeCell ref="C17:D17"/>
    <mergeCell ref="F17:P17"/>
    <mergeCell ref="I5:I6"/>
    <mergeCell ref="J5:J6"/>
    <mergeCell ref="K5:K6"/>
    <mergeCell ref="N5:N6"/>
    <mergeCell ref="L5:M6"/>
    <mergeCell ref="L7:M7"/>
    <mergeCell ref="L8:M8"/>
    <mergeCell ref="L15:M15"/>
    <mergeCell ref="L16:M16"/>
    <mergeCell ref="L14:M14"/>
    <mergeCell ref="C29:D29"/>
    <mergeCell ref="N19:N28"/>
    <mergeCell ref="O19:O28"/>
    <mergeCell ref="F29:P29"/>
    <mergeCell ref="L19:M19"/>
    <mergeCell ref="L20:M20"/>
    <mergeCell ref="L21:M21"/>
    <mergeCell ref="L22:M22"/>
    <mergeCell ref="L26:M26"/>
    <mergeCell ref="L27:M27"/>
    <mergeCell ref="L28:M28"/>
    <mergeCell ref="L32:M32"/>
    <mergeCell ref="L33:M33"/>
    <mergeCell ref="L37:M37"/>
    <mergeCell ref="C30:D30"/>
    <mergeCell ref="L31:M31"/>
    <mergeCell ref="L30:M30"/>
    <mergeCell ref="N31:N40"/>
    <mergeCell ref="C70:D71"/>
    <mergeCell ref="E70:H71"/>
    <mergeCell ref="L70:P71"/>
    <mergeCell ref="C68:D68"/>
    <mergeCell ref="C69:D69"/>
    <mergeCell ref="E69:H69"/>
    <mergeCell ref="L68:M68"/>
    <mergeCell ref="O31:O40"/>
    <mergeCell ref="C42:D42"/>
    <mergeCell ref="L42:M42"/>
    <mergeCell ref="L38:M38"/>
    <mergeCell ref="L39:M39"/>
    <mergeCell ref="L40:M40"/>
    <mergeCell ref="C41:D41"/>
    <mergeCell ref="F41:P41"/>
  </mergeCells>
  <phoneticPr fontId="33" type="noConversion"/>
  <hyperlinks>
    <hyperlink ref="W2" r:id="rId1" display="EstoqueCDCuritiba@bat.onmicrosoft.com; Comfrio_Pinhais" xr:uid="{B04485DD-6EA9-40AF-B5B3-CCFDFD61F059}"/>
  </hyperlinks>
  <pageMargins left="0" right="0" top="0" bottom="0" header="0" footer="0"/>
  <pageSetup paperSize="9" scale="80" firstPageNumber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Gerar_minuta_litoral">
                <anchor moveWithCells="1">
                  <from>
                    <xdr:col>16</xdr:col>
                    <xdr:colOff>1562100</xdr:colOff>
                    <xdr:row>0</xdr:row>
                    <xdr:rowOff>161925</xdr:rowOff>
                  </from>
                  <to>
                    <xdr:col>16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Reexibir_Linhas_LIT">
                <anchor moveWithCells="1">
                  <from>
                    <xdr:col>16</xdr:col>
                    <xdr:colOff>1562100</xdr:colOff>
                    <xdr:row>1</xdr:row>
                    <xdr:rowOff>295275</xdr:rowOff>
                  </from>
                  <to>
                    <xdr:col>16</xdr:col>
                    <xdr:colOff>2724150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Ocultar_Linhas_LIT">
                <anchor moveWithCells="1">
                  <from>
                    <xdr:col>16</xdr:col>
                    <xdr:colOff>1571625</xdr:colOff>
                    <xdr:row>3</xdr:row>
                    <xdr:rowOff>28575</xdr:rowOff>
                  </from>
                  <to>
                    <xdr:col>16</xdr:col>
                    <xdr:colOff>2733675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Limpar_min_LIT">
                <anchor moveWithCells="1">
                  <from>
                    <xdr:col>16</xdr:col>
                    <xdr:colOff>1571625</xdr:colOff>
                    <xdr:row>4</xdr:row>
                    <xdr:rowOff>171450</xdr:rowOff>
                  </from>
                  <to>
                    <xdr:col>16</xdr:col>
                    <xdr:colOff>2733675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E7E5B-04AA-4F02-A35D-43CF702E507F}">
  <sheetPr codeName="P18">
    <tabColor rgb="FFFF0000"/>
    <pageSetUpPr autoPageBreaks="0" fitToPage="1"/>
  </sheetPr>
  <dimension ref="A1:U87"/>
  <sheetViews>
    <sheetView showGridLines="0" topLeftCell="C1" zoomScale="90" zoomScaleNormal="90" workbookViewId="0">
      <selection activeCell="P80" sqref="P80"/>
    </sheetView>
  </sheetViews>
  <sheetFormatPr defaultColWidth="9.140625" defaultRowHeight="14.85" customHeight="1" x14ac:dyDescent="0.2"/>
  <cols>
    <col min="1" max="1" width="9.140625" style="79" hidden="1" customWidth="1"/>
    <col min="2" max="2" width="13.5703125" style="79" hidden="1" customWidth="1"/>
    <col min="3" max="3" width="23.42578125" style="79" customWidth="1"/>
    <col min="4" max="4" width="25.7109375" style="79" customWidth="1"/>
    <col min="5" max="5" width="11.85546875" style="79" customWidth="1"/>
    <col min="6" max="6" width="17" style="79" customWidth="1"/>
    <col min="7" max="7" width="10.85546875" style="79" customWidth="1"/>
    <col min="8" max="8" width="5.7109375" style="79" customWidth="1"/>
    <col min="9" max="10" width="14.140625" style="79" customWidth="1"/>
    <col min="11" max="11" width="3.7109375" style="79" hidden="1" customWidth="1"/>
    <col min="12" max="12" width="14.140625" style="79" customWidth="1"/>
    <col min="13" max="13" width="12.42578125" style="79" customWidth="1"/>
    <col min="14" max="14" width="12.42578125" style="80" customWidth="1"/>
    <col min="15" max="15" width="12.28515625" style="79" customWidth="1"/>
    <col min="16" max="16" width="59.85546875" style="79" customWidth="1"/>
    <col min="17" max="17" width="14.5703125" style="79" customWidth="1"/>
    <col min="18" max="18" width="39.28515625" style="79" bestFit="1" customWidth="1"/>
    <col min="19" max="16384" width="9.140625" style="79"/>
  </cols>
  <sheetData>
    <row r="1" spans="3:21" ht="31.5" customHeight="1" thickBot="1" x14ac:dyDescent="0.25">
      <c r="C1" s="722" t="s">
        <v>331</v>
      </c>
      <c r="D1" s="723"/>
      <c r="E1" s="723"/>
      <c r="F1" s="723"/>
      <c r="G1" s="731" t="s">
        <v>217</v>
      </c>
      <c r="H1" s="732"/>
      <c r="I1" s="726">
        <f>G80</f>
        <v>4599.3999999999996</v>
      </c>
      <c r="J1" s="727"/>
      <c r="K1" s="728" t="s">
        <v>218</v>
      </c>
      <c r="L1" s="729"/>
      <c r="M1" s="357">
        <f>$M$80</f>
        <v>0</v>
      </c>
      <c r="N1" s="368"/>
      <c r="O1" s="369"/>
      <c r="P1" s="146"/>
      <c r="T1" s="177" t="s">
        <v>219</v>
      </c>
      <c r="U1" s="79" t="s">
        <v>332</v>
      </c>
    </row>
    <row r="2" spans="3:21" ht="32.1" customHeight="1" thickBot="1" x14ac:dyDescent="0.25">
      <c r="C2" s="724"/>
      <c r="D2" s="725"/>
      <c r="E2" s="725"/>
      <c r="F2" s="725"/>
      <c r="G2" s="706" t="s">
        <v>221</v>
      </c>
      <c r="H2" s="707"/>
      <c r="I2" s="355">
        <f>$E$80</f>
        <v>0</v>
      </c>
      <c r="J2" s="858" t="s">
        <v>222</v>
      </c>
      <c r="K2" s="859"/>
      <c r="L2" s="860"/>
      <c r="M2" s="358">
        <f>$I$80</f>
        <v>0</v>
      </c>
      <c r="N2" s="370"/>
      <c r="O2" s="371"/>
      <c r="Q2" s="183" t="s">
        <v>10</v>
      </c>
      <c r="R2" s="184" t="s">
        <v>3</v>
      </c>
      <c r="S2" s="79" t="s">
        <v>223</v>
      </c>
      <c r="T2" s="177" t="s">
        <v>224</v>
      </c>
      <c r="U2" s="278" t="s">
        <v>333</v>
      </c>
    </row>
    <row r="3" spans="3:21" ht="32.1" customHeight="1" thickBot="1" x14ac:dyDescent="0.25">
      <c r="C3" s="716" t="s">
        <v>292</v>
      </c>
      <c r="D3" s="717"/>
      <c r="E3" s="851">
        <v>46238</v>
      </c>
      <c r="F3" s="852"/>
      <c r="G3" s="706" t="s">
        <v>227</v>
      </c>
      <c r="H3" s="707"/>
      <c r="I3" s="355">
        <f>$N$80</f>
        <v>0</v>
      </c>
      <c r="J3" s="858" t="s">
        <v>228</v>
      </c>
      <c r="K3" s="859"/>
      <c r="L3" s="860"/>
      <c r="M3" s="355">
        <f>$J$80</f>
        <v>0</v>
      </c>
      <c r="N3" s="370"/>
      <c r="O3" s="371"/>
      <c r="Q3" s="185" t="s">
        <v>16</v>
      </c>
      <c r="R3" s="186" t="str">
        <f>C1</f>
        <v xml:space="preserve">Sudoeste </v>
      </c>
    </row>
    <row r="4" spans="3:21" ht="42.6" customHeight="1" thickBot="1" x14ac:dyDescent="0.25">
      <c r="C4" s="187" t="s">
        <v>229</v>
      </c>
      <c r="D4" s="446"/>
      <c r="E4" s="189" t="s">
        <v>231</v>
      </c>
      <c r="F4" s="594"/>
      <c r="G4" s="706" t="s">
        <v>232</v>
      </c>
      <c r="H4" s="707"/>
      <c r="I4" s="355">
        <f>$L$80</f>
        <v>0</v>
      </c>
      <c r="J4" s="855"/>
      <c r="K4" s="856"/>
      <c r="L4" s="856"/>
      <c r="M4" s="857"/>
      <c r="N4" s="372"/>
      <c r="O4" s="373"/>
      <c r="P4" s="146"/>
    </row>
    <row r="5" spans="3:21" ht="14.85" customHeight="1" x14ac:dyDescent="0.2">
      <c r="C5" s="708" t="s">
        <v>17</v>
      </c>
      <c r="D5" s="708" t="s">
        <v>18</v>
      </c>
      <c r="E5" s="710" t="s">
        <v>19</v>
      </c>
      <c r="F5" s="712" t="s">
        <v>234</v>
      </c>
      <c r="G5" s="714" t="s">
        <v>1</v>
      </c>
      <c r="H5" s="704" t="s">
        <v>21</v>
      </c>
      <c r="I5" s="700" t="s">
        <v>9</v>
      </c>
      <c r="J5" s="853" t="s">
        <v>15</v>
      </c>
      <c r="K5" s="853" t="s">
        <v>8</v>
      </c>
      <c r="L5" s="853" t="s">
        <v>237</v>
      </c>
      <c r="M5" s="702" t="s">
        <v>25</v>
      </c>
      <c r="N5" s="704" t="s">
        <v>238</v>
      </c>
      <c r="O5" s="700" t="s">
        <v>239</v>
      </c>
      <c r="P5" s="146"/>
    </row>
    <row r="6" spans="3:21" ht="18" customHeight="1" thickBot="1" x14ac:dyDescent="0.25">
      <c r="C6" s="709"/>
      <c r="D6" s="709"/>
      <c r="E6" s="711"/>
      <c r="F6" s="713"/>
      <c r="G6" s="715"/>
      <c r="H6" s="705"/>
      <c r="I6" s="701"/>
      <c r="J6" s="854"/>
      <c r="K6" s="854"/>
      <c r="L6" s="854"/>
      <c r="M6" s="703"/>
      <c r="N6" s="705"/>
      <c r="O6" s="701"/>
      <c r="P6" s="146"/>
    </row>
    <row r="7" spans="3:21" s="90" customFormat="1" ht="14.85" customHeight="1" x14ac:dyDescent="0.25">
      <c r="C7" s="359" t="s">
        <v>334</v>
      </c>
      <c r="D7" s="360" t="s">
        <v>335</v>
      </c>
      <c r="E7" s="197"/>
      <c r="F7" s="204">
        <v>46238</v>
      </c>
      <c r="G7" s="567">
        <v>937</v>
      </c>
      <c r="H7" s="556">
        <v>1</v>
      </c>
      <c r="I7" s="201"/>
      <c r="J7" s="207"/>
      <c r="K7" s="201"/>
      <c r="L7" s="207"/>
      <c r="M7" s="670"/>
      <c r="N7" s="670"/>
      <c r="O7" s="340"/>
      <c r="P7" s="375"/>
    </row>
    <row r="8" spans="3:21" s="90" customFormat="1" ht="16.5" thickBot="1" x14ac:dyDescent="0.3">
      <c r="C8" s="361" t="s">
        <v>334</v>
      </c>
      <c r="D8" s="362" t="s">
        <v>336</v>
      </c>
      <c r="E8" s="203"/>
      <c r="F8" s="204">
        <v>46239</v>
      </c>
      <c r="G8" s="567">
        <v>1.8</v>
      </c>
      <c r="H8" s="553">
        <v>2</v>
      </c>
      <c r="I8" s="207"/>
      <c r="J8" s="207"/>
      <c r="K8" s="207"/>
      <c r="L8" s="207"/>
      <c r="M8" s="671"/>
      <c r="N8" s="671"/>
      <c r="O8" s="341"/>
      <c r="P8" s="375"/>
    </row>
    <row r="9" spans="3:21" s="90" customFormat="1" ht="15.75" customHeight="1" thickBot="1" x14ac:dyDescent="0.3">
      <c r="C9" s="361" t="s">
        <v>334</v>
      </c>
      <c r="D9" s="362" t="s">
        <v>336</v>
      </c>
      <c r="E9" s="203"/>
      <c r="F9" s="198">
        <v>46240</v>
      </c>
      <c r="G9" s="566">
        <v>0.8</v>
      </c>
      <c r="H9" s="556">
        <v>1</v>
      </c>
      <c r="I9" s="204"/>
      <c r="J9" s="567"/>
      <c r="K9" s="553"/>
      <c r="L9" s="207"/>
      <c r="M9" s="671"/>
      <c r="N9" s="671"/>
      <c r="O9" s="341"/>
      <c r="P9" s="375"/>
    </row>
    <row r="10" spans="3:21" s="90" customFormat="1" ht="15.75" hidden="1" customHeight="1" x14ac:dyDescent="0.25">
      <c r="C10" s="361" t="s">
        <v>334</v>
      </c>
      <c r="D10" s="362" t="s">
        <v>336</v>
      </c>
      <c r="E10" s="203"/>
      <c r="F10" s="204"/>
      <c r="G10" s="567"/>
      <c r="H10" s="553"/>
      <c r="I10" s="207"/>
      <c r="J10" s="207"/>
      <c r="K10" s="209"/>
      <c r="L10" s="209"/>
      <c r="M10" s="671"/>
      <c r="N10" s="671"/>
      <c r="O10" s="341"/>
      <c r="P10" s="375"/>
    </row>
    <row r="11" spans="3:21" s="90" customFormat="1" ht="15.75" hidden="1" customHeight="1" x14ac:dyDescent="0.25">
      <c r="C11" s="361" t="s">
        <v>334</v>
      </c>
      <c r="D11" s="362" t="s">
        <v>336</v>
      </c>
      <c r="E11" s="203"/>
      <c r="F11" s="210"/>
      <c r="G11" s="567"/>
      <c r="H11" s="557"/>
      <c r="I11" s="209"/>
      <c r="J11" s="209"/>
      <c r="K11" s="209"/>
      <c r="L11" s="209"/>
      <c r="M11" s="671"/>
      <c r="N11" s="671"/>
      <c r="O11" s="341"/>
      <c r="P11" s="375"/>
    </row>
    <row r="12" spans="3:21" s="90" customFormat="1" ht="15.75" hidden="1" customHeight="1" x14ac:dyDescent="0.25">
      <c r="C12" s="361" t="s">
        <v>334</v>
      </c>
      <c r="D12" s="362" t="s">
        <v>336</v>
      </c>
      <c r="E12" s="203"/>
      <c r="F12" s="210"/>
      <c r="G12" s="567"/>
      <c r="H12" s="557"/>
      <c r="I12" s="209"/>
      <c r="J12" s="209"/>
      <c r="K12" s="209"/>
      <c r="L12" s="209"/>
      <c r="M12" s="671"/>
      <c r="N12" s="671"/>
      <c r="O12" s="341"/>
      <c r="P12" s="375"/>
    </row>
    <row r="13" spans="3:21" s="90" customFormat="1" ht="15.75" hidden="1" customHeight="1" x14ac:dyDescent="0.25">
      <c r="C13" s="361" t="s">
        <v>334</v>
      </c>
      <c r="D13" s="362" t="s">
        <v>336</v>
      </c>
      <c r="E13" s="203"/>
      <c r="F13" s="210"/>
      <c r="G13" s="205"/>
      <c r="H13" s="211"/>
      <c r="I13" s="209"/>
      <c r="J13" s="209"/>
      <c r="K13" s="209"/>
      <c r="L13" s="209"/>
      <c r="M13" s="671"/>
      <c r="N13" s="671"/>
      <c r="O13" s="341"/>
      <c r="P13" s="375"/>
    </row>
    <row r="14" spans="3:21" s="90" customFormat="1" ht="15.75" hidden="1" customHeight="1" x14ac:dyDescent="0.25">
      <c r="C14" s="361" t="s">
        <v>334</v>
      </c>
      <c r="D14" s="362" t="s">
        <v>336</v>
      </c>
      <c r="E14" s="203"/>
      <c r="F14" s="210"/>
      <c r="G14" s="205"/>
      <c r="H14" s="211"/>
      <c r="I14" s="209"/>
      <c r="J14" s="209"/>
      <c r="K14" s="209"/>
      <c r="L14" s="209"/>
      <c r="M14" s="671"/>
      <c r="N14" s="671"/>
      <c r="O14" s="341"/>
      <c r="P14" s="375"/>
    </row>
    <row r="15" spans="3:21" s="90" customFormat="1" ht="15.75" hidden="1" customHeight="1" x14ac:dyDescent="0.25">
      <c r="C15" s="361" t="s">
        <v>334</v>
      </c>
      <c r="D15" s="362" t="s">
        <v>336</v>
      </c>
      <c r="E15" s="203"/>
      <c r="F15" s="210"/>
      <c r="G15" s="205"/>
      <c r="H15" s="211"/>
      <c r="I15" s="209"/>
      <c r="J15" s="209"/>
      <c r="K15" s="209"/>
      <c r="L15" s="209"/>
      <c r="M15" s="671"/>
      <c r="N15" s="671"/>
      <c r="O15" s="341"/>
      <c r="P15" s="375"/>
    </row>
    <row r="16" spans="3:21" s="90" customFormat="1" ht="16.5" hidden="1" customHeight="1" thickBot="1" x14ac:dyDescent="0.3">
      <c r="C16" s="363" t="s">
        <v>334</v>
      </c>
      <c r="D16" s="364" t="s">
        <v>336</v>
      </c>
      <c r="E16" s="203"/>
      <c r="F16" s="210"/>
      <c r="G16" s="205"/>
      <c r="H16" s="211"/>
      <c r="I16" s="212"/>
      <c r="J16" s="212"/>
      <c r="K16" s="212"/>
      <c r="L16" s="212"/>
      <c r="M16" s="672"/>
      <c r="N16" s="672"/>
      <c r="O16" s="341"/>
      <c r="P16" s="375"/>
    </row>
    <row r="17" spans="3:16" s="90" customFormat="1" ht="16.5" hidden="1" customHeight="1" thickBot="1" x14ac:dyDescent="0.3">
      <c r="C17" s="682" t="s">
        <v>243</v>
      </c>
      <c r="D17" s="683"/>
      <c r="E17" s="213"/>
      <c r="F17" s="679"/>
      <c r="G17" s="680"/>
      <c r="H17" s="680"/>
      <c r="I17" s="680"/>
      <c r="J17" s="680"/>
      <c r="K17" s="680"/>
      <c r="L17" s="680"/>
      <c r="M17" s="680"/>
      <c r="N17" s="680"/>
      <c r="O17" s="681"/>
      <c r="P17" s="375"/>
    </row>
    <row r="18" spans="3:16" s="90" customFormat="1" ht="14.85" customHeight="1" thickBot="1" x14ac:dyDescent="0.3">
      <c r="C18" s="682"/>
      <c r="D18" s="683"/>
      <c r="E18" s="214">
        <f>SUM(E7:E16)</f>
        <v>0</v>
      </c>
      <c r="F18" s="214"/>
      <c r="G18" s="215">
        <f>SUM(G7:G16)</f>
        <v>939.59999999999991</v>
      </c>
      <c r="H18" s="279">
        <f>SUM(H7:H16)</f>
        <v>4</v>
      </c>
      <c r="I18" s="279">
        <f>SUM(I7:I16)</f>
        <v>0</v>
      </c>
      <c r="J18" s="279">
        <f>SUM(J7:J16)</f>
        <v>0</v>
      </c>
      <c r="K18" s="214">
        <f t="shared" ref="K18" si="0">SUM(K7:K16)</f>
        <v>0</v>
      </c>
      <c r="L18" s="279">
        <f>SUM(L7:L16)</f>
        <v>0</v>
      </c>
      <c r="M18" s="214">
        <f>SUM(M7:M16)</f>
        <v>0</v>
      </c>
      <c r="N18" s="214">
        <f>SUM(N7:N16)</f>
        <v>0</v>
      </c>
      <c r="O18" s="302"/>
      <c r="P18" s="375"/>
    </row>
    <row r="19" spans="3:16" s="90" customFormat="1" ht="14.85" customHeight="1" x14ac:dyDescent="0.25">
      <c r="C19" s="359" t="s">
        <v>337</v>
      </c>
      <c r="D19" s="360" t="s">
        <v>338</v>
      </c>
      <c r="E19" s="197"/>
      <c r="F19" s="204">
        <v>46238</v>
      </c>
      <c r="G19" s="567">
        <v>978</v>
      </c>
      <c r="H19" s="557">
        <v>1</v>
      </c>
      <c r="I19" s="201"/>
      <c r="J19" s="207"/>
      <c r="K19" s="201"/>
      <c r="L19" s="207"/>
      <c r="M19" s="670"/>
      <c r="N19" s="670"/>
      <c r="O19" s="340"/>
      <c r="P19" s="375"/>
    </row>
    <row r="20" spans="3:16" s="90" customFormat="1" ht="14.25" customHeight="1" thickBot="1" x14ac:dyDescent="0.3">
      <c r="C20" s="361" t="s">
        <v>337</v>
      </c>
      <c r="D20" s="362" t="s">
        <v>339</v>
      </c>
      <c r="E20" s="203"/>
      <c r="F20" s="204">
        <v>46234</v>
      </c>
      <c r="G20" s="567">
        <v>2</v>
      </c>
      <c r="H20" s="557">
        <v>2</v>
      </c>
      <c r="I20" s="207"/>
      <c r="J20" s="207"/>
      <c r="K20" s="207"/>
      <c r="L20" s="207"/>
      <c r="M20" s="671"/>
      <c r="N20" s="671"/>
      <c r="O20" s="341"/>
      <c r="P20" s="375"/>
    </row>
    <row r="21" spans="3:16" s="90" customFormat="1" ht="14.85" hidden="1" customHeight="1" x14ac:dyDescent="0.25">
      <c r="C21" s="361" t="s">
        <v>337</v>
      </c>
      <c r="D21" s="362" t="s">
        <v>339</v>
      </c>
      <c r="E21" s="203"/>
      <c r="F21" s="210"/>
      <c r="G21" s="567"/>
      <c r="H21" s="557"/>
      <c r="I21" s="207"/>
      <c r="J21" s="207"/>
      <c r="K21" s="209"/>
      <c r="L21" s="207"/>
      <c r="M21" s="671"/>
      <c r="N21" s="671"/>
      <c r="O21" s="341"/>
      <c r="P21" s="375"/>
    </row>
    <row r="22" spans="3:16" s="90" customFormat="1" ht="14.85" hidden="1" customHeight="1" x14ac:dyDescent="0.25">
      <c r="C22" s="361" t="s">
        <v>337</v>
      </c>
      <c r="D22" s="362" t="s">
        <v>339</v>
      </c>
      <c r="E22" s="203"/>
      <c r="F22" s="204"/>
      <c r="G22" s="567"/>
      <c r="H22" s="553"/>
      <c r="I22" s="207"/>
      <c r="J22" s="207"/>
      <c r="K22" s="209"/>
      <c r="L22" s="207"/>
      <c r="M22" s="671"/>
      <c r="N22" s="671"/>
      <c r="O22" s="341"/>
      <c r="P22" s="375"/>
    </row>
    <row r="23" spans="3:16" s="90" customFormat="1" ht="14.85" hidden="1" customHeight="1" x14ac:dyDescent="0.25">
      <c r="C23" s="361" t="s">
        <v>337</v>
      </c>
      <c r="D23" s="362" t="s">
        <v>339</v>
      </c>
      <c r="E23" s="203"/>
      <c r="F23" s="204"/>
      <c r="G23" s="567"/>
      <c r="H23" s="553"/>
      <c r="I23" s="209"/>
      <c r="J23" s="209"/>
      <c r="K23" s="209"/>
      <c r="L23" s="209"/>
      <c r="M23" s="671"/>
      <c r="N23" s="671"/>
      <c r="O23" s="341"/>
      <c r="P23" s="375"/>
    </row>
    <row r="24" spans="3:16" s="90" customFormat="1" ht="14.85" hidden="1" customHeight="1" x14ac:dyDescent="0.25">
      <c r="C24" s="361" t="s">
        <v>337</v>
      </c>
      <c r="D24" s="362" t="s">
        <v>339</v>
      </c>
      <c r="E24" s="203"/>
      <c r="F24" s="204"/>
      <c r="G24" s="205"/>
      <c r="H24" s="206"/>
      <c r="I24" s="209"/>
      <c r="J24" s="209"/>
      <c r="K24" s="209"/>
      <c r="L24" s="209"/>
      <c r="M24" s="671"/>
      <c r="N24" s="671"/>
      <c r="O24" s="341"/>
      <c r="P24" s="375"/>
    </row>
    <row r="25" spans="3:16" s="90" customFormat="1" ht="14.85" hidden="1" customHeight="1" x14ac:dyDescent="0.25">
      <c r="C25" s="361" t="s">
        <v>337</v>
      </c>
      <c r="D25" s="362" t="s">
        <v>339</v>
      </c>
      <c r="E25" s="203"/>
      <c r="F25" s="204"/>
      <c r="G25" s="205"/>
      <c r="H25" s="206"/>
      <c r="I25" s="209"/>
      <c r="J25" s="209"/>
      <c r="K25" s="209"/>
      <c r="L25" s="209"/>
      <c r="M25" s="671"/>
      <c r="N25" s="671"/>
      <c r="O25" s="341"/>
      <c r="P25" s="375"/>
    </row>
    <row r="26" spans="3:16" s="90" customFormat="1" ht="14.85" hidden="1" customHeight="1" x14ac:dyDescent="0.25">
      <c r="C26" s="361" t="s">
        <v>337</v>
      </c>
      <c r="D26" s="362" t="s">
        <v>339</v>
      </c>
      <c r="E26" s="203"/>
      <c r="F26" s="204"/>
      <c r="G26" s="205"/>
      <c r="H26" s="206"/>
      <c r="I26" s="209"/>
      <c r="J26" s="209"/>
      <c r="K26" s="209"/>
      <c r="L26" s="209"/>
      <c r="M26" s="671"/>
      <c r="N26" s="671"/>
      <c r="O26" s="341"/>
      <c r="P26" s="375"/>
    </row>
    <row r="27" spans="3:16" s="90" customFormat="1" ht="14.85" hidden="1" customHeight="1" x14ac:dyDescent="0.25">
      <c r="C27" s="361" t="s">
        <v>337</v>
      </c>
      <c r="D27" s="362" t="s">
        <v>339</v>
      </c>
      <c r="E27" s="203"/>
      <c r="F27" s="204"/>
      <c r="G27" s="205"/>
      <c r="H27" s="206"/>
      <c r="I27" s="209"/>
      <c r="J27" s="209"/>
      <c r="K27" s="209"/>
      <c r="L27" s="209"/>
      <c r="M27" s="671"/>
      <c r="N27" s="671"/>
      <c r="O27" s="341"/>
      <c r="P27" s="375"/>
    </row>
    <row r="28" spans="3:16" s="90" customFormat="1" ht="16.5" hidden="1" customHeight="1" thickBot="1" x14ac:dyDescent="0.3">
      <c r="C28" s="363" t="s">
        <v>337</v>
      </c>
      <c r="D28" s="364" t="s">
        <v>339</v>
      </c>
      <c r="E28" s="203"/>
      <c r="F28" s="210"/>
      <c r="G28" s="205"/>
      <c r="H28" s="211"/>
      <c r="I28" s="212"/>
      <c r="J28" s="212"/>
      <c r="K28" s="212"/>
      <c r="L28" s="212"/>
      <c r="M28" s="672"/>
      <c r="N28" s="672"/>
      <c r="O28" s="341"/>
      <c r="P28" s="375"/>
    </row>
    <row r="29" spans="3:16" s="90" customFormat="1" ht="16.5" hidden="1" customHeight="1" thickBot="1" x14ac:dyDescent="0.3">
      <c r="C29" s="682" t="s">
        <v>243</v>
      </c>
      <c r="D29" s="683"/>
      <c r="E29" s="213"/>
      <c r="F29" s="679"/>
      <c r="G29" s="680"/>
      <c r="H29" s="680"/>
      <c r="I29" s="680"/>
      <c r="J29" s="680"/>
      <c r="K29" s="680"/>
      <c r="L29" s="680"/>
      <c r="M29" s="680"/>
      <c r="N29" s="680"/>
      <c r="O29" s="681"/>
      <c r="P29" s="375"/>
    </row>
    <row r="30" spans="3:16" s="90" customFormat="1" ht="16.5" thickBot="1" x14ac:dyDescent="0.3">
      <c r="C30" s="682"/>
      <c r="D30" s="683"/>
      <c r="E30" s="214">
        <f>SUM(E19:E28)</f>
        <v>0</v>
      </c>
      <c r="F30" s="214"/>
      <c r="G30" s="215">
        <f>SUM(G19:G28)</f>
        <v>980</v>
      </c>
      <c r="H30" s="279">
        <f>SUM(H19:H28)</f>
        <v>3</v>
      </c>
      <c r="I30" s="279">
        <f>SUM(I19:I28)</f>
        <v>0</v>
      </c>
      <c r="J30" s="279">
        <f>SUM(J19:J28)</f>
        <v>0</v>
      </c>
      <c r="K30" s="214">
        <f t="shared" ref="K30" si="1">SUM(K19:K28)</f>
        <v>0</v>
      </c>
      <c r="L30" s="279">
        <f>SUM(L19:L28)</f>
        <v>0</v>
      </c>
      <c r="M30" s="214">
        <f>SUM(M19:M28)</f>
        <v>0</v>
      </c>
      <c r="N30" s="214">
        <f>SUM(N19:N28)</f>
        <v>0</v>
      </c>
      <c r="O30" s="302"/>
      <c r="P30" s="375"/>
    </row>
    <row r="31" spans="3:16" s="90" customFormat="1" ht="14.85" customHeight="1" x14ac:dyDescent="0.25">
      <c r="C31" s="359" t="s">
        <v>340</v>
      </c>
      <c r="D31" s="360" t="s">
        <v>341</v>
      </c>
      <c r="E31" s="197"/>
      <c r="F31" s="210">
        <v>46238</v>
      </c>
      <c r="G31" s="567">
        <v>1033</v>
      </c>
      <c r="H31" s="553">
        <v>1</v>
      </c>
      <c r="I31" s="581"/>
      <c r="J31" s="207"/>
      <c r="K31" s="201"/>
      <c r="L31" s="207"/>
      <c r="M31" s="670"/>
      <c r="N31" s="670"/>
      <c r="O31" s="340"/>
      <c r="P31" s="375"/>
    </row>
    <row r="32" spans="3:16" s="90" customFormat="1" ht="15" customHeight="1" thickBot="1" x14ac:dyDescent="0.3">
      <c r="C32" s="361" t="s">
        <v>340</v>
      </c>
      <c r="D32" s="362" t="s">
        <v>342</v>
      </c>
      <c r="E32" s="203"/>
      <c r="F32" s="210">
        <v>46234</v>
      </c>
      <c r="G32" s="567">
        <v>33.799999999999997</v>
      </c>
      <c r="H32" s="553">
        <v>1</v>
      </c>
      <c r="I32" s="207"/>
      <c r="J32" s="207"/>
      <c r="K32" s="207"/>
      <c r="L32" s="207"/>
      <c r="M32" s="671"/>
      <c r="N32" s="671"/>
      <c r="O32" s="341"/>
      <c r="P32" s="375"/>
    </row>
    <row r="33" spans="3:16" s="90" customFormat="1" ht="14.25" hidden="1" customHeight="1" x14ac:dyDescent="0.25">
      <c r="C33" s="361" t="s">
        <v>340</v>
      </c>
      <c r="D33" s="362" t="s">
        <v>342</v>
      </c>
      <c r="E33" s="203"/>
      <c r="F33" s="210"/>
      <c r="G33" s="567"/>
      <c r="H33" s="557"/>
      <c r="I33" s="207"/>
      <c r="J33" s="207"/>
      <c r="K33" s="209"/>
      <c r="L33" s="207"/>
      <c r="M33" s="671"/>
      <c r="N33" s="671"/>
      <c r="O33" s="341"/>
      <c r="P33" s="375"/>
    </row>
    <row r="34" spans="3:16" s="90" customFormat="1" ht="14.25" hidden="1" customHeight="1" x14ac:dyDescent="0.25">
      <c r="C34" s="361" t="s">
        <v>340</v>
      </c>
      <c r="D34" s="362" t="s">
        <v>342</v>
      </c>
      <c r="E34" s="203"/>
      <c r="F34" s="210"/>
      <c r="G34" s="567"/>
      <c r="H34" s="557"/>
      <c r="I34" s="207"/>
      <c r="J34" s="207"/>
      <c r="K34" s="209"/>
      <c r="L34" s="209"/>
      <c r="M34" s="671"/>
      <c r="N34" s="671"/>
      <c r="O34" s="341"/>
      <c r="P34" s="375"/>
    </row>
    <row r="35" spans="3:16" s="90" customFormat="1" ht="14.25" hidden="1" customHeight="1" x14ac:dyDescent="0.25">
      <c r="C35" s="361" t="s">
        <v>340</v>
      </c>
      <c r="D35" s="362" t="s">
        <v>342</v>
      </c>
      <c r="E35" s="203"/>
      <c r="F35" s="210"/>
      <c r="G35" s="567"/>
      <c r="H35" s="557"/>
      <c r="I35" s="207"/>
      <c r="J35" s="207"/>
      <c r="K35" s="209"/>
      <c r="L35" s="209"/>
      <c r="M35" s="671"/>
      <c r="N35" s="671"/>
      <c r="O35" s="341"/>
      <c r="P35" s="375"/>
    </row>
    <row r="36" spans="3:16" s="90" customFormat="1" ht="14.25" hidden="1" customHeight="1" x14ac:dyDescent="0.25">
      <c r="C36" s="361" t="s">
        <v>340</v>
      </c>
      <c r="D36" s="362" t="s">
        <v>342</v>
      </c>
      <c r="E36" s="203"/>
      <c r="F36" s="210"/>
      <c r="G36" s="205"/>
      <c r="H36" s="211"/>
      <c r="I36" s="207"/>
      <c r="J36" s="207"/>
      <c r="K36" s="209"/>
      <c r="L36" s="209"/>
      <c r="M36" s="671"/>
      <c r="N36" s="671"/>
      <c r="O36" s="341"/>
      <c r="P36" s="375"/>
    </row>
    <row r="37" spans="3:16" s="90" customFormat="1" ht="14.25" hidden="1" customHeight="1" x14ac:dyDescent="0.25">
      <c r="C37" s="361" t="s">
        <v>340</v>
      </c>
      <c r="D37" s="362" t="s">
        <v>342</v>
      </c>
      <c r="E37" s="203"/>
      <c r="F37" s="210"/>
      <c r="G37" s="205"/>
      <c r="H37" s="211"/>
      <c r="I37" s="207"/>
      <c r="J37" s="207"/>
      <c r="K37" s="209"/>
      <c r="L37" s="209"/>
      <c r="M37" s="671"/>
      <c r="N37" s="671"/>
      <c r="O37" s="341"/>
      <c r="P37" s="375"/>
    </row>
    <row r="38" spans="3:16" s="90" customFormat="1" ht="14.25" hidden="1" customHeight="1" x14ac:dyDescent="0.25">
      <c r="C38" s="361" t="s">
        <v>340</v>
      </c>
      <c r="D38" s="362" t="s">
        <v>342</v>
      </c>
      <c r="E38" s="203"/>
      <c r="F38" s="210"/>
      <c r="G38" s="205"/>
      <c r="H38" s="211"/>
      <c r="I38" s="207"/>
      <c r="J38" s="207"/>
      <c r="K38" s="209"/>
      <c r="L38" s="209"/>
      <c r="M38" s="671"/>
      <c r="N38" s="671"/>
      <c r="O38" s="341"/>
      <c r="P38" s="375"/>
    </row>
    <row r="39" spans="3:16" s="90" customFormat="1" ht="14.85" hidden="1" customHeight="1" x14ac:dyDescent="0.25">
      <c r="C39" s="361" t="s">
        <v>340</v>
      </c>
      <c r="D39" s="362" t="s">
        <v>342</v>
      </c>
      <c r="E39" s="203"/>
      <c r="F39" s="210"/>
      <c r="G39" s="205"/>
      <c r="H39" s="211"/>
      <c r="I39" s="209"/>
      <c r="J39" s="209"/>
      <c r="K39" s="209"/>
      <c r="L39" s="209"/>
      <c r="M39" s="671"/>
      <c r="N39" s="671"/>
      <c r="O39" s="341"/>
      <c r="P39" s="375"/>
    </row>
    <row r="40" spans="3:16" s="90" customFormat="1" ht="16.5" hidden="1" customHeight="1" thickBot="1" x14ac:dyDescent="0.3">
      <c r="C40" s="361" t="s">
        <v>340</v>
      </c>
      <c r="D40" s="362" t="s">
        <v>342</v>
      </c>
      <c r="E40" s="203"/>
      <c r="F40" s="210"/>
      <c r="G40" s="205"/>
      <c r="H40" s="211"/>
      <c r="I40" s="212"/>
      <c r="J40" s="212"/>
      <c r="K40" s="212"/>
      <c r="L40" s="212"/>
      <c r="M40" s="672"/>
      <c r="N40" s="672"/>
      <c r="O40" s="341"/>
      <c r="P40" s="375"/>
    </row>
    <row r="41" spans="3:16" s="90" customFormat="1" ht="16.5" hidden="1" customHeight="1" thickBot="1" x14ac:dyDescent="0.3">
      <c r="C41" s="682" t="s">
        <v>243</v>
      </c>
      <c r="D41" s="683"/>
      <c r="E41" s="213"/>
      <c r="F41" s="679"/>
      <c r="G41" s="680"/>
      <c r="H41" s="680"/>
      <c r="I41" s="680"/>
      <c r="J41" s="680"/>
      <c r="K41" s="680"/>
      <c r="L41" s="680"/>
      <c r="M41" s="680"/>
      <c r="N41" s="680"/>
      <c r="O41" s="681"/>
      <c r="P41" s="375"/>
    </row>
    <row r="42" spans="3:16" s="90" customFormat="1" ht="16.5" thickBot="1" x14ac:dyDescent="0.3">
      <c r="C42" s="682"/>
      <c r="D42" s="683"/>
      <c r="E42" s="214">
        <f>SUM(E31:E40)</f>
        <v>0</v>
      </c>
      <c r="F42" s="214"/>
      <c r="G42" s="215">
        <f>SUM(G31:G40)</f>
        <v>1066.8</v>
      </c>
      <c r="H42" s="279">
        <f>SUM(H31:H40)</f>
        <v>2</v>
      </c>
      <c r="I42" s="279">
        <f>SUM(I31:I40)</f>
        <v>0</v>
      </c>
      <c r="J42" s="279">
        <f>SUM(J31:J40)</f>
        <v>0</v>
      </c>
      <c r="K42" s="214">
        <f t="shared" ref="K42" si="2">SUM(K31:K40)</f>
        <v>0</v>
      </c>
      <c r="L42" s="279">
        <f>SUM(L31:L40)</f>
        <v>0</v>
      </c>
      <c r="M42" s="214">
        <f>SUM(M31:M40)</f>
        <v>0</v>
      </c>
      <c r="N42" s="214">
        <f>SUM(N31:N40)</f>
        <v>0</v>
      </c>
      <c r="O42" s="302"/>
      <c r="P42" s="375"/>
    </row>
    <row r="43" spans="3:16" s="90" customFormat="1" ht="14.25" customHeight="1" x14ac:dyDescent="0.25">
      <c r="C43" s="359" t="s">
        <v>343</v>
      </c>
      <c r="D43" s="360" t="s">
        <v>344</v>
      </c>
      <c r="E43" s="197"/>
      <c r="F43" s="204">
        <v>46238</v>
      </c>
      <c r="G43" s="567">
        <v>846</v>
      </c>
      <c r="H43" s="553">
        <v>1</v>
      </c>
      <c r="I43" s="207"/>
      <c r="J43" s="207"/>
      <c r="K43" s="201"/>
      <c r="L43" s="207"/>
      <c r="M43" s="670"/>
      <c r="N43" s="670"/>
      <c r="O43" s="340"/>
      <c r="P43" s="375"/>
    </row>
    <row r="44" spans="3:16" s="90" customFormat="1" ht="14.25" customHeight="1" thickBot="1" x14ac:dyDescent="0.3">
      <c r="C44" s="361" t="s">
        <v>343</v>
      </c>
      <c r="D44" s="362" t="s">
        <v>345</v>
      </c>
      <c r="E44" s="203"/>
      <c r="F44" s="204">
        <v>46230</v>
      </c>
      <c r="G44" s="567">
        <v>0</v>
      </c>
      <c r="H44" s="553">
        <v>1</v>
      </c>
      <c r="I44" s="207"/>
      <c r="J44" s="207"/>
      <c r="K44" s="207"/>
      <c r="L44" s="207"/>
      <c r="M44" s="671"/>
      <c r="N44" s="671"/>
      <c r="O44" s="341"/>
      <c r="P44" s="375"/>
    </row>
    <row r="45" spans="3:16" s="90" customFormat="1" ht="14.25" hidden="1" customHeight="1" x14ac:dyDescent="0.25">
      <c r="C45" s="361" t="s">
        <v>343</v>
      </c>
      <c r="D45" s="362" t="s">
        <v>345</v>
      </c>
      <c r="E45" s="203"/>
      <c r="F45" s="204"/>
      <c r="G45" s="567"/>
      <c r="H45" s="553"/>
      <c r="I45" s="207"/>
      <c r="J45" s="207"/>
      <c r="K45" s="209"/>
      <c r="L45" s="207"/>
      <c r="M45" s="671"/>
      <c r="N45" s="671"/>
      <c r="O45" s="341"/>
      <c r="P45" s="375"/>
    </row>
    <row r="46" spans="3:16" s="90" customFormat="1" ht="14.25" hidden="1" customHeight="1" x14ac:dyDescent="0.25">
      <c r="C46" s="361" t="s">
        <v>343</v>
      </c>
      <c r="D46" s="362" t="s">
        <v>345</v>
      </c>
      <c r="E46" s="203"/>
      <c r="F46" s="204"/>
      <c r="G46" s="567"/>
      <c r="H46" s="553"/>
      <c r="I46" s="209"/>
      <c r="J46" s="209"/>
      <c r="K46" s="209"/>
      <c r="L46" s="209"/>
      <c r="M46" s="671"/>
      <c r="N46" s="671"/>
      <c r="O46" s="341"/>
      <c r="P46" s="375"/>
    </row>
    <row r="47" spans="3:16" s="90" customFormat="1" ht="14.25" hidden="1" customHeight="1" x14ac:dyDescent="0.25">
      <c r="C47" s="361" t="s">
        <v>343</v>
      </c>
      <c r="D47" s="362" t="s">
        <v>345</v>
      </c>
      <c r="E47" s="203"/>
      <c r="F47" s="210"/>
      <c r="G47" s="567"/>
      <c r="H47" s="557"/>
      <c r="I47" s="209"/>
      <c r="J47" s="209"/>
      <c r="K47" s="209"/>
      <c r="L47" s="209"/>
      <c r="M47" s="671"/>
      <c r="N47" s="671"/>
      <c r="O47" s="341"/>
      <c r="P47" s="375"/>
    </row>
    <row r="48" spans="3:16" s="90" customFormat="1" ht="14.25" hidden="1" customHeight="1" x14ac:dyDescent="0.25">
      <c r="C48" s="361" t="s">
        <v>343</v>
      </c>
      <c r="D48" s="362" t="s">
        <v>345</v>
      </c>
      <c r="E48" s="203"/>
      <c r="F48" s="210"/>
      <c r="G48" s="205"/>
      <c r="H48" s="211"/>
      <c r="I48" s="209"/>
      <c r="J48" s="209"/>
      <c r="K48" s="209"/>
      <c r="L48" s="209"/>
      <c r="M48" s="671"/>
      <c r="N48" s="671"/>
      <c r="O48" s="341"/>
      <c r="P48" s="375"/>
    </row>
    <row r="49" spans="3:16" s="90" customFormat="1" ht="14.25" hidden="1" customHeight="1" x14ac:dyDescent="0.25">
      <c r="C49" s="361" t="s">
        <v>343</v>
      </c>
      <c r="D49" s="362" t="s">
        <v>345</v>
      </c>
      <c r="E49" s="203"/>
      <c r="F49" s="210"/>
      <c r="G49" s="205"/>
      <c r="H49" s="211"/>
      <c r="I49" s="209"/>
      <c r="J49" s="209"/>
      <c r="K49" s="209"/>
      <c r="L49" s="209"/>
      <c r="M49" s="671"/>
      <c r="N49" s="671"/>
      <c r="O49" s="341"/>
      <c r="P49" s="375"/>
    </row>
    <row r="50" spans="3:16" s="90" customFormat="1" ht="15.75" hidden="1" customHeight="1" x14ac:dyDescent="0.25">
      <c r="C50" s="361" t="s">
        <v>343</v>
      </c>
      <c r="D50" s="362" t="s">
        <v>345</v>
      </c>
      <c r="E50" s="203"/>
      <c r="F50" s="210"/>
      <c r="G50" s="205"/>
      <c r="H50" s="211"/>
      <c r="I50" s="209"/>
      <c r="J50" s="209"/>
      <c r="K50" s="209"/>
      <c r="L50" s="209"/>
      <c r="M50" s="671"/>
      <c r="N50" s="671"/>
      <c r="O50" s="341"/>
      <c r="P50" s="375"/>
    </row>
    <row r="51" spans="3:16" s="90" customFormat="1" ht="15.75" hidden="1" customHeight="1" x14ac:dyDescent="0.25">
      <c r="C51" s="361" t="s">
        <v>343</v>
      </c>
      <c r="D51" s="362" t="s">
        <v>345</v>
      </c>
      <c r="E51" s="203"/>
      <c r="F51" s="210"/>
      <c r="G51" s="205"/>
      <c r="H51" s="211"/>
      <c r="I51" s="212"/>
      <c r="J51" s="212"/>
      <c r="K51" s="212"/>
      <c r="L51" s="212"/>
      <c r="M51" s="671"/>
      <c r="N51" s="671"/>
      <c r="O51" s="341"/>
      <c r="P51" s="375"/>
    </row>
    <row r="52" spans="3:16" s="90" customFormat="1" ht="16.5" hidden="1" customHeight="1" thickBot="1" x14ac:dyDescent="0.3">
      <c r="C52" s="361" t="s">
        <v>343</v>
      </c>
      <c r="D52" s="362" t="s">
        <v>345</v>
      </c>
      <c r="E52" s="203"/>
      <c r="F52" s="210"/>
      <c r="G52" s="205"/>
      <c r="H52" s="211"/>
      <c r="I52" s="212"/>
      <c r="J52" s="212"/>
      <c r="K52" s="212"/>
      <c r="L52" s="212"/>
      <c r="M52" s="672"/>
      <c r="N52" s="672"/>
      <c r="O52" s="341"/>
      <c r="P52" s="375"/>
    </row>
    <row r="53" spans="3:16" s="90" customFormat="1" ht="16.5" hidden="1" customHeight="1" thickBot="1" x14ac:dyDescent="0.3">
      <c r="C53" s="682" t="s">
        <v>243</v>
      </c>
      <c r="D53" s="683"/>
      <c r="E53" s="213"/>
      <c r="F53" s="679"/>
      <c r="G53" s="680"/>
      <c r="H53" s="680"/>
      <c r="I53" s="680"/>
      <c r="J53" s="680"/>
      <c r="K53" s="680"/>
      <c r="L53" s="680"/>
      <c r="M53" s="680"/>
      <c r="N53" s="680"/>
      <c r="O53" s="681"/>
      <c r="P53" s="375"/>
    </row>
    <row r="54" spans="3:16" s="90" customFormat="1" ht="16.5" thickBot="1" x14ac:dyDescent="0.3">
      <c r="C54" s="682"/>
      <c r="D54" s="683"/>
      <c r="E54" s="214">
        <f>SUM(E43:E52)</f>
        <v>0</v>
      </c>
      <c r="F54" s="214"/>
      <c r="G54" s="215">
        <f>SUM(G43:G52)</f>
        <v>846</v>
      </c>
      <c r="H54" s="279">
        <f>SUM(H43:H52)</f>
        <v>2</v>
      </c>
      <c r="I54" s="279">
        <f>SUM(I43:I52)</f>
        <v>0</v>
      </c>
      <c r="J54" s="279">
        <f>SUM(J43:J52)</f>
        <v>0</v>
      </c>
      <c r="K54" s="214">
        <f t="shared" ref="K54" si="3">SUM(K43:K52)</f>
        <v>0</v>
      </c>
      <c r="L54" s="279">
        <f>SUM(L43:L52)</f>
        <v>0</v>
      </c>
      <c r="M54" s="214">
        <f>SUM(M43:M52)</f>
        <v>0</v>
      </c>
      <c r="N54" s="214">
        <f>SUM(N43:N52)</f>
        <v>0</v>
      </c>
      <c r="O54" s="302"/>
      <c r="P54" s="375"/>
    </row>
    <row r="55" spans="3:16" s="90" customFormat="1" ht="15.75" hidden="1" x14ac:dyDescent="0.25">
      <c r="C55" s="360" t="s">
        <v>346</v>
      </c>
      <c r="D55" s="360" t="s">
        <v>347</v>
      </c>
      <c r="E55" s="203"/>
      <c r="F55" s="198"/>
      <c r="G55" s="566"/>
      <c r="H55" s="556"/>
      <c r="I55" s="201"/>
      <c r="J55" s="207"/>
      <c r="K55" s="201"/>
      <c r="L55" s="207"/>
      <c r="M55" s="670"/>
      <c r="N55" s="670"/>
      <c r="O55" s="340"/>
      <c r="P55" s="375"/>
    </row>
    <row r="56" spans="3:16" s="90" customFormat="1" ht="14.25" hidden="1" customHeight="1" x14ac:dyDescent="0.25">
      <c r="C56" s="362" t="s">
        <v>346</v>
      </c>
      <c r="D56" s="362" t="s">
        <v>348</v>
      </c>
      <c r="E56" s="203"/>
      <c r="F56" s="204"/>
      <c r="G56" s="567"/>
      <c r="H56" s="553"/>
      <c r="I56" s="207"/>
      <c r="J56" s="207"/>
      <c r="K56" s="207"/>
      <c r="L56" s="207"/>
      <c r="M56" s="671"/>
      <c r="N56" s="671"/>
      <c r="O56" s="341"/>
      <c r="P56" s="375"/>
    </row>
    <row r="57" spans="3:16" s="90" customFormat="1" ht="14.25" hidden="1" customHeight="1" x14ac:dyDescent="0.25">
      <c r="C57" s="362" t="s">
        <v>346</v>
      </c>
      <c r="D57" s="362" t="s">
        <v>348</v>
      </c>
      <c r="E57" s="203"/>
      <c r="F57" s="204"/>
      <c r="G57" s="567"/>
      <c r="H57" s="553"/>
      <c r="I57" s="207"/>
      <c r="J57" s="207"/>
      <c r="K57" s="207"/>
      <c r="L57" s="207"/>
      <c r="M57" s="671"/>
      <c r="N57" s="671"/>
      <c r="O57" s="341"/>
      <c r="P57" s="375"/>
    </row>
    <row r="58" spans="3:16" s="90" customFormat="1" ht="14.25" hidden="1" customHeight="1" x14ac:dyDescent="0.25">
      <c r="C58" s="362" t="s">
        <v>346</v>
      </c>
      <c r="D58" s="362" t="s">
        <v>348</v>
      </c>
      <c r="E58" s="203"/>
      <c r="F58" s="204"/>
      <c r="G58" s="567"/>
      <c r="H58" s="553"/>
      <c r="I58" s="209"/>
      <c r="J58" s="209"/>
      <c r="K58" s="209"/>
      <c r="L58" s="209"/>
      <c r="M58" s="671"/>
      <c r="N58" s="671"/>
      <c r="O58" s="341"/>
      <c r="P58" s="375"/>
    </row>
    <row r="59" spans="3:16" s="90" customFormat="1" ht="13.5" hidden="1" customHeight="1" x14ac:dyDescent="0.25">
      <c r="C59" s="362" t="s">
        <v>346</v>
      </c>
      <c r="D59" s="362" t="s">
        <v>348</v>
      </c>
      <c r="E59" s="203"/>
      <c r="F59" s="580"/>
      <c r="G59" s="567"/>
      <c r="H59" s="553"/>
      <c r="I59" s="209"/>
      <c r="J59" s="209"/>
      <c r="K59" s="209"/>
      <c r="L59" s="209"/>
      <c r="M59" s="671"/>
      <c r="N59" s="671"/>
      <c r="O59" s="341"/>
      <c r="P59" s="375"/>
    </row>
    <row r="60" spans="3:16" s="90" customFormat="1" ht="13.5" hidden="1" customHeight="1" x14ac:dyDescent="0.25">
      <c r="C60" s="362" t="s">
        <v>346</v>
      </c>
      <c r="D60" s="362" t="s">
        <v>348</v>
      </c>
      <c r="E60" s="203"/>
      <c r="F60" s="210"/>
      <c r="G60" s="205"/>
      <c r="H60" s="211"/>
      <c r="I60" s="209"/>
      <c r="J60" s="209"/>
      <c r="K60" s="209"/>
      <c r="L60" s="209"/>
      <c r="M60" s="671"/>
      <c r="N60" s="671"/>
      <c r="O60" s="341"/>
      <c r="P60" s="375"/>
    </row>
    <row r="61" spans="3:16" s="90" customFormat="1" ht="13.5" hidden="1" customHeight="1" x14ac:dyDescent="0.25">
      <c r="C61" s="362" t="s">
        <v>346</v>
      </c>
      <c r="D61" s="362" t="s">
        <v>348</v>
      </c>
      <c r="E61" s="203"/>
      <c r="F61" s="210"/>
      <c r="G61" s="205"/>
      <c r="H61" s="211"/>
      <c r="I61" s="209"/>
      <c r="J61" s="209"/>
      <c r="K61" s="209"/>
      <c r="L61" s="209"/>
      <c r="M61" s="671"/>
      <c r="N61" s="671"/>
      <c r="O61" s="341"/>
      <c r="P61" s="375"/>
    </row>
    <row r="62" spans="3:16" s="90" customFormat="1" ht="15.75" hidden="1" customHeight="1" x14ac:dyDescent="0.25">
      <c r="C62" s="362" t="s">
        <v>346</v>
      </c>
      <c r="D62" s="362" t="s">
        <v>348</v>
      </c>
      <c r="E62" s="203"/>
      <c r="F62" s="210"/>
      <c r="G62" s="205"/>
      <c r="H62" s="211"/>
      <c r="I62" s="209"/>
      <c r="J62" s="209"/>
      <c r="K62" s="209"/>
      <c r="L62" s="209"/>
      <c r="M62" s="671"/>
      <c r="N62" s="671"/>
      <c r="O62" s="341"/>
      <c r="P62" s="375"/>
    </row>
    <row r="63" spans="3:16" s="90" customFormat="1" ht="15.75" hidden="1" customHeight="1" x14ac:dyDescent="0.25">
      <c r="C63" s="362" t="s">
        <v>346</v>
      </c>
      <c r="D63" s="362" t="s">
        <v>348</v>
      </c>
      <c r="E63" s="203"/>
      <c r="F63" s="210"/>
      <c r="G63" s="205"/>
      <c r="H63" s="211"/>
      <c r="I63" s="209"/>
      <c r="J63" s="209"/>
      <c r="K63" s="209"/>
      <c r="L63" s="209"/>
      <c r="M63" s="671"/>
      <c r="N63" s="671"/>
      <c r="O63" s="341"/>
      <c r="P63" s="375"/>
    </row>
    <row r="64" spans="3:16" s="90" customFormat="1" ht="16.5" hidden="1" customHeight="1" thickBot="1" x14ac:dyDescent="0.3">
      <c r="C64" s="362" t="s">
        <v>346</v>
      </c>
      <c r="D64" s="362" t="s">
        <v>348</v>
      </c>
      <c r="E64" s="203"/>
      <c r="F64" s="210"/>
      <c r="G64" s="205"/>
      <c r="H64" s="211"/>
      <c r="I64" s="212"/>
      <c r="J64" s="212"/>
      <c r="K64" s="212"/>
      <c r="L64" s="212"/>
      <c r="M64" s="672"/>
      <c r="N64" s="672"/>
      <c r="O64" s="341"/>
      <c r="P64" s="375"/>
    </row>
    <row r="65" spans="3:18" s="90" customFormat="1" ht="16.5" hidden="1" customHeight="1" thickBot="1" x14ac:dyDescent="0.3">
      <c r="C65" s="682" t="s">
        <v>243</v>
      </c>
      <c r="D65" s="683"/>
      <c r="E65" s="213"/>
      <c r="F65" s="679"/>
      <c r="G65" s="680"/>
      <c r="H65" s="680"/>
      <c r="I65" s="680"/>
      <c r="J65" s="680"/>
      <c r="K65" s="680"/>
      <c r="L65" s="680"/>
      <c r="M65" s="680"/>
      <c r="N65" s="680"/>
      <c r="O65" s="681"/>
      <c r="P65" s="375"/>
    </row>
    <row r="66" spans="3:18" s="90" customFormat="1" ht="14.85" customHeight="1" thickBot="1" x14ac:dyDescent="0.3">
      <c r="C66" s="682"/>
      <c r="D66" s="683"/>
      <c r="E66" s="214">
        <f>SUM(E55:E64)</f>
        <v>0</v>
      </c>
      <c r="F66" s="214"/>
      <c r="G66" s="215">
        <f>SUM(G55:G64)</f>
        <v>0</v>
      </c>
      <c r="H66" s="279">
        <f>SUM(H55:H64)</f>
        <v>0</v>
      </c>
      <c r="I66" s="279">
        <f>SUM(I55:I64)</f>
        <v>0</v>
      </c>
      <c r="J66" s="279">
        <f>SUM(J55:J64)</f>
        <v>0</v>
      </c>
      <c r="K66" s="214">
        <f t="shared" ref="K66" si="4">SUM(K55:K64)</f>
        <v>0</v>
      </c>
      <c r="L66" s="279">
        <f>SUM(L55:L64)</f>
        <v>0</v>
      </c>
      <c r="M66" s="214">
        <f>SUM(M55:M64)</f>
        <v>0</v>
      </c>
      <c r="N66" s="214">
        <f>SUM(N55:N64)</f>
        <v>0</v>
      </c>
      <c r="O66" s="302"/>
      <c r="P66" s="375"/>
    </row>
    <row r="67" spans="3:18" s="90" customFormat="1" ht="14.25" customHeight="1" thickBot="1" x14ac:dyDescent="0.3">
      <c r="C67" s="359" t="s">
        <v>349</v>
      </c>
      <c r="D67" s="360" t="s">
        <v>350</v>
      </c>
      <c r="E67" s="197"/>
      <c r="F67" s="204">
        <v>46238</v>
      </c>
      <c r="G67" s="567">
        <v>767</v>
      </c>
      <c r="H67" s="553">
        <v>1</v>
      </c>
      <c r="I67" s="207"/>
      <c r="J67" s="207"/>
      <c r="K67" s="201"/>
      <c r="L67" s="207"/>
      <c r="M67" s="670"/>
      <c r="N67" s="670"/>
      <c r="O67" s="340"/>
      <c r="P67" s="375"/>
      <c r="R67" s="90" t="s">
        <v>351</v>
      </c>
    </row>
    <row r="68" spans="3:18" s="90" customFormat="1" ht="14.25" hidden="1" customHeight="1" x14ac:dyDescent="0.25">
      <c r="C68" s="361" t="s">
        <v>349</v>
      </c>
      <c r="D68" s="362" t="s">
        <v>352</v>
      </c>
      <c r="E68" s="203"/>
      <c r="F68" s="204"/>
      <c r="G68" s="567"/>
      <c r="H68" s="553"/>
      <c r="I68" s="207"/>
      <c r="J68" s="207"/>
      <c r="K68" s="207"/>
      <c r="L68" s="207"/>
      <c r="M68" s="671"/>
      <c r="N68" s="671"/>
      <c r="O68" s="341"/>
      <c r="P68" s="375"/>
    </row>
    <row r="69" spans="3:18" s="90" customFormat="1" ht="14.25" hidden="1" customHeight="1" x14ac:dyDescent="0.25">
      <c r="C69" s="361" t="s">
        <v>349</v>
      </c>
      <c r="D69" s="362" t="s">
        <v>352</v>
      </c>
      <c r="E69" s="203"/>
      <c r="F69" s="204"/>
      <c r="G69" s="567"/>
      <c r="H69" s="553"/>
      <c r="I69" s="207"/>
      <c r="J69" s="207"/>
      <c r="K69" s="207"/>
      <c r="L69" s="207"/>
      <c r="M69" s="671"/>
      <c r="N69" s="671"/>
      <c r="O69" s="341"/>
      <c r="P69" s="375"/>
    </row>
    <row r="70" spans="3:18" s="90" customFormat="1" ht="14.25" hidden="1" customHeight="1" x14ac:dyDescent="0.25">
      <c r="C70" s="361" t="s">
        <v>349</v>
      </c>
      <c r="D70" s="362" t="s">
        <v>352</v>
      </c>
      <c r="E70" s="203"/>
      <c r="F70" s="204"/>
      <c r="G70" s="567"/>
      <c r="H70" s="553"/>
      <c r="I70" s="207"/>
      <c r="J70" s="207"/>
      <c r="K70" s="207"/>
      <c r="L70" s="207"/>
      <c r="M70" s="671"/>
      <c r="N70" s="671"/>
      <c r="O70" s="341"/>
      <c r="P70" s="375"/>
    </row>
    <row r="71" spans="3:18" s="90" customFormat="1" ht="14.25" hidden="1" customHeight="1" x14ac:dyDescent="0.25">
      <c r="C71" s="361" t="s">
        <v>349</v>
      </c>
      <c r="D71" s="362" t="s">
        <v>352</v>
      </c>
      <c r="E71" s="203"/>
      <c r="F71" s="204"/>
      <c r="G71" s="567"/>
      <c r="H71" s="553"/>
      <c r="I71" s="207"/>
      <c r="J71" s="207"/>
      <c r="K71" s="207"/>
      <c r="L71" s="207"/>
      <c r="M71" s="671"/>
      <c r="N71" s="671"/>
      <c r="O71" s="341"/>
      <c r="P71" s="375"/>
    </row>
    <row r="72" spans="3:18" s="90" customFormat="1" ht="14.25" hidden="1" customHeight="1" x14ac:dyDescent="0.25">
      <c r="C72" s="361" t="s">
        <v>349</v>
      </c>
      <c r="D72" s="362" t="s">
        <v>352</v>
      </c>
      <c r="E72" s="203"/>
      <c r="F72" s="204"/>
      <c r="G72" s="205"/>
      <c r="H72" s="206"/>
      <c r="I72" s="209"/>
      <c r="J72" s="209"/>
      <c r="K72" s="209"/>
      <c r="L72" s="209"/>
      <c r="M72" s="671"/>
      <c r="N72" s="671"/>
      <c r="O72" s="341"/>
      <c r="P72" s="375"/>
    </row>
    <row r="73" spans="3:18" s="90" customFormat="1" ht="13.5" hidden="1" customHeight="1" x14ac:dyDescent="0.25">
      <c r="C73" s="361" t="s">
        <v>349</v>
      </c>
      <c r="D73" s="362" t="s">
        <v>352</v>
      </c>
      <c r="E73" s="203"/>
      <c r="F73" s="204"/>
      <c r="G73" s="205"/>
      <c r="H73" s="206"/>
      <c r="I73" s="209"/>
      <c r="J73" s="209"/>
      <c r="K73" s="209"/>
      <c r="L73" s="209"/>
      <c r="M73" s="671"/>
      <c r="N73" s="671"/>
      <c r="O73" s="341"/>
      <c r="P73" s="375"/>
    </row>
    <row r="74" spans="3:18" s="90" customFormat="1" ht="15.75" hidden="1" customHeight="1" x14ac:dyDescent="0.25">
      <c r="C74" s="361" t="s">
        <v>349</v>
      </c>
      <c r="D74" s="362" t="s">
        <v>352</v>
      </c>
      <c r="E74" s="203"/>
      <c r="F74" s="210"/>
      <c r="G74" s="205"/>
      <c r="H74" s="211"/>
      <c r="I74" s="209"/>
      <c r="J74" s="209"/>
      <c r="K74" s="209"/>
      <c r="L74" s="209"/>
      <c r="M74" s="671"/>
      <c r="N74" s="671"/>
      <c r="O74" s="341"/>
      <c r="P74" s="375"/>
    </row>
    <row r="75" spans="3:18" s="90" customFormat="1" ht="15.75" hidden="1" customHeight="1" x14ac:dyDescent="0.25">
      <c r="C75" s="361" t="s">
        <v>349</v>
      </c>
      <c r="D75" s="362" t="s">
        <v>352</v>
      </c>
      <c r="E75" s="203"/>
      <c r="F75" s="210"/>
      <c r="G75" s="205"/>
      <c r="H75" s="211"/>
      <c r="I75" s="209"/>
      <c r="J75" s="209"/>
      <c r="K75" s="209"/>
      <c r="L75" s="209"/>
      <c r="M75" s="671"/>
      <c r="N75" s="671"/>
      <c r="O75" s="341"/>
      <c r="P75" s="375"/>
    </row>
    <row r="76" spans="3:18" s="90" customFormat="1" ht="16.5" hidden="1" customHeight="1" thickBot="1" x14ac:dyDescent="0.3">
      <c r="C76" s="361" t="s">
        <v>349</v>
      </c>
      <c r="D76" s="362" t="s">
        <v>352</v>
      </c>
      <c r="E76" s="203"/>
      <c r="F76" s="210"/>
      <c r="G76" s="205"/>
      <c r="H76" s="211"/>
      <c r="I76" s="212"/>
      <c r="J76" s="212"/>
      <c r="K76" s="212"/>
      <c r="L76" s="212"/>
      <c r="M76" s="672"/>
      <c r="N76" s="672"/>
      <c r="O76" s="341"/>
      <c r="P76" s="375"/>
    </row>
    <row r="77" spans="3:18" s="90" customFormat="1" ht="16.5" hidden="1" customHeight="1" thickBot="1" x14ac:dyDescent="0.3">
      <c r="C77" s="682" t="s">
        <v>243</v>
      </c>
      <c r="D77" s="683"/>
      <c r="E77" s="213"/>
      <c r="F77" s="679"/>
      <c r="G77" s="680"/>
      <c r="H77" s="680"/>
      <c r="I77" s="680"/>
      <c r="J77" s="680"/>
      <c r="K77" s="680"/>
      <c r="L77" s="680"/>
      <c r="M77" s="680"/>
      <c r="N77" s="680"/>
      <c r="O77" s="681"/>
      <c r="P77" s="375"/>
    </row>
    <row r="78" spans="3:18" s="90" customFormat="1" ht="16.5" thickBot="1" x14ac:dyDescent="0.3">
      <c r="C78" s="682"/>
      <c r="D78" s="683"/>
      <c r="E78" s="214">
        <f>SUM(E67:E76)</f>
        <v>0</v>
      </c>
      <c r="F78" s="214"/>
      <c r="G78" s="215">
        <f>SUM(G67:G76)</f>
        <v>767</v>
      </c>
      <c r="H78" s="279">
        <f>SUM(H67:H76)</f>
        <v>1</v>
      </c>
      <c r="I78" s="279">
        <f>SUM(I67:I76)</f>
        <v>0</v>
      </c>
      <c r="J78" s="279">
        <f>SUM(J67:J76)</f>
        <v>0</v>
      </c>
      <c r="K78" s="214">
        <f t="shared" ref="K78" si="5">SUM(K67:K76)</f>
        <v>0</v>
      </c>
      <c r="L78" s="279">
        <f>SUM(L67:L76)</f>
        <v>0</v>
      </c>
      <c r="M78" s="214">
        <f>SUM(M67:M76)</f>
        <v>0</v>
      </c>
      <c r="N78" s="214"/>
      <c r="O78" s="302"/>
      <c r="P78" s="375"/>
    </row>
    <row r="79" spans="3:18" s="90" customFormat="1" ht="6" customHeight="1" thickBot="1" x14ac:dyDescent="0.3">
      <c r="N79" s="342"/>
    </row>
    <row r="80" spans="3:18" s="90" customFormat="1" ht="14.85" customHeight="1" thickBot="1" x14ac:dyDescent="0.3">
      <c r="C80" s="682" t="s">
        <v>251</v>
      </c>
      <c r="D80" s="683"/>
      <c r="E80" s="214">
        <f>E78+E66+E54+E42+E30+E18</f>
        <v>0</v>
      </c>
      <c r="F80" s="214"/>
      <c r="G80" s="215">
        <f>G78+G66+G54+G42+G30+G18</f>
        <v>4599.3999999999996</v>
      </c>
      <c r="H80" s="279">
        <f>H78+H66+H54+H42+H30+H18</f>
        <v>12</v>
      </c>
      <c r="I80" s="279">
        <f t="shared" ref="I80:M80" si="6">I78+I66+I54+I42+I30+I18</f>
        <v>0</v>
      </c>
      <c r="J80" s="279">
        <f t="shared" si="6"/>
        <v>0</v>
      </c>
      <c r="K80" s="214">
        <f t="shared" si="6"/>
        <v>0</v>
      </c>
      <c r="L80" s="279">
        <f t="shared" si="6"/>
        <v>0</v>
      </c>
      <c r="M80" s="214">
        <f t="shared" si="6"/>
        <v>0</v>
      </c>
      <c r="N80" s="214">
        <f>N78+N66+N54+N42+N30+N18</f>
        <v>0</v>
      </c>
      <c r="O80" s="302"/>
      <c r="P80" s="375"/>
    </row>
    <row r="81" spans="3:16" s="90" customFormat="1" ht="20.25" customHeight="1" thickBot="1" x14ac:dyDescent="0.3">
      <c r="C81" s="673" t="s">
        <v>252</v>
      </c>
      <c r="D81" s="674"/>
      <c r="E81" s="675"/>
      <c r="F81" s="676"/>
      <c r="G81" s="676"/>
      <c r="H81" s="674"/>
      <c r="I81" s="219"/>
      <c r="J81" s="219"/>
      <c r="K81" s="219"/>
      <c r="L81" s="219"/>
      <c r="M81" s="220"/>
      <c r="N81" s="221"/>
      <c r="O81" s="222"/>
      <c r="P81" s="375"/>
    </row>
    <row r="82" spans="3:16" s="90" customFormat="1" ht="14.25" customHeight="1" x14ac:dyDescent="0.25">
      <c r="C82" s="685"/>
      <c r="D82" s="686"/>
      <c r="E82" s="689"/>
      <c r="F82" s="690"/>
      <c r="G82" s="690"/>
      <c r="H82" s="691"/>
      <c r="I82" s="223"/>
      <c r="J82" s="223"/>
      <c r="K82" s="223"/>
      <c r="L82" s="685"/>
      <c r="M82" s="695"/>
      <c r="N82" s="695"/>
      <c r="O82" s="696"/>
      <c r="P82" s="375"/>
    </row>
    <row r="83" spans="3:16" ht="14.85" customHeight="1" thickBot="1" x14ac:dyDescent="0.25">
      <c r="C83" s="687"/>
      <c r="D83" s="688"/>
      <c r="E83" s="692"/>
      <c r="F83" s="693"/>
      <c r="G83" s="693"/>
      <c r="H83" s="694"/>
      <c r="I83" s="224"/>
      <c r="J83" s="224"/>
      <c r="K83" s="224"/>
      <c r="L83" s="687"/>
      <c r="M83" s="697"/>
      <c r="N83" s="697"/>
      <c r="O83" s="698"/>
      <c r="P83" s="146"/>
    </row>
    <row r="85" spans="3:16" ht="14.85" customHeight="1" x14ac:dyDescent="0.2">
      <c r="C85" s="225"/>
    </row>
    <row r="86" spans="3:16" ht="14.85" customHeight="1" x14ac:dyDescent="0.2">
      <c r="G86" s="79" t="s">
        <v>353</v>
      </c>
    </row>
    <row r="87" spans="3:16" ht="12.75" x14ac:dyDescent="0.2"/>
  </sheetData>
  <sheetProtection formatCells="0" formatColumns="0" formatRows="0" insertColumns="0" insertRows="0" insertHyperlinks="0" deleteColumns="0" deleteRows="0" sort="0" autoFilter="0" pivotTables="0"/>
  <mergeCells count="61">
    <mergeCell ref="C1:F2"/>
    <mergeCell ref="I1:J1"/>
    <mergeCell ref="K1:L1"/>
    <mergeCell ref="G2:H2"/>
    <mergeCell ref="J2:L2"/>
    <mergeCell ref="G1:H1"/>
    <mergeCell ref="J4:M4"/>
    <mergeCell ref="C3:D3"/>
    <mergeCell ref="E3:F3"/>
    <mergeCell ref="G3:H3"/>
    <mergeCell ref="J3:L3"/>
    <mergeCell ref="G4:H4"/>
    <mergeCell ref="H5:H6"/>
    <mergeCell ref="C17:D17"/>
    <mergeCell ref="F17:O17"/>
    <mergeCell ref="C18:D18"/>
    <mergeCell ref="I5:I6"/>
    <mergeCell ref="J5:J6"/>
    <mergeCell ref="K5:K6"/>
    <mergeCell ref="L5:L6"/>
    <mergeCell ref="M5:M6"/>
    <mergeCell ref="N5:N6"/>
    <mergeCell ref="C5:C6"/>
    <mergeCell ref="D5:D6"/>
    <mergeCell ref="E5:E6"/>
    <mergeCell ref="F5:F6"/>
    <mergeCell ref="G5:G6"/>
    <mergeCell ref="N31:N40"/>
    <mergeCell ref="O5:O6"/>
    <mergeCell ref="M7:M16"/>
    <mergeCell ref="N7:N16"/>
    <mergeCell ref="M19:M28"/>
    <mergeCell ref="N19:N28"/>
    <mergeCell ref="C81:D81"/>
    <mergeCell ref="E81:H81"/>
    <mergeCell ref="C82:D83"/>
    <mergeCell ref="E82:H83"/>
    <mergeCell ref="L82:O83"/>
    <mergeCell ref="C66:D66"/>
    <mergeCell ref="C80:D80"/>
    <mergeCell ref="M67:M76"/>
    <mergeCell ref="N67:N76"/>
    <mergeCell ref="C77:D77"/>
    <mergeCell ref="F77:O77"/>
    <mergeCell ref="C78:D78"/>
    <mergeCell ref="C65:D65"/>
    <mergeCell ref="F65:O65"/>
    <mergeCell ref="M55:M64"/>
    <mergeCell ref="N55:N64"/>
    <mergeCell ref="C29:D29"/>
    <mergeCell ref="F29:O29"/>
    <mergeCell ref="C30:D30"/>
    <mergeCell ref="C41:D41"/>
    <mergeCell ref="F41:O41"/>
    <mergeCell ref="C42:D42"/>
    <mergeCell ref="M43:M52"/>
    <mergeCell ref="N43:N52"/>
    <mergeCell ref="C53:D53"/>
    <mergeCell ref="F53:O53"/>
    <mergeCell ref="C54:D54"/>
    <mergeCell ref="M31:M40"/>
  </mergeCells>
  <phoneticPr fontId="33" type="noConversion"/>
  <pageMargins left="0" right="0" top="0.31496062992125984" bottom="0.31496062992125984" header="0" footer="0"/>
  <pageSetup paperSize="9" scale="83" firstPageNumber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rar_minuta_sudoeste">
                <anchor moveWithCells="1">
                  <from>
                    <xdr:col>15</xdr:col>
                    <xdr:colOff>1809750</xdr:colOff>
                    <xdr:row>0</xdr:row>
                    <xdr:rowOff>161925</xdr:rowOff>
                  </from>
                  <to>
                    <xdr:col>15</xdr:col>
                    <xdr:colOff>3038475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exibir_Linhas_SUD">
                <anchor moveWithCells="1">
                  <from>
                    <xdr:col>15</xdr:col>
                    <xdr:colOff>1819275</xdr:colOff>
                    <xdr:row>1</xdr:row>
                    <xdr:rowOff>342900</xdr:rowOff>
                  </from>
                  <to>
                    <xdr:col>15</xdr:col>
                    <xdr:colOff>3048000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cultar_Linhas_SUD">
                <anchor moveWithCells="1">
                  <from>
                    <xdr:col>15</xdr:col>
                    <xdr:colOff>1828800</xdr:colOff>
                    <xdr:row>3</xdr:row>
                    <xdr:rowOff>123825</xdr:rowOff>
                  </from>
                  <to>
                    <xdr:col>15</xdr:col>
                    <xdr:colOff>3057525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Limpar_min_SUD">
                <anchor moveWithCells="1">
                  <from>
                    <xdr:col>15</xdr:col>
                    <xdr:colOff>1819275</xdr:colOff>
                    <xdr:row>5</xdr:row>
                    <xdr:rowOff>133350</xdr:rowOff>
                  </from>
                  <to>
                    <xdr:col>15</xdr:col>
                    <xdr:colOff>3048000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8A71F-7224-48BA-AC53-477BE45E3B43}">
  <sheetPr codeName="P13">
    <tabColor rgb="FFFF0000"/>
    <pageSetUpPr autoPageBreaks="0" fitToPage="1"/>
  </sheetPr>
  <dimension ref="A1:XFC108"/>
  <sheetViews>
    <sheetView showGridLines="0" topLeftCell="C1" zoomScale="85" zoomScaleNormal="85" workbookViewId="0">
      <selection activeCell="L63" sqref="L63"/>
    </sheetView>
  </sheetViews>
  <sheetFormatPr defaultColWidth="9.140625" defaultRowHeight="14.85" customHeight="1" x14ac:dyDescent="0.2"/>
  <cols>
    <col min="1" max="1" width="9.140625" style="79" hidden="1" customWidth="1"/>
    <col min="2" max="2" width="13.5703125" style="79" hidden="1" customWidth="1"/>
    <col min="3" max="3" width="23.42578125" style="79" customWidth="1"/>
    <col min="4" max="4" width="24.85546875" style="79" customWidth="1"/>
    <col min="5" max="5" width="13" style="79" customWidth="1"/>
    <col min="6" max="6" width="15.140625" style="79" customWidth="1"/>
    <col min="7" max="7" width="10.85546875" style="79" customWidth="1"/>
    <col min="8" max="8" width="5.7109375" style="79" customWidth="1"/>
    <col min="9" max="10" width="10.5703125" style="79" customWidth="1"/>
    <col min="11" max="11" width="10.5703125" style="79" hidden="1" customWidth="1"/>
    <col min="12" max="12" width="15" style="79" customWidth="1"/>
    <col min="13" max="13" width="12.140625" style="79" customWidth="1"/>
    <col min="14" max="14" width="12.5703125" style="80" customWidth="1"/>
    <col min="15" max="15" width="13" style="79" customWidth="1"/>
    <col min="16" max="16" width="31.5703125" style="79" customWidth="1"/>
    <col min="17" max="17" width="14.5703125" style="79" customWidth="1"/>
    <col min="18" max="18" width="39.28515625" style="79" bestFit="1" customWidth="1"/>
    <col min="19" max="16384" width="9.140625" style="79"/>
  </cols>
  <sheetData>
    <row r="1" spans="3:21" ht="27.75" customHeight="1" thickBot="1" x14ac:dyDescent="0.25">
      <c r="C1" s="884" t="s">
        <v>354</v>
      </c>
      <c r="D1" s="885"/>
      <c r="E1" s="885"/>
      <c r="F1" s="885"/>
      <c r="G1" s="173" t="s">
        <v>217</v>
      </c>
      <c r="H1" s="174"/>
      <c r="I1" s="888">
        <f>G101</f>
        <v>5916.6</v>
      </c>
      <c r="J1" s="889"/>
      <c r="K1" s="882" t="s">
        <v>218</v>
      </c>
      <c r="L1" s="883"/>
      <c r="M1" s="226">
        <f>$M$101</f>
        <v>7</v>
      </c>
      <c r="N1" s="175"/>
      <c r="O1" s="176"/>
      <c r="P1" s="146"/>
      <c r="T1" s="177" t="s">
        <v>219</v>
      </c>
      <c r="U1" s="79" t="s">
        <v>355</v>
      </c>
    </row>
    <row r="2" spans="3:21" ht="28.5" customHeight="1" thickBot="1" x14ac:dyDescent="0.25">
      <c r="C2" s="886"/>
      <c r="D2" s="887"/>
      <c r="E2" s="887"/>
      <c r="F2" s="887"/>
      <c r="G2" s="863" t="s">
        <v>221</v>
      </c>
      <c r="H2" s="864"/>
      <c r="I2" s="179">
        <f>$E$101</f>
        <v>675</v>
      </c>
      <c r="J2" s="879" t="s">
        <v>291</v>
      </c>
      <c r="K2" s="880"/>
      <c r="L2" s="881"/>
      <c r="M2" s="180">
        <f>$I$101</f>
        <v>591</v>
      </c>
      <c r="N2" s="181"/>
      <c r="O2" s="182"/>
      <c r="Q2" s="183" t="s">
        <v>10</v>
      </c>
      <c r="R2" s="184" t="s">
        <v>356</v>
      </c>
      <c r="T2" s="177" t="s">
        <v>224</v>
      </c>
      <c r="U2" s="178" t="s">
        <v>357</v>
      </c>
    </row>
    <row r="3" spans="3:21" ht="28.5" customHeight="1" thickBot="1" x14ac:dyDescent="0.25">
      <c r="C3" s="716" t="s">
        <v>292</v>
      </c>
      <c r="D3" s="717"/>
      <c r="E3" s="861">
        <v>45041</v>
      </c>
      <c r="F3" s="862"/>
      <c r="G3" s="863" t="s">
        <v>227</v>
      </c>
      <c r="H3" s="864"/>
      <c r="I3" s="179">
        <f>$N$101</f>
        <v>21</v>
      </c>
      <c r="J3" s="879" t="s">
        <v>294</v>
      </c>
      <c r="K3" s="880"/>
      <c r="L3" s="880"/>
      <c r="M3" s="179">
        <f>$J$101</f>
        <v>84</v>
      </c>
      <c r="N3" s="181"/>
      <c r="O3" s="182"/>
      <c r="Q3" s="185" t="s">
        <v>16</v>
      </c>
      <c r="R3" s="186" t="str">
        <f>C1</f>
        <v>SUDOESTE</v>
      </c>
    </row>
    <row r="4" spans="3:21" ht="27" thickBot="1" x14ac:dyDescent="0.25">
      <c r="C4" s="187" t="s">
        <v>229</v>
      </c>
      <c r="D4" s="188" t="s">
        <v>358</v>
      </c>
      <c r="E4" s="189" t="s">
        <v>231</v>
      </c>
      <c r="F4" s="190" t="s">
        <v>359</v>
      </c>
      <c r="G4" s="863" t="s">
        <v>232</v>
      </c>
      <c r="H4" s="864"/>
      <c r="I4" s="179">
        <f>$L$101</f>
        <v>75</v>
      </c>
      <c r="J4" s="191" t="s">
        <v>23</v>
      </c>
      <c r="K4" s="179">
        <f>$K$101</f>
        <v>0</v>
      </c>
      <c r="L4" s="192" t="s">
        <v>233</v>
      </c>
      <c r="M4" s="179">
        <f>$K$101</f>
        <v>0</v>
      </c>
      <c r="N4" s="193"/>
      <c r="O4" s="194"/>
      <c r="P4" s="146"/>
    </row>
    <row r="5" spans="3:21" ht="14.85" customHeight="1" x14ac:dyDescent="0.2">
      <c r="C5" s="865" t="s">
        <v>17</v>
      </c>
      <c r="D5" s="865" t="s">
        <v>18</v>
      </c>
      <c r="E5" s="867" t="s">
        <v>13</v>
      </c>
      <c r="F5" s="869" t="s">
        <v>298</v>
      </c>
      <c r="G5" s="877" t="s">
        <v>299</v>
      </c>
      <c r="H5" s="875" t="s">
        <v>21</v>
      </c>
      <c r="I5" s="871" t="s">
        <v>300</v>
      </c>
      <c r="J5" s="871" t="s">
        <v>301</v>
      </c>
      <c r="K5" s="871" t="s">
        <v>8</v>
      </c>
      <c r="L5" s="871" t="s">
        <v>302</v>
      </c>
      <c r="M5" s="873" t="s">
        <v>303</v>
      </c>
      <c r="N5" s="875" t="s">
        <v>304</v>
      </c>
      <c r="O5" s="871" t="s">
        <v>239</v>
      </c>
      <c r="P5" s="146"/>
    </row>
    <row r="6" spans="3:21" ht="18" customHeight="1" thickBot="1" x14ac:dyDescent="0.25">
      <c r="C6" s="866"/>
      <c r="D6" s="866"/>
      <c r="E6" s="868"/>
      <c r="F6" s="870"/>
      <c r="G6" s="878"/>
      <c r="H6" s="876"/>
      <c r="I6" s="872"/>
      <c r="J6" s="872"/>
      <c r="K6" s="872"/>
      <c r="L6" s="872"/>
      <c r="M6" s="874"/>
      <c r="N6" s="876"/>
      <c r="O6" s="872"/>
      <c r="P6" s="146"/>
    </row>
    <row r="7" spans="3:21" ht="14.85" hidden="1" customHeight="1" x14ac:dyDescent="0.2">
      <c r="C7" s="227" t="s">
        <v>240</v>
      </c>
      <c r="D7" s="228" t="s">
        <v>241</v>
      </c>
      <c r="E7" s="197"/>
      <c r="F7" s="198"/>
      <c r="G7" s="199"/>
      <c r="H7" s="200"/>
      <c r="I7" s="201"/>
      <c r="J7" s="201"/>
      <c r="K7" s="201"/>
      <c r="L7" s="201"/>
      <c r="M7" s="670"/>
      <c r="N7" s="670"/>
      <c r="O7" s="202"/>
      <c r="P7" s="146"/>
    </row>
    <row r="8" spans="3:21" ht="14.25" hidden="1" customHeight="1" x14ac:dyDescent="0.2">
      <c r="C8" s="229" t="s">
        <v>240</v>
      </c>
      <c r="D8" s="230" t="s">
        <v>242</v>
      </c>
      <c r="E8" s="203"/>
      <c r="F8" s="204"/>
      <c r="G8" s="205"/>
      <c r="H8" s="206"/>
      <c r="I8" s="207"/>
      <c r="J8" s="207"/>
      <c r="K8" s="207"/>
      <c r="L8" s="207"/>
      <c r="M8" s="671"/>
      <c r="N8" s="671"/>
      <c r="O8" s="208"/>
      <c r="P8" s="146"/>
    </row>
    <row r="9" spans="3:21" ht="14.85" hidden="1" customHeight="1" x14ac:dyDescent="0.2">
      <c r="C9" s="229" t="s">
        <v>240</v>
      </c>
      <c r="D9" s="230" t="s">
        <v>242</v>
      </c>
      <c r="E9" s="203"/>
      <c r="F9" s="204"/>
      <c r="G9" s="205"/>
      <c r="H9" s="206"/>
      <c r="I9" s="209"/>
      <c r="J9" s="209"/>
      <c r="K9" s="209"/>
      <c r="L9" s="209"/>
      <c r="M9" s="671"/>
      <c r="N9" s="671"/>
      <c r="O9" s="208"/>
      <c r="P9" s="146"/>
    </row>
    <row r="10" spans="3:21" ht="14.85" hidden="1" customHeight="1" x14ac:dyDescent="0.2">
      <c r="C10" s="229" t="s">
        <v>240</v>
      </c>
      <c r="D10" s="230" t="s">
        <v>242</v>
      </c>
      <c r="E10" s="203"/>
      <c r="F10" s="204"/>
      <c r="G10" s="205"/>
      <c r="H10" s="206"/>
      <c r="I10" s="209"/>
      <c r="J10" s="209"/>
      <c r="K10" s="209"/>
      <c r="L10" s="209"/>
      <c r="M10" s="671"/>
      <c r="N10" s="671"/>
      <c r="O10" s="208"/>
      <c r="P10" s="146"/>
    </row>
    <row r="11" spans="3:21" ht="14.85" hidden="1" customHeight="1" x14ac:dyDescent="0.2">
      <c r="C11" s="229" t="s">
        <v>240</v>
      </c>
      <c r="D11" s="230" t="s">
        <v>242</v>
      </c>
      <c r="E11" s="203"/>
      <c r="F11" s="210"/>
      <c r="G11" s="205"/>
      <c r="H11" s="211"/>
      <c r="I11" s="209"/>
      <c r="J11" s="209"/>
      <c r="K11" s="209"/>
      <c r="L11" s="209"/>
      <c r="M11" s="671"/>
      <c r="N11" s="671"/>
      <c r="O11" s="208"/>
      <c r="P11" s="146"/>
    </row>
    <row r="12" spans="3:21" ht="14.85" hidden="1" customHeight="1" x14ac:dyDescent="0.2">
      <c r="C12" s="229" t="s">
        <v>240</v>
      </c>
      <c r="D12" s="230" t="s">
        <v>242</v>
      </c>
      <c r="E12" s="203"/>
      <c r="F12" s="210"/>
      <c r="G12" s="205"/>
      <c r="H12" s="211"/>
      <c r="I12" s="209"/>
      <c r="J12" s="209"/>
      <c r="K12" s="209"/>
      <c r="L12" s="209"/>
      <c r="M12" s="671"/>
      <c r="N12" s="671"/>
      <c r="O12" s="208"/>
      <c r="P12" s="146"/>
    </row>
    <row r="13" spans="3:21" ht="14.85" hidden="1" customHeight="1" x14ac:dyDescent="0.2">
      <c r="C13" s="229" t="s">
        <v>240</v>
      </c>
      <c r="D13" s="230" t="s">
        <v>242</v>
      </c>
      <c r="E13" s="203"/>
      <c r="F13" s="210"/>
      <c r="G13" s="205"/>
      <c r="H13" s="211"/>
      <c r="I13" s="209"/>
      <c r="J13" s="209"/>
      <c r="K13" s="209"/>
      <c r="L13" s="209"/>
      <c r="M13" s="671"/>
      <c r="N13" s="671"/>
      <c r="O13" s="208"/>
      <c r="P13" s="146"/>
    </row>
    <row r="14" spans="3:21" ht="14.85" hidden="1" customHeight="1" thickBot="1" x14ac:dyDescent="0.25">
      <c r="C14" s="231" t="s">
        <v>240</v>
      </c>
      <c r="D14" s="232" t="s">
        <v>242</v>
      </c>
      <c r="E14" s="203"/>
      <c r="F14" s="210"/>
      <c r="G14" s="205"/>
      <c r="H14" s="211"/>
      <c r="I14" s="212"/>
      <c r="J14" s="212"/>
      <c r="K14" s="212"/>
      <c r="L14" s="212"/>
      <c r="M14" s="672"/>
      <c r="N14" s="672"/>
      <c r="O14" s="208"/>
      <c r="P14" s="146"/>
    </row>
    <row r="15" spans="3:21" ht="14.85" hidden="1" customHeight="1" thickBot="1" x14ac:dyDescent="0.25">
      <c r="C15" s="682" t="s">
        <v>243</v>
      </c>
      <c r="D15" s="683"/>
      <c r="E15" s="213"/>
      <c r="F15" s="679"/>
      <c r="G15" s="680"/>
      <c r="H15" s="680"/>
      <c r="I15" s="680"/>
      <c r="J15" s="680"/>
      <c r="K15" s="680"/>
      <c r="L15" s="680"/>
      <c r="M15" s="680"/>
      <c r="N15" s="680"/>
      <c r="O15" s="681"/>
      <c r="P15" s="146"/>
    </row>
    <row r="16" spans="3:21" ht="14.85" hidden="1" customHeight="1" thickBot="1" x14ac:dyDescent="0.25">
      <c r="C16" s="682"/>
      <c r="D16" s="683"/>
      <c r="E16" s="214">
        <f>SUM(E7:E14)</f>
        <v>0</v>
      </c>
      <c r="F16" s="214"/>
      <c r="G16" s="215">
        <f t="shared" ref="G16:M16" si="0">SUM(G7:G14)</f>
        <v>0</v>
      </c>
      <c r="H16" s="279">
        <f t="shared" si="0"/>
        <v>0</v>
      </c>
      <c r="I16" s="214">
        <f t="shared" si="0"/>
        <v>0</v>
      </c>
      <c r="J16" s="214">
        <f t="shared" si="0"/>
        <v>0</v>
      </c>
      <c r="K16" s="214">
        <f t="shared" si="0"/>
        <v>0</v>
      </c>
      <c r="L16" s="214">
        <f t="shared" si="0"/>
        <v>0</v>
      </c>
      <c r="M16" s="214">
        <f t="shared" si="0"/>
        <v>0</v>
      </c>
      <c r="N16" s="214">
        <f>SUM(N7:N14)</f>
        <v>0</v>
      </c>
      <c r="O16" s="302"/>
      <c r="P16" s="146"/>
    </row>
    <row r="17" spans="3:16" ht="14.85" hidden="1" customHeight="1" x14ac:dyDescent="0.2">
      <c r="C17" s="227" t="s">
        <v>244</v>
      </c>
      <c r="D17" s="228" t="s">
        <v>245</v>
      </c>
      <c r="E17" s="197"/>
      <c r="F17" s="198"/>
      <c r="G17" s="199"/>
      <c r="H17" s="200"/>
      <c r="I17" s="201"/>
      <c r="J17" s="201"/>
      <c r="K17" s="201"/>
      <c r="L17" s="201"/>
      <c r="M17" s="670"/>
      <c r="N17" s="670"/>
      <c r="O17" s="202"/>
      <c r="P17" s="146"/>
    </row>
    <row r="18" spans="3:16" ht="14.25" hidden="1" customHeight="1" x14ac:dyDescent="0.2">
      <c r="C18" s="229" t="s">
        <v>244</v>
      </c>
      <c r="D18" s="230" t="s">
        <v>246</v>
      </c>
      <c r="E18" s="203"/>
      <c r="F18" s="210"/>
      <c r="G18" s="205"/>
      <c r="H18" s="211"/>
      <c r="I18" s="207"/>
      <c r="J18" s="207"/>
      <c r="K18" s="207"/>
      <c r="L18" s="207"/>
      <c r="M18" s="671"/>
      <c r="N18" s="671"/>
      <c r="O18" s="208"/>
      <c r="P18" s="146"/>
    </row>
    <row r="19" spans="3:16" ht="14.85" hidden="1" customHeight="1" thickBot="1" x14ac:dyDescent="0.25">
      <c r="C19" s="229" t="s">
        <v>244</v>
      </c>
      <c r="D19" s="230" t="s">
        <v>246</v>
      </c>
      <c r="E19" s="203"/>
      <c r="F19" s="210"/>
      <c r="G19" s="205"/>
      <c r="H19" s="211"/>
      <c r="I19" s="209"/>
      <c r="J19" s="209"/>
      <c r="K19" s="209"/>
      <c r="L19" s="209"/>
      <c r="M19" s="671"/>
      <c r="N19" s="671"/>
      <c r="O19" s="208"/>
      <c r="P19" s="146"/>
    </row>
    <row r="20" spans="3:16" ht="14.85" hidden="1" customHeight="1" x14ac:dyDescent="0.2">
      <c r="C20" s="229" t="s">
        <v>244</v>
      </c>
      <c r="D20" s="230" t="s">
        <v>246</v>
      </c>
      <c r="E20" s="203"/>
      <c r="F20" s="204"/>
      <c r="G20" s="205"/>
      <c r="H20" s="206"/>
      <c r="I20" s="209"/>
      <c r="J20" s="209"/>
      <c r="K20" s="209"/>
      <c r="L20" s="209"/>
      <c r="M20" s="671"/>
      <c r="N20" s="671"/>
      <c r="O20" s="208"/>
      <c r="P20" s="146"/>
    </row>
    <row r="21" spans="3:16" ht="14.85" hidden="1" customHeight="1" x14ac:dyDescent="0.2">
      <c r="C21" s="229" t="s">
        <v>244</v>
      </c>
      <c r="D21" s="230" t="s">
        <v>246</v>
      </c>
      <c r="E21" s="203"/>
      <c r="F21" s="204"/>
      <c r="G21" s="205"/>
      <c r="H21" s="206"/>
      <c r="I21" s="209"/>
      <c r="J21" s="209"/>
      <c r="K21" s="209"/>
      <c r="L21" s="209"/>
      <c r="M21" s="671"/>
      <c r="N21" s="671"/>
      <c r="O21" s="208"/>
      <c r="P21" s="146"/>
    </row>
    <row r="22" spans="3:16" ht="14.85" hidden="1" customHeight="1" x14ac:dyDescent="0.2">
      <c r="C22" s="229" t="s">
        <v>244</v>
      </c>
      <c r="D22" s="230" t="s">
        <v>246</v>
      </c>
      <c r="E22" s="203"/>
      <c r="F22" s="204"/>
      <c r="G22" s="205"/>
      <c r="H22" s="206"/>
      <c r="I22" s="209"/>
      <c r="J22" s="209"/>
      <c r="K22" s="209"/>
      <c r="L22" s="209"/>
      <c r="M22" s="671"/>
      <c r="N22" s="671"/>
      <c r="O22" s="208"/>
      <c r="P22" s="146"/>
    </row>
    <row r="23" spans="3:16" ht="14.25" hidden="1" customHeight="1" thickBot="1" x14ac:dyDescent="0.25">
      <c r="C23" s="231" t="s">
        <v>244</v>
      </c>
      <c r="D23" s="232" t="s">
        <v>246</v>
      </c>
      <c r="E23" s="203"/>
      <c r="F23" s="210"/>
      <c r="G23" s="205"/>
      <c r="H23" s="211"/>
      <c r="I23" s="212"/>
      <c r="J23" s="212"/>
      <c r="K23" s="212"/>
      <c r="L23" s="212"/>
      <c r="M23" s="672"/>
      <c r="N23" s="672"/>
      <c r="O23" s="208"/>
      <c r="P23" s="146"/>
    </row>
    <row r="24" spans="3:16" ht="14.85" hidden="1" customHeight="1" thickBot="1" x14ac:dyDescent="0.25">
      <c r="C24" s="682" t="s">
        <v>243</v>
      </c>
      <c r="D24" s="683"/>
      <c r="E24" s="213"/>
      <c r="F24" s="679"/>
      <c r="G24" s="680"/>
      <c r="H24" s="680"/>
      <c r="I24" s="680"/>
      <c r="J24" s="680"/>
      <c r="K24" s="680"/>
      <c r="L24" s="680"/>
      <c r="M24" s="680"/>
      <c r="N24" s="680"/>
      <c r="O24" s="681"/>
      <c r="P24" s="146"/>
    </row>
    <row r="25" spans="3:16" ht="14.85" hidden="1" customHeight="1" thickBot="1" x14ac:dyDescent="0.25">
      <c r="C25" s="682"/>
      <c r="D25" s="683"/>
      <c r="E25" s="214">
        <f>SUM(E17:E23)</f>
        <v>0</v>
      </c>
      <c r="F25" s="214"/>
      <c r="G25" s="215">
        <f t="shared" ref="G25:N25" si="1">SUM(G17:G23)</f>
        <v>0</v>
      </c>
      <c r="H25" s="279">
        <f t="shared" si="1"/>
        <v>0</v>
      </c>
      <c r="I25" s="214">
        <f t="shared" si="1"/>
        <v>0</v>
      </c>
      <c r="J25" s="214">
        <f t="shared" si="1"/>
        <v>0</v>
      </c>
      <c r="K25" s="214">
        <f t="shared" si="1"/>
        <v>0</v>
      </c>
      <c r="L25" s="214">
        <f t="shared" si="1"/>
        <v>0</v>
      </c>
      <c r="M25" s="214">
        <f t="shared" si="1"/>
        <v>0</v>
      </c>
      <c r="N25" s="214">
        <f t="shared" si="1"/>
        <v>0</v>
      </c>
      <c r="O25" s="302"/>
      <c r="P25" s="146"/>
    </row>
    <row r="26" spans="3:16" ht="14.85" customHeight="1" x14ac:dyDescent="0.2">
      <c r="C26" s="227" t="s">
        <v>247</v>
      </c>
      <c r="D26" s="228" t="s">
        <v>248</v>
      </c>
      <c r="E26" s="197">
        <v>63</v>
      </c>
      <c r="F26" s="198">
        <v>45041</v>
      </c>
      <c r="G26" s="199">
        <v>590</v>
      </c>
      <c r="H26" s="200">
        <v>1</v>
      </c>
      <c r="I26" s="201">
        <v>48</v>
      </c>
      <c r="J26" s="201">
        <v>24</v>
      </c>
      <c r="K26" s="201"/>
      <c r="L26" s="201"/>
      <c r="M26" s="670"/>
      <c r="N26" s="670">
        <v>2</v>
      </c>
      <c r="O26" s="202"/>
      <c r="P26" s="146"/>
    </row>
    <row r="27" spans="3:16" ht="14.25" customHeight="1" x14ac:dyDescent="0.2">
      <c r="C27" s="229" t="s">
        <v>247</v>
      </c>
      <c r="D27" s="230" t="s">
        <v>249</v>
      </c>
      <c r="E27" s="203">
        <v>4</v>
      </c>
      <c r="F27" s="204">
        <v>45033</v>
      </c>
      <c r="G27" s="205">
        <v>35</v>
      </c>
      <c r="H27" s="206">
        <v>4</v>
      </c>
      <c r="I27" s="207"/>
      <c r="J27" s="207"/>
      <c r="K27" s="207"/>
      <c r="L27" s="207"/>
      <c r="M27" s="671"/>
      <c r="N27" s="671"/>
      <c r="O27" s="208"/>
      <c r="P27" s="146"/>
    </row>
    <row r="28" spans="3:16" ht="14.25" customHeight="1" x14ac:dyDescent="0.2">
      <c r="C28" s="229" t="s">
        <v>247</v>
      </c>
      <c r="D28" s="230" t="s">
        <v>249</v>
      </c>
      <c r="E28" s="203">
        <v>3</v>
      </c>
      <c r="F28" s="204">
        <v>45036</v>
      </c>
      <c r="G28" s="205">
        <v>26.6</v>
      </c>
      <c r="H28" s="206">
        <v>3</v>
      </c>
      <c r="I28" s="209">
        <v>3</v>
      </c>
      <c r="J28" s="209"/>
      <c r="K28" s="209"/>
      <c r="L28" s="209"/>
      <c r="M28" s="671"/>
      <c r="N28" s="671"/>
      <c r="O28" s="208"/>
      <c r="P28" s="146"/>
    </row>
    <row r="29" spans="3:16" ht="14.25" customHeight="1" thickBot="1" x14ac:dyDescent="0.25">
      <c r="C29" s="229" t="s">
        <v>247</v>
      </c>
      <c r="D29" s="230" t="s">
        <v>249</v>
      </c>
      <c r="E29" s="203">
        <v>0</v>
      </c>
      <c r="F29" s="210">
        <v>45043</v>
      </c>
      <c r="G29" s="205">
        <v>0</v>
      </c>
      <c r="H29" s="211">
        <v>1</v>
      </c>
      <c r="I29" s="209">
        <v>6</v>
      </c>
      <c r="J29" s="209"/>
      <c r="K29" s="209"/>
      <c r="L29" s="209"/>
      <c r="M29" s="671"/>
      <c r="N29" s="671"/>
      <c r="O29" s="208"/>
      <c r="P29" s="146"/>
    </row>
    <row r="30" spans="3:16" ht="14.85" hidden="1" customHeight="1" x14ac:dyDescent="0.2">
      <c r="C30" s="229" t="s">
        <v>247</v>
      </c>
      <c r="D30" s="230" t="s">
        <v>249</v>
      </c>
      <c r="E30" s="203"/>
      <c r="F30" s="210"/>
      <c r="G30" s="205"/>
      <c r="H30" s="211"/>
      <c r="I30" s="209"/>
      <c r="J30" s="209"/>
      <c r="K30" s="209"/>
      <c r="L30" s="209"/>
      <c r="M30" s="671"/>
      <c r="N30" s="671"/>
      <c r="O30" s="208"/>
      <c r="P30" s="146"/>
    </row>
    <row r="31" spans="3:16" ht="14.85" hidden="1" customHeight="1" thickBot="1" x14ac:dyDescent="0.25">
      <c r="C31" s="229" t="s">
        <v>247</v>
      </c>
      <c r="D31" s="230" t="s">
        <v>249</v>
      </c>
      <c r="E31" s="203"/>
      <c r="F31" s="210"/>
      <c r="G31" s="205"/>
      <c r="H31" s="211"/>
      <c r="I31" s="212"/>
      <c r="J31" s="212"/>
      <c r="K31" s="212"/>
      <c r="L31" s="212"/>
      <c r="M31" s="672"/>
      <c r="N31" s="672"/>
      <c r="O31" s="208"/>
      <c r="P31" s="146"/>
    </row>
    <row r="32" spans="3:16" ht="14.85" hidden="1" customHeight="1" thickBot="1" x14ac:dyDescent="0.25">
      <c r="C32" s="682" t="s">
        <v>243</v>
      </c>
      <c r="D32" s="683"/>
      <c r="E32" s="213"/>
      <c r="F32" s="679"/>
      <c r="G32" s="680"/>
      <c r="H32" s="680"/>
      <c r="I32" s="680"/>
      <c r="J32" s="680"/>
      <c r="K32" s="680"/>
      <c r="L32" s="680"/>
      <c r="M32" s="680"/>
      <c r="N32" s="680"/>
      <c r="O32" s="681"/>
      <c r="P32" s="146"/>
    </row>
    <row r="33" spans="3:16" ht="14.85" customHeight="1" thickBot="1" x14ac:dyDescent="0.25">
      <c r="C33" s="682"/>
      <c r="D33" s="683"/>
      <c r="E33" s="214">
        <f>SUM(E26:E32)</f>
        <v>70</v>
      </c>
      <c r="F33" s="214"/>
      <c r="G33" s="215">
        <f t="shared" ref="G33:N33" si="2">SUM(G26:G32)</f>
        <v>651.6</v>
      </c>
      <c r="H33" s="279">
        <f t="shared" si="2"/>
        <v>9</v>
      </c>
      <c r="I33" s="214">
        <f t="shared" si="2"/>
        <v>57</v>
      </c>
      <c r="J33" s="214">
        <f t="shared" si="2"/>
        <v>24</v>
      </c>
      <c r="K33" s="214">
        <f t="shared" si="2"/>
        <v>0</v>
      </c>
      <c r="L33" s="214">
        <f t="shared" si="2"/>
        <v>0</v>
      </c>
      <c r="M33" s="214">
        <f t="shared" si="2"/>
        <v>0</v>
      </c>
      <c r="N33" s="214">
        <f t="shared" si="2"/>
        <v>2</v>
      </c>
      <c r="O33" s="302"/>
      <c r="P33" s="146"/>
    </row>
    <row r="34" spans="3:16" ht="14.85" customHeight="1" thickBot="1" x14ac:dyDescent="0.25">
      <c r="C34" s="227" t="s">
        <v>250</v>
      </c>
      <c r="D34" s="228" t="s">
        <v>248</v>
      </c>
      <c r="E34" s="197">
        <v>66</v>
      </c>
      <c r="F34" s="204">
        <v>45041</v>
      </c>
      <c r="G34" s="205">
        <v>625</v>
      </c>
      <c r="H34" s="206">
        <v>1</v>
      </c>
      <c r="I34" s="201"/>
      <c r="J34" s="201"/>
      <c r="K34" s="201"/>
      <c r="L34" s="201"/>
      <c r="M34" s="684"/>
      <c r="N34" s="684">
        <v>2</v>
      </c>
      <c r="O34" s="202"/>
      <c r="P34" s="146"/>
    </row>
    <row r="35" spans="3:16" ht="14.25" customHeight="1" thickBot="1" x14ac:dyDescent="0.25">
      <c r="C35" s="229" t="s">
        <v>250</v>
      </c>
      <c r="D35" s="230" t="s">
        <v>248</v>
      </c>
      <c r="E35" s="203">
        <v>3</v>
      </c>
      <c r="F35" s="204">
        <v>45033</v>
      </c>
      <c r="G35" s="205">
        <v>30</v>
      </c>
      <c r="H35" s="206">
        <v>4</v>
      </c>
      <c r="I35" s="207"/>
      <c r="J35" s="207"/>
      <c r="K35" s="207"/>
      <c r="L35" s="207"/>
      <c r="M35" s="684"/>
      <c r="N35" s="684"/>
      <c r="O35" s="208"/>
      <c r="P35" s="146"/>
    </row>
    <row r="36" spans="3:16" ht="14.25" customHeight="1" thickBot="1" x14ac:dyDescent="0.25">
      <c r="C36" s="229" t="s">
        <v>250</v>
      </c>
      <c r="D36" s="230" t="s">
        <v>249</v>
      </c>
      <c r="E36" s="203">
        <v>1</v>
      </c>
      <c r="F36" s="204">
        <v>45040</v>
      </c>
      <c r="G36" s="205">
        <v>0</v>
      </c>
      <c r="H36" s="206">
        <v>1</v>
      </c>
      <c r="I36" s="209">
        <v>6</v>
      </c>
      <c r="J36" s="209"/>
      <c r="K36" s="209"/>
      <c r="L36" s="209"/>
      <c r="M36" s="684"/>
      <c r="N36" s="684"/>
      <c r="O36" s="208"/>
      <c r="P36" s="146"/>
    </row>
    <row r="37" spans="3:16" ht="14.25" customHeight="1" thickBot="1" x14ac:dyDescent="0.25">
      <c r="C37" s="229" t="s">
        <v>250</v>
      </c>
      <c r="D37" s="230" t="s">
        <v>249</v>
      </c>
      <c r="E37" s="203">
        <v>1</v>
      </c>
      <c r="F37" s="204">
        <v>45041</v>
      </c>
      <c r="G37" s="205">
        <v>3.4</v>
      </c>
      <c r="H37" s="206">
        <v>1</v>
      </c>
      <c r="I37" s="209"/>
      <c r="J37" s="209"/>
      <c r="K37" s="209"/>
      <c r="L37" s="209"/>
      <c r="M37" s="684"/>
      <c r="N37" s="684"/>
      <c r="O37" s="208"/>
      <c r="P37" s="146"/>
    </row>
    <row r="38" spans="3:16" ht="14.85" customHeight="1" thickBot="1" x14ac:dyDescent="0.25">
      <c r="C38" s="229" t="s">
        <v>250</v>
      </c>
      <c r="D38" s="230" t="s">
        <v>249</v>
      </c>
      <c r="E38" s="203">
        <v>1</v>
      </c>
      <c r="F38" s="210">
        <v>45042</v>
      </c>
      <c r="G38" s="205">
        <v>0</v>
      </c>
      <c r="H38" s="211">
        <v>1</v>
      </c>
      <c r="I38" s="209"/>
      <c r="J38" s="209"/>
      <c r="K38" s="209"/>
      <c r="L38" s="209"/>
      <c r="M38" s="684"/>
      <c r="N38" s="684"/>
      <c r="O38" s="208"/>
      <c r="P38" s="146"/>
    </row>
    <row r="39" spans="3:16" ht="14.85" customHeight="1" thickBot="1" x14ac:dyDescent="0.25">
      <c r="C39" s="229" t="s">
        <v>250</v>
      </c>
      <c r="D39" s="230" t="s">
        <v>249</v>
      </c>
      <c r="E39" s="203">
        <v>1</v>
      </c>
      <c r="F39" s="210">
        <v>45044</v>
      </c>
      <c r="G39" s="205">
        <v>4.2</v>
      </c>
      <c r="H39" s="211">
        <v>4</v>
      </c>
      <c r="I39" s="212">
        <v>18</v>
      </c>
      <c r="J39" s="212"/>
      <c r="K39" s="212"/>
      <c r="L39" s="212"/>
      <c r="M39" s="684"/>
      <c r="N39" s="684"/>
      <c r="O39" s="208"/>
      <c r="P39" s="146"/>
    </row>
    <row r="40" spans="3:16" ht="14.85" hidden="1" customHeight="1" thickBot="1" x14ac:dyDescent="0.25">
      <c r="C40" s="229" t="s">
        <v>250</v>
      </c>
      <c r="D40" s="230" t="s">
        <v>249</v>
      </c>
      <c r="E40" s="203"/>
      <c r="F40" s="210"/>
      <c r="G40" s="205"/>
      <c r="H40" s="211"/>
      <c r="I40" s="212"/>
      <c r="J40" s="212"/>
      <c r="K40" s="212"/>
      <c r="L40" s="212"/>
      <c r="M40" s="684"/>
      <c r="N40" s="684"/>
      <c r="O40" s="208"/>
      <c r="P40" s="146"/>
    </row>
    <row r="41" spans="3:16" ht="14.85" hidden="1" customHeight="1" thickBot="1" x14ac:dyDescent="0.25">
      <c r="C41" s="682" t="s">
        <v>243</v>
      </c>
      <c r="D41" s="683"/>
      <c r="E41" s="213"/>
      <c r="F41" s="679"/>
      <c r="G41" s="680"/>
      <c r="H41" s="680"/>
      <c r="I41" s="680"/>
      <c r="J41" s="680"/>
      <c r="K41" s="680"/>
      <c r="L41" s="680"/>
      <c r="M41" s="680"/>
      <c r="N41" s="680"/>
      <c r="O41" s="681"/>
      <c r="P41" s="146"/>
    </row>
    <row r="42" spans="3:16" ht="14.85" customHeight="1" thickBot="1" x14ac:dyDescent="0.25">
      <c r="C42" s="682"/>
      <c r="D42" s="683"/>
      <c r="E42" s="214">
        <f>SUM(E34:E41)</f>
        <v>73</v>
      </c>
      <c r="F42" s="214"/>
      <c r="G42" s="215">
        <f t="shared" ref="G42:N42" si="3">SUM(G34:G41)</f>
        <v>662.6</v>
      </c>
      <c r="H42" s="279">
        <f t="shared" si="3"/>
        <v>12</v>
      </c>
      <c r="I42" s="214">
        <f t="shared" si="3"/>
        <v>24</v>
      </c>
      <c r="J42" s="214">
        <f t="shared" si="3"/>
        <v>0</v>
      </c>
      <c r="K42" s="214">
        <f t="shared" si="3"/>
        <v>0</v>
      </c>
      <c r="L42" s="214">
        <f t="shared" si="3"/>
        <v>0</v>
      </c>
      <c r="M42" s="214">
        <f t="shared" si="3"/>
        <v>0</v>
      </c>
      <c r="N42" s="214">
        <f t="shared" si="3"/>
        <v>2</v>
      </c>
      <c r="O42" s="302"/>
      <c r="P42" s="146"/>
    </row>
    <row r="43" spans="3:16" ht="14.85" customHeight="1" x14ac:dyDescent="0.2">
      <c r="C43" s="227" t="s">
        <v>349</v>
      </c>
      <c r="D43" s="228" t="s">
        <v>350</v>
      </c>
      <c r="E43" s="197">
        <v>83</v>
      </c>
      <c r="F43" s="198">
        <v>45041</v>
      </c>
      <c r="G43" s="199">
        <v>769</v>
      </c>
      <c r="H43" s="200">
        <v>1</v>
      </c>
      <c r="I43" s="201"/>
      <c r="J43" s="201"/>
      <c r="K43" s="201"/>
      <c r="L43" s="201"/>
      <c r="M43" s="670">
        <v>4</v>
      </c>
      <c r="N43" s="670">
        <v>3</v>
      </c>
      <c r="O43" s="202"/>
      <c r="P43" s="146"/>
    </row>
    <row r="44" spans="3:16" ht="14.25" customHeight="1" x14ac:dyDescent="0.2">
      <c r="C44" s="229" t="s">
        <v>349</v>
      </c>
      <c r="D44" s="230" t="s">
        <v>352</v>
      </c>
      <c r="E44" s="203">
        <v>4</v>
      </c>
      <c r="F44" s="204">
        <v>45036</v>
      </c>
      <c r="G44" s="205">
        <v>0.8</v>
      </c>
      <c r="H44" s="206">
        <v>8</v>
      </c>
      <c r="I44" s="207">
        <v>54</v>
      </c>
      <c r="J44" s="207">
        <v>12</v>
      </c>
      <c r="K44" s="207"/>
      <c r="L44" s="207"/>
      <c r="M44" s="671"/>
      <c r="N44" s="671"/>
      <c r="O44" s="208"/>
      <c r="P44" s="146"/>
    </row>
    <row r="45" spans="3:16" ht="14.25" customHeight="1" x14ac:dyDescent="0.2">
      <c r="C45" s="229" t="s">
        <v>349</v>
      </c>
      <c r="D45" s="230" t="s">
        <v>352</v>
      </c>
      <c r="E45" s="203">
        <v>3</v>
      </c>
      <c r="F45" s="204">
        <v>45040</v>
      </c>
      <c r="G45" s="205">
        <v>6.2</v>
      </c>
      <c r="H45" s="206">
        <v>5</v>
      </c>
      <c r="I45" s="209">
        <v>6</v>
      </c>
      <c r="J45" s="209"/>
      <c r="K45" s="209"/>
      <c r="L45" s="209"/>
      <c r="M45" s="671"/>
      <c r="N45" s="671"/>
      <c r="O45" s="208"/>
      <c r="P45" s="146"/>
    </row>
    <row r="46" spans="3:16" ht="14.85" customHeight="1" x14ac:dyDescent="0.2">
      <c r="C46" s="229" t="s">
        <v>349</v>
      </c>
      <c r="D46" s="230" t="s">
        <v>352</v>
      </c>
      <c r="E46" s="203">
        <v>11</v>
      </c>
      <c r="F46" s="210">
        <v>45041</v>
      </c>
      <c r="G46" s="205">
        <v>0</v>
      </c>
      <c r="H46" s="211">
        <v>5</v>
      </c>
      <c r="I46" s="209"/>
      <c r="J46" s="209"/>
      <c r="K46" s="209"/>
      <c r="L46" s="209">
        <v>28</v>
      </c>
      <c r="M46" s="671"/>
      <c r="N46" s="671"/>
      <c r="O46" s="208"/>
      <c r="P46" s="146"/>
    </row>
    <row r="47" spans="3:16" ht="14.85" customHeight="1" x14ac:dyDescent="0.2">
      <c r="C47" s="229" t="s">
        <v>349</v>
      </c>
      <c r="D47" s="230" t="s">
        <v>352</v>
      </c>
      <c r="E47" s="203">
        <v>1</v>
      </c>
      <c r="F47" s="210">
        <v>45042</v>
      </c>
      <c r="G47" s="205">
        <v>0.4</v>
      </c>
      <c r="H47" s="211">
        <v>1</v>
      </c>
      <c r="I47" s="209"/>
      <c r="J47" s="209"/>
      <c r="K47" s="209"/>
      <c r="L47" s="209"/>
      <c r="M47" s="671"/>
      <c r="N47" s="671"/>
      <c r="O47" s="208"/>
      <c r="P47" s="146"/>
    </row>
    <row r="48" spans="3:16" ht="14.85" customHeight="1" x14ac:dyDescent="0.2">
      <c r="C48" s="229" t="s">
        <v>349</v>
      </c>
      <c r="D48" s="230" t="s">
        <v>352</v>
      </c>
      <c r="E48" s="203">
        <v>2</v>
      </c>
      <c r="F48" s="210">
        <v>45043</v>
      </c>
      <c r="G48" s="205">
        <v>0.6</v>
      </c>
      <c r="H48" s="211">
        <v>1</v>
      </c>
      <c r="I48" s="209"/>
      <c r="J48" s="209"/>
      <c r="K48" s="209"/>
      <c r="L48" s="209"/>
      <c r="M48" s="671"/>
      <c r="N48" s="671"/>
      <c r="O48" s="208"/>
      <c r="P48" s="146"/>
    </row>
    <row r="49" spans="3:16" ht="14.85" customHeight="1" thickBot="1" x14ac:dyDescent="0.25">
      <c r="C49" s="229" t="s">
        <v>349</v>
      </c>
      <c r="D49" s="230" t="s">
        <v>352</v>
      </c>
      <c r="E49" s="203">
        <v>0</v>
      </c>
      <c r="F49" s="210">
        <v>45044</v>
      </c>
      <c r="G49" s="205">
        <v>0</v>
      </c>
      <c r="H49" s="211">
        <v>2</v>
      </c>
      <c r="I49" s="212"/>
      <c r="J49" s="212">
        <v>6</v>
      </c>
      <c r="K49" s="212"/>
      <c r="L49" s="212">
        <v>13</v>
      </c>
      <c r="M49" s="672"/>
      <c r="N49" s="672"/>
      <c r="O49" s="208"/>
      <c r="P49" s="146"/>
    </row>
    <row r="50" spans="3:16" ht="16.5" hidden="1" thickBot="1" x14ac:dyDescent="0.25">
      <c r="C50" s="682" t="s">
        <v>243</v>
      </c>
      <c r="D50" s="683"/>
      <c r="E50" s="213"/>
      <c r="F50" s="679"/>
      <c r="G50" s="680"/>
      <c r="H50" s="680"/>
      <c r="I50" s="680"/>
      <c r="J50" s="680"/>
      <c r="K50" s="680"/>
      <c r="L50" s="680"/>
      <c r="M50" s="680"/>
      <c r="N50" s="680"/>
      <c r="O50" s="681"/>
      <c r="P50" s="146"/>
    </row>
    <row r="51" spans="3:16" ht="14.85" customHeight="1" thickBot="1" x14ac:dyDescent="0.25">
      <c r="C51" s="682"/>
      <c r="D51" s="683"/>
      <c r="E51" s="214">
        <f>SUM(E43:E50)</f>
        <v>104</v>
      </c>
      <c r="F51" s="214"/>
      <c r="G51" s="215">
        <f t="shared" ref="G51:N51" si="4">SUM(G43:G50)</f>
        <v>777</v>
      </c>
      <c r="H51" s="279">
        <f t="shared" si="4"/>
        <v>23</v>
      </c>
      <c r="I51" s="214">
        <f t="shared" si="4"/>
        <v>60</v>
      </c>
      <c r="J51" s="214">
        <f t="shared" si="4"/>
        <v>18</v>
      </c>
      <c r="K51" s="214">
        <f t="shared" si="4"/>
        <v>0</v>
      </c>
      <c r="L51" s="214">
        <f t="shared" si="4"/>
        <v>41</v>
      </c>
      <c r="M51" s="214">
        <f t="shared" si="4"/>
        <v>4</v>
      </c>
      <c r="N51" s="214">
        <f t="shared" si="4"/>
        <v>3</v>
      </c>
      <c r="O51" s="302"/>
      <c r="P51" s="146"/>
    </row>
    <row r="52" spans="3:16" ht="14.85" customHeight="1" x14ac:dyDescent="0.2">
      <c r="C52" s="227" t="s">
        <v>360</v>
      </c>
      <c r="D52" s="228" t="s">
        <v>347</v>
      </c>
      <c r="E52" s="197">
        <v>82</v>
      </c>
      <c r="F52" s="198">
        <v>45041</v>
      </c>
      <c r="G52" s="199">
        <v>754</v>
      </c>
      <c r="H52" s="200">
        <v>1</v>
      </c>
      <c r="I52" s="201">
        <v>48</v>
      </c>
      <c r="J52" s="201"/>
      <c r="K52" s="201"/>
      <c r="L52" s="201"/>
      <c r="M52" s="670">
        <v>1</v>
      </c>
      <c r="N52" s="670">
        <v>3</v>
      </c>
      <c r="O52" s="202"/>
      <c r="P52" s="146"/>
    </row>
    <row r="53" spans="3:16" ht="14.25" customHeight="1" x14ac:dyDescent="0.2">
      <c r="C53" s="229" t="s">
        <v>360</v>
      </c>
      <c r="D53" s="230" t="s">
        <v>348</v>
      </c>
      <c r="E53" s="203">
        <v>0</v>
      </c>
      <c r="F53" s="204">
        <v>45033</v>
      </c>
      <c r="G53" s="205">
        <v>0</v>
      </c>
      <c r="H53" s="206">
        <v>1</v>
      </c>
      <c r="I53" s="207">
        <v>36</v>
      </c>
      <c r="J53" s="207"/>
      <c r="K53" s="207"/>
      <c r="L53" s="207"/>
      <c r="M53" s="671"/>
      <c r="N53" s="671"/>
      <c r="O53" s="208"/>
      <c r="P53" s="146"/>
    </row>
    <row r="54" spans="3:16" ht="14.25" customHeight="1" x14ac:dyDescent="0.2">
      <c r="C54" s="229" t="s">
        <v>360</v>
      </c>
      <c r="D54" s="230" t="s">
        <v>348</v>
      </c>
      <c r="E54" s="203">
        <v>1</v>
      </c>
      <c r="F54" s="204">
        <v>45035</v>
      </c>
      <c r="G54" s="205">
        <v>0.2</v>
      </c>
      <c r="H54" s="206">
        <v>1</v>
      </c>
      <c r="I54" s="207"/>
      <c r="J54" s="207"/>
      <c r="K54" s="207"/>
      <c r="L54" s="207"/>
      <c r="M54" s="671"/>
      <c r="N54" s="671"/>
      <c r="O54" s="208"/>
      <c r="P54" s="146"/>
    </row>
    <row r="55" spans="3:16" ht="14.25" customHeight="1" x14ac:dyDescent="0.2">
      <c r="C55" s="229" t="s">
        <v>360</v>
      </c>
      <c r="D55" s="230" t="s">
        <v>348</v>
      </c>
      <c r="E55" s="203">
        <v>1</v>
      </c>
      <c r="F55" s="204">
        <v>45036</v>
      </c>
      <c r="G55" s="205">
        <v>3.4</v>
      </c>
      <c r="H55" s="206">
        <v>4</v>
      </c>
      <c r="I55" s="209">
        <v>42</v>
      </c>
      <c r="J55" s="209"/>
      <c r="K55" s="209"/>
      <c r="L55" s="209"/>
      <c r="M55" s="671"/>
      <c r="N55" s="671"/>
      <c r="O55" s="208"/>
      <c r="P55" s="146"/>
    </row>
    <row r="56" spans="3:16" ht="14.25" customHeight="1" x14ac:dyDescent="0.2">
      <c r="C56" s="229" t="s">
        <v>360</v>
      </c>
      <c r="D56" s="230" t="s">
        <v>348</v>
      </c>
      <c r="E56" s="203">
        <v>1</v>
      </c>
      <c r="F56" s="204">
        <v>45041</v>
      </c>
      <c r="G56" s="205">
        <v>0.6</v>
      </c>
      <c r="H56" s="206">
        <v>3</v>
      </c>
      <c r="I56" s="209"/>
      <c r="J56" s="209"/>
      <c r="K56" s="209"/>
      <c r="L56" s="209"/>
      <c r="M56" s="671"/>
      <c r="N56" s="671"/>
      <c r="O56" s="208"/>
      <c r="P56" s="146"/>
    </row>
    <row r="57" spans="3:16" ht="14.25" customHeight="1" x14ac:dyDescent="0.2">
      <c r="C57" s="229" t="s">
        <v>360</v>
      </c>
      <c r="D57" s="230" t="s">
        <v>348</v>
      </c>
      <c r="E57" s="203">
        <v>1</v>
      </c>
      <c r="F57" s="210">
        <v>45042</v>
      </c>
      <c r="G57" s="205">
        <v>0.6</v>
      </c>
      <c r="H57" s="211">
        <v>5</v>
      </c>
      <c r="I57" s="209">
        <v>42</v>
      </c>
      <c r="J57" s="209"/>
      <c r="K57" s="209"/>
      <c r="L57" s="209">
        <v>14</v>
      </c>
      <c r="M57" s="671"/>
      <c r="N57" s="671"/>
      <c r="O57" s="208"/>
      <c r="P57" s="146"/>
    </row>
    <row r="58" spans="3:16" ht="14.25" customHeight="1" x14ac:dyDescent="0.2">
      <c r="C58" s="229" t="s">
        <v>360</v>
      </c>
      <c r="D58" s="230" t="s">
        <v>348</v>
      </c>
      <c r="E58" s="203">
        <v>1</v>
      </c>
      <c r="F58" s="210">
        <v>45043</v>
      </c>
      <c r="G58" s="205">
        <v>0</v>
      </c>
      <c r="H58" s="211">
        <v>1</v>
      </c>
      <c r="I58" s="209"/>
      <c r="J58" s="209"/>
      <c r="K58" s="209"/>
      <c r="L58" s="209">
        <v>1</v>
      </c>
      <c r="M58" s="671"/>
      <c r="N58" s="671"/>
      <c r="O58" s="208"/>
      <c r="P58" s="146"/>
    </row>
    <row r="59" spans="3:16" ht="14.85" customHeight="1" thickBot="1" x14ac:dyDescent="0.25">
      <c r="C59" s="229" t="s">
        <v>360</v>
      </c>
      <c r="D59" s="230" t="s">
        <v>348</v>
      </c>
      <c r="E59" s="203">
        <v>1</v>
      </c>
      <c r="F59" s="210">
        <v>45044</v>
      </c>
      <c r="G59" s="205">
        <v>0.2</v>
      </c>
      <c r="H59" s="211">
        <v>1</v>
      </c>
      <c r="I59" s="212"/>
      <c r="J59" s="212"/>
      <c r="K59" s="212"/>
      <c r="L59" s="212"/>
      <c r="M59" s="672"/>
      <c r="N59" s="672"/>
      <c r="O59" s="208"/>
      <c r="P59" s="146"/>
    </row>
    <row r="60" spans="3:16" ht="14.85" hidden="1" customHeight="1" thickBot="1" x14ac:dyDescent="0.25">
      <c r="C60" s="682" t="s">
        <v>243</v>
      </c>
      <c r="D60" s="683"/>
      <c r="E60" s="213"/>
      <c r="F60" s="679"/>
      <c r="G60" s="680"/>
      <c r="H60" s="680"/>
      <c r="I60" s="680"/>
      <c r="J60" s="680"/>
      <c r="K60" s="680"/>
      <c r="L60" s="680"/>
      <c r="M60" s="680"/>
      <c r="N60" s="680"/>
      <c r="O60" s="681"/>
      <c r="P60" s="146"/>
    </row>
    <row r="61" spans="3:16" ht="14.85" customHeight="1" thickBot="1" x14ac:dyDescent="0.25">
      <c r="C61" s="682"/>
      <c r="D61" s="683"/>
      <c r="E61" s="214">
        <f>SUM(E52:E60)</f>
        <v>88</v>
      </c>
      <c r="F61" s="214"/>
      <c r="G61" s="215">
        <f t="shared" ref="G61:N61" si="5">SUM(G52:G60)</f>
        <v>759.00000000000011</v>
      </c>
      <c r="H61" s="279">
        <f t="shared" si="5"/>
        <v>17</v>
      </c>
      <c r="I61" s="214">
        <f t="shared" si="5"/>
        <v>168</v>
      </c>
      <c r="J61" s="214">
        <f t="shared" si="5"/>
        <v>0</v>
      </c>
      <c r="K61" s="214">
        <f t="shared" si="5"/>
        <v>0</v>
      </c>
      <c r="L61" s="214">
        <f t="shared" si="5"/>
        <v>15</v>
      </c>
      <c r="M61" s="214">
        <f t="shared" si="5"/>
        <v>1</v>
      </c>
      <c r="N61" s="214">
        <f t="shared" si="5"/>
        <v>3</v>
      </c>
      <c r="O61" s="302"/>
      <c r="P61" s="146"/>
    </row>
    <row r="62" spans="3:16" ht="14.85" customHeight="1" x14ac:dyDescent="0.2">
      <c r="C62" s="227" t="s">
        <v>343</v>
      </c>
      <c r="D62" s="228" t="s">
        <v>344</v>
      </c>
      <c r="E62" s="197">
        <v>68</v>
      </c>
      <c r="F62" s="198">
        <v>45041</v>
      </c>
      <c r="G62" s="199">
        <v>659</v>
      </c>
      <c r="H62" s="200">
        <v>1</v>
      </c>
      <c r="I62" s="201">
        <v>48</v>
      </c>
      <c r="J62" s="201"/>
      <c r="K62" s="201"/>
      <c r="L62" s="201"/>
      <c r="M62" s="670"/>
      <c r="N62" s="670">
        <v>2</v>
      </c>
      <c r="O62" s="202"/>
      <c r="P62" s="146"/>
    </row>
    <row r="63" spans="3:16" ht="14.85" customHeight="1" x14ac:dyDescent="0.2">
      <c r="C63" s="229" t="s">
        <v>343</v>
      </c>
      <c r="D63" s="230" t="s">
        <v>345</v>
      </c>
      <c r="E63" s="203">
        <v>3</v>
      </c>
      <c r="F63" s="204">
        <v>45036</v>
      </c>
      <c r="G63" s="205">
        <v>0.6</v>
      </c>
      <c r="H63" s="206">
        <v>1</v>
      </c>
      <c r="I63" s="207"/>
      <c r="J63" s="207"/>
      <c r="K63" s="207"/>
      <c r="L63" s="207"/>
      <c r="M63" s="671"/>
      <c r="N63" s="671"/>
      <c r="O63" s="208"/>
      <c r="P63" s="146"/>
    </row>
    <row r="64" spans="3:16" ht="14.85" customHeight="1" thickBot="1" x14ac:dyDescent="0.25">
      <c r="C64" s="229" t="s">
        <v>343</v>
      </c>
      <c r="D64" s="230" t="s">
        <v>345</v>
      </c>
      <c r="E64" s="203">
        <v>1</v>
      </c>
      <c r="F64" s="204">
        <v>45044</v>
      </c>
      <c r="G64" s="205">
        <v>0.4</v>
      </c>
      <c r="H64" s="206">
        <v>1</v>
      </c>
      <c r="I64" s="209"/>
      <c r="J64" s="209"/>
      <c r="K64" s="209"/>
      <c r="L64" s="209"/>
      <c r="M64" s="671"/>
      <c r="N64" s="671"/>
      <c r="O64" s="208"/>
      <c r="P64" s="146"/>
    </row>
    <row r="65" spans="3:16" ht="14.85" hidden="1" customHeight="1" x14ac:dyDescent="0.2">
      <c r="C65" s="229" t="s">
        <v>343</v>
      </c>
      <c r="D65" s="230" t="s">
        <v>345</v>
      </c>
      <c r="E65" s="203"/>
      <c r="F65" s="204"/>
      <c r="G65" s="205"/>
      <c r="H65" s="206"/>
      <c r="I65" s="209"/>
      <c r="J65" s="209"/>
      <c r="K65" s="209"/>
      <c r="L65" s="209"/>
      <c r="M65" s="671"/>
      <c r="N65" s="671"/>
      <c r="O65" s="208"/>
      <c r="P65" s="146"/>
    </row>
    <row r="66" spans="3:16" ht="14.85" hidden="1" customHeight="1" x14ac:dyDescent="0.2">
      <c r="C66" s="229" t="s">
        <v>343</v>
      </c>
      <c r="D66" s="230" t="s">
        <v>345</v>
      </c>
      <c r="E66" s="203"/>
      <c r="F66" s="210"/>
      <c r="G66" s="205"/>
      <c r="H66" s="211"/>
      <c r="I66" s="209"/>
      <c r="J66" s="209"/>
      <c r="K66" s="209"/>
      <c r="L66" s="209"/>
      <c r="M66" s="671"/>
      <c r="N66" s="671"/>
      <c r="O66" s="208"/>
      <c r="P66" s="146"/>
    </row>
    <row r="67" spans="3:16" ht="14.85" hidden="1" customHeight="1" x14ac:dyDescent="0.2">
      <c r="C67" s="229" t="s">
        <v>343</v>
      </c>
      <c r="D67" s="230" t="s">
        <v>345</v>
      </c>
      <c r="E67" s="203"/>
      <c r="F67" s="210"/>
      <c r="G67" s="205"/>
      <c r="H67" s="211"/>
      <c r="I67" s="209"/>
      <c r="J67" s="209"/>
      <c r="K67" s="209"/>
      <c r="L67" s="209"/>
      <c r="M67" s="671"/>
      <c r="N67" s="671"/>
      <c r="O67" s="208"/>
      <c r="P67" s="146"/>
    </row>
    <row r="68" spans="3:16" ht="14.85" hidden="1" customHeight="1" thickBot="1" x14ac:dyDescent="0.25">
      <c r="C68" s="229" t="s">
        <v>343</v>
      </c>
      <c r="D68" s="230" t="s">
        <v>345</v>
      </c>
      <c r="E68" s="203"/>
      <c r="F68" s="210"/>
      <c r="G68" s="205"/>
      <c r="H68" s="211"/>
      <c r="I68" s="212"/>
      <c r="J68" s="212"/>
      <c r="K68" s="212"/>
      <c r="L68" s="212"/>
      <c r="M68" s="672"/>
      <c r="N68" s="672"/>
      <c r="O68" s="208"/>
      <c r="P68" s="146"/>
    </row>
    <row r="69" spans="3:16" ht="14.85" hidden="1" customHeight="1" thickBot="1" x14ac:dyDescent="0.25">
      <c r="C69" s="682" t="s">
        <v>243</v>
      </c>
      <c r="D69" s="683"/>
      <c r="E69" s="213"/>
      <c r="F69" s="679"/>
      <c r="G69" s="680"/>
      <c r="H69" s="680"/>
      <c r="I69" s="680"/>
      <c r="J69" s="680"/>
      <c r="K69" s="680"/>
      <c r="L69" s="680"/>
      <c r="M69" s="680"/>
      <c r="N69" s="680"/>
      <c r="O69" s="681"/>
      <c r="P69" s="146"/>
    </row>
    <row r="70" spans="3:16" ht="14.85" customHeight="1" thickBot="1" x14ac:dyDescent="0.25">
      <c r="C70" s="682"/>
      <c r="D70" s="683"/>
      <c r="E70" s="214">
        <f>SUM(E62:E68)</f>
        <v>72</v>
      </c>
      <c r="F70" s="214"/>
      <c r="G70" s="215">
        <f t="shared" ref="G70:L70" si="6">SUM(G62:G68)</f>
        <v>660</v>
      </c>
      <c r="H70" s="279">
        <f t="shared" si="6"/>
        <v>3</v>
      </c>
      <c r="I70" s="214">
        <f t="shared" si="6"/>
        <v>48</v>
      </c>
      <c r="J70" s="214">
        <f t="shared" si="6"/>
        <v>0</v>
      </c>
      <c r="K70" s="214">
        <f t="shared" si="6"/>
        <v>0</v>
      </c>
      <c r="L70" s="214">
        <f t="shared" si="6"/>
        <v>0</v>
      </c>
      <c r="M70" s="214">
        <f>M62</f>
        <v>0</v>
      </c>
      <c r="N70" s="214">
        <f>N62</f>
        <v>2</v>
      </c>
      <c r="O70" s="302"/>
      <c r="P70" s="146"/>
    </row>
    <row r="71" spans="3:16" ht="14.85" customHeight="1" x14ac:dyDescent="0.2">
      <c r="C71" s="233" t="s">
        <v>340</v>
      </c>
      <c r="D71" s="234" t="s">
        <v>341</v>
      </c>
      <c r="E71" s="197">
        <v>77</v>
      </c>
      <c r="F71" s="198">
        <v>45041</v>
      </c>
      <c r="G71" s="199">
        <v>750</v>
      </c>
      <c r="H71" s="200">
        <v>1</v>
      </c>
      <c r="I71" s="201">
        <v>120</v>
      </c>
      <c r="J71" s="201"/>
      <c r="K71" s="201"/>
      <c r="L71" s="201"/>
      <c r="M71" s="670">
        <v>1</v>
      </c>
      <c r="N71" s="670">
        <v>3</v>
      </c>
      <c r="O71" s="202"/>
      <c r="P71" s="146"/>
    </row>
    <row r="72" spans="3:16" ht="14.85" customHeight="1" x14ac:dyDescent="0.2">
      <c r="C72" s="229" t="s">
        <v>340</v>
      </c>
      <c r="D72" s="230" t="s">
        <v>342</v>
      </c>
      <c r="E72" s="203">
        <v>2</v>
      </c>
      <c r="F72" s="204">
        <v>45036</v>
      </c>
      <c r="G72" s="205">
        <v>14</v>
      </c>
      <c r="H72" s="206">
        <v>4</v>
      </c>
      <c r="I72" s="207"/>
      <c r="J72" s="207"/>
      <c r="K72" s="207"/>
      <c r="L72" s="207"/>
      <c r="M72" s="671"/>
      <c r="N72" s="671"/>
      <c r="O72" s="208"/>
      <c r="P72" s="146"/>
    </row>
    <row r="73" spans="3:16" ht="14.85" customHeight="1" x14ac:dyDescent="0.2">
      <c r="C73" s="229" t="s">
        <v>340</v>
      </c>
      <c r="D73" s="230" t="s">
        <v>342</v>
      </c>
      <c r="E73" s="203">
        <v>1</v>
      </c>
      <c r="F73" s="204">
        <v>45042</v>
      </c>
      <c r="G73" s="205">
        <v>0.4</v>
      </c>
      <c r="H73" s="206">
        <v>7</v>
      </c>
      <c r="I73" s="209"/>
      <c r="J73" s="209"/>
      <c r="K73" s="209"/>
      <c r="L73" s="209">
        <v>7</v>
      </c>
      <c r="M73" s="671"/>
      <c r="N73" s="671"/>
      <c r="O73" s="208"/>
      <c r="P73" s="146"/>
    </row>
    <row r="74" spans="3:16" ht="14.85" customHeight="1" x14ac:dyDescent="0.2">
      <c r="C74" s="229" t="s">
        <v>340</v>
      </c>
      <c r="D74" s="230" t="s">
        <v>342</v>
      </c>
      <c r="E74" s="203">
        <v>2</v>
      </c>
      <c r="F74" s="204">
        <v>45043</v>
      </c>
      <c r="G74" s="205">
        <v>1.4</v>
      </c>
      <c r="H74" s="206">
        <v>8</v>
      </c>
      <c r="I74" s="209">
        <v>12</v>
      </c>
      <c r="J74" s="209"/>
      <c r="K74" s="209"/>
      <c r="L74" s="209"/>
      <c r="M74" s="671"/>
      <c r="N74" s="671"/>
      <c r="O74" s="208"/>
      <c r="P74" s="146"/>
    </row>
    <row r="75" spans="3:16" ht="14.25" customHeight="1" thickBot="1" x14ac:dyDescent="0.25">
      <c r="C75" s="229" t="s">
        <v>340</v>
      </c>
      <c r="D75" s="230" t="s">
        <v>342</v>
      </c>
      <c r="E75" s="203">
        <v>1</v>
      </c>
      <c r="F75" s="210">
        <v>45044</v>
      </c>
      <c r="G75" s="205">
        <v>2</v>
      </c>
      <c r="H75" s="211">
        <v>15</v>
      </c>
      <c r="I75" s="209">
        <v>96</v>
      </c>
      <c r="J75" s="209"/>
      <c r="K75" s="209"/>
      <c r="L75" s="209"/>
      <c r="M75" s="671"/>
      <c r="N75" s="671"/>
      <c r="O75" s="208"/>
      <c r="P75" s="146"/>
    </row>
    <row r="76" spans="3:16" ht="14.85" hidden="1" customHeight="1" x14ac:dyDescent="0.2">
      <c r="C76" s="229" t="s">
        <v>340</v>
      </c>
      <c r="D76" s="230" t="s">
        <v>342</v>
      </c>
      <c r="E76" s="203"/>
      <c r="F76" s="210"/>
      <c r="G76" s="205"/>
      <c r="H76" s="211"/>
      <c r="I76" s="209"/>
      <c r="J76" s="209"/>
      <c r="K76" s="209"/>
      <c r="L76" s="209"/>
      <c r="M76" s="671"/>
      <c r="N76" s="671"/>
      <c r="O76" s="208"/>
      <c r="P76" s="146"/>
    </row>
    <row r="77" spans="3:16" ht="14.85" hidden="1" customHeight="1" x14ac:dyDescent="0.2">
      <c r="C77" s="229" t="s">
        <v>340</v>
      </c>
      <c r="D77" s="230" t="s">
        <v>342</v>
      </c>
      <c r="E77" s="203"/>
      <c r="F77" s="210"/>
      <c r="G77" s="205"/>
      <c r="H77" s="211"/>
      <c r="I77" s="209"/>
      <c r="J77" s="209"/>
      <c r="K77" s="209"/>
      <c r="L77" s="209"/>
      <c r="M77" s="671"/>
      <c r="N77" s="671"/>
      <c r="O77" s="208"/>
      <c r="P77" s="146"/>
    </row>
    <row r="78" spans="3:16" ht="14.85" hidden="1" customHeight="1" x14ac:dyDescent="0.2">
      <c r="C78" s="229" t="s">
        <v>340</v>
      </c>
      <c r="D78" s="230" t="s">
        <v>342</v>
      </c>
      <c r="E78" s="203"/>
      <c r="F78" s="210"/>
      <c r="G78" s="205"/>
      <c r="H78" s="211"/>
      <c r="I78" s="209"/>
      <c r="J78" s="209"/>
      <c r="K78" s="209"/>
      <c r="L78" s="209"/>
      <c r="M78" s="671"/>
      <c r="N78" s="671"/>
      <c r="O78" s="208"/>
      <c r="P78" s="146"/>
    </row>
    <row r="79" spans="3:16" ht="14.85" hidden="1" customHeight="1" thickBot="1" x14ac:dyDescent="0.25">
      <c r="C79" s="235" t="s">
        <v>340</v>
      </c>
      <c r="D79" s="236" t="s">
        <v>342</v>
      </c>
      <c r="E79" s="203"/>
      <c r="F79" s="210"/>
      <c r="G79" s="205"/>
      <c r="H79" s="211"/>
      <c r="I79" s="212"/>
      <c r="J79" s="212"/>
      <c r="K79" s="212"/>
      <c r="L79" s="212"/>
      <c r="M79" s="672"/>
      <c r="N79" s="672"/>
      <c r="O79" s="208"/>
      <c r="P79" s="146"/>
    </row>
    <row r="80" spans="3:16" ht="14.85" hidden="1" customHeight="1" thickBot="1" x14ac:dyDescent="0.25">
      <c r="C80" s="682" t="s">
        <v>243</v>
      </c>
      <c r="D80" s="683"/>
      <c r="E80" s="213"/>
      <c r="F80" s="679"/>
      <c r="G80" s="680"/>
      <c r="H80" s="680"/>
      <c r="I80" s="680"/>
      <c r="J80" s="680"/>
      <c r="K80" s="680"/>
      <c r="L80" s="680"/>
      <c r="M80" s="680"/>
      <c r="N80" s="680"/>
      <c r="O80" s="681"/>
      <c r="P80" s="146"/>
    </row>
    <row r="81" spans="3:16 16383:16383" ht="14.85" customHeight="1" thickBot="1" x14ac:dyDescent="0.25">
      <c r="C81" s="682"/>
      <c r="D81" s="683"/>
      <c r="E81" s="214">
        <f>SUM(E71:E79)</f>
        <v>83</v>
      </c>
      <c r="F81" s="214"/>
      <c r="G81" s="215">
        <f t="shared" ref="G81:N81" si="7">SUM(G71:G79)</f>
        <v>767.8</v>
      </c>
      <c r="H81" s="279">
        <f t="shared" si="7"/>
        <v>35</v>
      </c>
      <c r="I81" s="214">
        <f t="shared" si="7"/>
        <v>228</v>
      </c>
      <c r="J81" s="214">
        <f t="shared" si="7"/>
        <v>0</v>
      </c>
      <c r="K81" s="214">
        <f t="shared" si="7"/>
        <v>0</v>
      </c>
      <c r="L81" s="214">
        <f t="shared" si="7"/>
        <v>7</v>
      </c>
      <c r="M81" s="214">
        <f t="shared" si="7"/>
        <v>1</v>
      </c>
      <c r="N81" s="214">
        <f t="shared" si="7"/>
        <v>3</v>
      </c>
      <c r="O81" s="302"/>
      <c r="P81" s="146"/>
    </row>
    <row r="82" spans="3:16 16383:16383" ht="14.85" customHeight="1" x14ac:dyDescent="0.2">
      <c r="C82" s="227" t="s">
        <v>337</v>
      </c>
      <c r="D82" s="228" t="s">
        <v>338</v>
      </c>
      <c r="E82" s="197">
        <v>85</v>
      </c>
      <c r="F82" s="198">
        <v>45041</v>
      </c>
      <c r="G82" s="199">
        <v>792</v>
      </c>
      <c r="H82" s="200">
        <v>1</v>
      </c>
      <c r="I82" s="201">
        <v>72</v>
      </c>
      <c r="J82" s="201">
        <v>24</v>
      </c>
      <c r="K82" s="201"/>
      <c r="L82" s="201"/>
      <c r="M82" s="670">
        <v>1</v>
      </c>
      <c r="N82" s="670">
        <v>3</v>
      </c>
      <c r="O82" s="202"/>
      <c r="P82" s="146"/>
    </row>
    <row r="83" spans="3:16 16383:16383" ht="14.85" customHeight="1" x14ac:dyDescent="0.2">
      <c r="C83" s="229" t="s">
        <v>337</v>
      </c>
      <c r="D83" s="230" t="s">
        <v>339</v>
      </c>
      <c r="E83" s="203">
        <v>2</v>
      </c>
      <c r="F83" s="204">
        <v>45036</v>
      </c>
      <c r="G83" s="205">
        <v>4</v>
      </c>
      <c r="H83" s="206">
        <v>42</v>
      </c>
      <c r="I83" s="207">
        <v>174</v>
      </c>
      <c r="J83" s="207">
        <v>18</v>
      </c>
      <c r="K83" s="207"/>
      <c r="L83" s="207"/>
      <c r="M83" s="671"/>
      <c r="N83" s="671"/>
      <c r="O83" s="208"/>
      <c r="P83" s="146"/>
      <c r="XFC83" s="207"/>
    </row>
    <row r="84" spans="3:16 16383:16383" ht="14.85" customHeight="1" x14ac:dyDescent="0.2">
      <c r="C84" s="229" t="s">
        <v>337</v>
      </c>
      <c r="D84" s="230" t="s">
        <v>339</v>
      </c>
      <c r="E84" s="203">
        <v>1</v>
      </c>
      <c r="F84" s="204">
        <v>45042</v>
      </c>
      <c r="G84" s="205">
        <v>0.8</v>
      </c>
      <c r="H84" s="206">
        <v>4</v>
      </c>
      <c r="I84" s="209">
        <v>18</v>
      </c>
      <c r="J84" s="209"/>
      <c r="K84" s="209"/>
      <c r="L84" s="209">
        <v>12</v>
      </c>
      <c r="M84" s="671"/>
      <c r="N84" s="671"/>
      <c r="O84" s="208"/>
      <c r="P84" s="146"/>
      <c r="XFC84" s="209"/>
    </row>
    <row r="85" spans="3:16 16383:16383" ht="14.85" customHeight="1" x14ac:dyDescent="0.2">
      <c r="C85" s="229" t="s">
        <v>337</v>
      </c>
      <c r="D85" s="230" t="s">
        <v>339</v>
      </c>
      <c r="E85" s="203">
        <v>2</v>
      </c>
      <c r="F85" s="204">
        <v>45043</v>
      </c>
      <c r="G85" s="205">
        <v>0</v>
      </c>
      <c r="H85" s="206">
        <v>5</v>
      </c>
      <c r="I85" s="209">
        <v>24</v>
      </c>
      <c r="J85" s="209"/>
      <c r="K85" s="209"/>
      <c r="L85" s="209"/>
      <c r="M85" s="671"/>
      <c r="N85" s="671"/>
      <c r="O85" s="208"/>
      <c r="P85" s="146"/>
      <c r="XFC85" s="209"/>
    </row>
    <row r="86" spans="3:16 16383:16383" ht="14.85" customHeight="1" thickBot="1" x14ac:dyDescent="0.25">
      <c r="C86" s="229" t="s">
        <v>337</v>
      </c>
      <c r="D86" s="230" t="s">
        <v>339</v>
      </c>
      <c r="E86" s="203">
        <v>1</v>
      </c>
      <c r="F86" s="210">
        <v>45044</v>
      </c>
      <c r="G86" s="205">
        <v>0</v>
      </c>
      <c r="H86" s="211">
        <v>1</v>
      </c>
      <c r="I86" s="209">
        <v>6</v>
      </c>
      <c r="J86" s="209"/>
      <c r="K86" s="209"/>
      <c r="L86" s="209"/>
      <c r="M86" s="671"/>
      <c r="N86" s="671"/>
      <c r="O86" s="208"/>
      <c r="P86" s="146"/>
      <c r="XFC86" s="209"/>
    </row>
    <row r="87" spans="3:16 16383:16383" ht="14.85" hidden="1" customHeight="1" x14ac:dyDescent="0.2">
      <c r="C87" s="229" t="s">
        <v>337</v>
      </c>
      <c r="D87" s="230" t="s">
        <v>339</v>
      </c>
      <c r="E87" s="203"/>
      <c r="F87" s="210"/>
      <c r="G87" s="205"/>
      <c r="H87" s="211"/>
      <c r="I87" s="209"/>
      <c r="J87" s="209"/>
      <c r="K87" s="209"/>
      <c r="L87" s="209"/>
      <c r="M87" s="671"/>
      <c r="N87" s="671"/>
      <c r="O87" s="208"/>
      <c r="P87" s="146"/>
      <c r="XFC87" s="209"/>
    </row>
    <row r="88" spans="3:16 16383:16383" ht="14.85" hidden="1" customHeight="1" thickBot="1" x14ac:dyDescent="0.25">
      <c r="C88" s="229" t="s">
        <v>337</v>
      </c>
      <c r="D88" s="230" t="s">
        <v>339</v>
      </c>
      <c r="E88" s="203"/>
      <c r="F88" s="210"/>
      <c r="G88" s="205"/>
      <c r="H88" s="211"/>
      <c r="I88" s="212"/>
      <c r="J88" s="212"/>
      <c r="K88" s="212"/>
      <c r="L88" s="212"/>
      <c r="M88" s="672"/>
      <c r="N88" s="672"/>
      <c r="O88" s="208"/>
      <c r="P88" s="146"/>
    </row>
    <row r="89" spans="3:16 16383:16383" ht="14.85" hidden="1" customHeight="1" thickBot="1" x14ac:dyDescent="0.25">
      <c r="C89" s="682" t="s">
        <v>243</v>
      </c>
      <c r="D89" s="683"/>
      <c r="E89" s="213"/>
      <c r="F89" s="679"/>
      <c r="G89" s="680"/>
      <c r="H89" s="680"/>
      <c r="I89" s="680"/>
      <c r="J89" s="680"/>
      <c r="K89" s="680"/>
      <c r="L89" s="680"/>
      <c r="M89" s="680"/>
      <c r="N89" s="680"/>
      <c r="O89" s="681"/>
      <c r="P89" s="146"/>
    </row>
    <row r="90" spans="3:16 16383:16383" ht="14.85" customHeight="1" thickBot="1" x14ac:dyDescent="0.25">
      <c r="C90" s="682"/>
      <c r="D90" s="683"/>
      <c r="E90" s="214">
        <f>SUM(E82:E88)</f>
        <v>91</v>
      </c>
      <c r="F90" s="214"/>
      <c r="G90" s="215">
        <f>SUM(G82:G88)</f>
        <v>796.8</v>
      </c>
      <c r="H90" s="279"/>
      <c r="I90" s="214"/>
      <c r="J90" s="214">
        <f t="shared" ref="J90:N90" si="8">SUM(J82:J88)</f>
        <v>42</v>
      </c>
      <c r="K90" s="214">
        <f t="shared" si="8"/>
        <v>0</v>
      </c>
      <c r="L90" s="214">
        <f t="shared" si="8"/>
        <v>12</v>
      </c>
      <c r="M90" s="214">
        <f t="shared" si="8"/>
        <v>1</v>
      </c>
      <c r="N90" s="214">
        <f t="shared" si="8"/>
        <v>3</v>
      </c>
      <c r="O90" s="302"/>
      <c r="P90" s="146"/>
    </row>
    <row r="91" spans="3:16 16383:16383" ht="14.85" customHeight="1" x14ac:dyDescent="0.2">
      <c r="C91" s="227" t="s">
        <v>361</v>
      </c>
      <c r="D91" s="228" t="s">
        <v>335</v>
      </c>
      <c r="E91" s="197">
        <v>91</v>
      </c>
      <c r="F91" s="198">
        <v>45041</v>
      </c>
      <c r="G91" s="199">
        <v>825</v>
      </c>
      <c r="H91" s="200">
        <v>1</v>
      </c>
      <c r="I91" s="201">
        <v>0</v>
      </c>
      <c r="J91" s="201"/>
      <c r="K91" s="201"/>
      <c r="L91" s="201"/>
      <c r="M91" s="670"/>
      <c r="N91" s="670">
        <v>3</v>
      </c>
      <c r="O91" s="202"/>
      <c r="P91" s="146"/>
    </row>
    <row r="92" spans="3:16 16383:16383" ht="14.85" customHeight="1" x14ac:dyDescent="0.2">
      <c r="C92" s="229" t="s">
        <v>361</v>
      </c>
      <c r="D92" s="230" t="s">
        <v>336</v>
      </c>
      <c r="E92" s="203">
        <v>2</v>
      </c>
      <c r="F92" s="204">
        <v>45043</v>
      </c>
      <c r="G92" s="205">
        <v>16.600000000000001</v>
      </c>
      <c r="H92" s="206">
        <v>2</v>
      </c>
      <c r="I92" s="207">
        <v>0</v>
      </c>
      <c r="J92" s="207"/>
      <c r="K92" s="207"/>
      <c r="L92" s="207"/>
      <c r="M92" s="671"/>
      <c r="N92" s="671"/>
      <c r="O92" s="208"/>
      <c r="P92" s="146"/>
    </row>
    <row r="93" spans="3:16 16383:16383" ht="14.85" customHeight="1" thickBot="1" x14ac:dyDescent="0.25">
      <c r="C93" s="229" t="s">
        <v>361</v>
      </c>
      <c r="D93" s="230" t="s">
        <v>336</v>
      </c>
      <c r="E93" s="203">
        <v>1</v>
      </c>
      <c r="F93" s="204">
        <v>45044</v>
      </c>
      <c r="G93" s="205">
        <v>0.2</v>
      </c>
      <c r="H93" s="206">
        <v>2</v>
      </c>
      <c r="I93" s="209">
        <v>6</v>
      </c>
      <c r="J93" s="209"/>
      <c r="K93" s="209"/>
      <c r="L93" s="209"/>
      <c r="M93" s="671"/>
      <c r="N93" s="671"/>
      <c r="O93" s="208"/>
      <c r="P93" s="146"/>
    </row>
    <row r="94" spans="3:16 16383:16383" ht="14.25" hidden="1" customHeight="1" x14ac:dyDescent="0.2">
      <c r="C94" s="229" t="s">
        <v>361</v>
      </c>
      <c r="D94" s="230" t="s">
        <v>336</v>
      </c>
      <c r="E94" s="203"/>
      <c r="F94" s="204"/>
      <c r="G94" s="205"/>
      <c r="H94" s="206"/>
      <c r="I94" s="209"/>
      <c r="J94" s="209"/>
      <c r="K94" s="209"/>
      <c r="L94" s="209"/>
      <c r="M94" s="671"/>
      <c r="N94" s="671"/>
      <c r="O94" s="208"/>
      <c r="P94" s="146"/>
    </row>
    <row r="95" spans="3:16 16383:16383" ht="14.85" hidden="1" customHeight="1" x14ac:dyDescent="0.2">
      <c r="C95" s="229" t="s">
        <v>361</v>
      </c>
      <c r="D95" s="230" t="s">
        <v>336</v>
      </c>
      <c r="E95" s="203"/>
      <c r="F95" s="210"/>
      <c r="G95" s="205"/>
      <c r="H95" s="211"/>
      <c r="I95" s="209"/>
      <c r="J95" s="209"/>
      <c r="K95" s="209"/>
      <c r="L95" s="209"/>
      <c r="M95" s="671"/>
      <c r="N95" s="671"/>
      <c r="O95" s="208"/>
      <c r="P95" s="146"/>
    </row>
    <row r="96" spans="3:16 16383:16383" ht="14.85" hidden="1" customHeight="1" x14ac:dyDescent="0.2">
      <c r="C96" s="229" t="s">
        <v>361</v>
      </c>
      <c r="D96" s="230" t="s">
        <v>336</v>
      </c>
      <c r="E96" s="203"/>
      <c r="F96" s="210"/>
      <c r="G96" s="205"/>
      <c r="H96" s="211"/>
      <c r="I96" s="209"/>
      <c r="J96" s="209"/>
      <c r="K96" s="209"/>
      <c r="L96" s="209"/>
      <c r="M96" s="671"/>
      <c r="N96" s="671"/>
      <c r="O96" s="208"/>
      <c r="P96" s="146"/>
    </row>
    <row r="97" spans="3:16" ht="14.85" hidden="1" customHeight="1" thickBot="1" x14ac:dyDescent="0.25">
      <c r="C97" s="229" t="s">
        <v>361</v>
      </c>
      <c r="D97" s="230" t="s">
        <v>336</v>
      </c>
      <c r="E97" s="203"/>
      <c r="F97" s="210"/>
      <c r="G97" s="205"/>
      <c r="H97" s="211"/>
      <c r="I97" s="212"/>
      <c r="J97" s="212"/>
      <c r="K97" s="212"/>
      <c r="L97" s="212"/>
      <c r="M97" s="672"/>
      <c r="N97" s="672"/>
      <c r="O97" s="208"/>
      <c r="P97" s="146"/>
    </row>
    <row r="98" spans="3:16" ht="14.85" hidden="1" customHeight="1" thickBot="1" x14ac:dyDescent="0.25">
      <c r="C98" s="682" t="s">
        <v>243</v>
      </c>
      <c r="D98" s="683"/>
      <c r="E98" s="213"/>
      <c r="F98" s="679"/>
      <c r="G98" s="680"/>
      <c r="H98" s="680"/>
      <c r="I98" s="680"/>
      <c r="J98" s="680"/>
      <c r="K98" s="680"/>
      <c r="L98" s="680"/>
      <c r="M98" s="680"/>
      <c r="N98" s="680"/>
      <c r="O98" s="681"/>
      <c r="P98" s="146"/>
    </row>
    <row r="99" spans="3:16" ht="14.85" customHeight="1" thickBot="1" x14ac:dyDescent="0.25">
      <c r="C99" s="682"/>
      <c r="D99" s="683"/>
      <c r="E99" s="214">
        <f>SUM(E91:E98)</f>
        <v>94</v>
      </c>
      <c r="F99" s="214"/>
      <c r="G99" s="215">
        <f t="shared" ref="G99:N99" si="9">SUM(G91:G98)</f>
        <v>841.80000000000007</v>
      </c>
      <c r="H99" s="279">
        <f t="shared" si="9"/>
        <v>5</v>
      </c>
      <c r="I99" s="214">
        <f t="shared" si="9"/>
        <v>6</v>
      </c>
      <c r="J99" s="214">
        <f t="shared" si="9"/>
        <v>0</v>
      </c>
      <c r="K99" s="214">
        <f t="shared" si="9"/>
        <v>0</v>
      </c>
      <c r="L99" s="214">
        <f t="shared" si="9"/>
        <v>0</v>
      </c>
      <c r="M99" s="214">
        <f t="shared" si="9"/>
        <v>0</v>
      </c>
      <c r="N99" s="214">
        <f t="shared" si="9"/>
        <v>3</v>
      </c>
      <c r="O99" s="302"/>
      <c r="P99" s="146"/>
    </row>
    <row r="100" spans="3:16" ht="6" customHeight="1" thickBot="1" x14ac:dyDescent="0.25"/>
    <row r="101" spans="3:16" ht="14.85" customHeight="1" thickBot="1" x14ac:dyDescent="0.25">
      <c r="C101" s="682" t="s">
        <v>251</v>
      </c>
      <c r="D101" s="683"/>
      <c r="E101" s="216">
        <f>E99+E90+E81+E70+E61+E51+E42+E33+E25+E16</f>
        <v>675</v>
      </c>
      <c r="F101" s="216"/>
      <c r="G101" s="217">
        <f>G99+G90+G81+G70+G61+G51+G42+G33+G25+G16</f>
        <v>5916.6</v>
      </c>
      <c r="H101" s="216">
        <f t="shared" ref="H101:N101" si="10">H99+H90+H81+H70+H61+H51+H42+H33+H25+H16</f>
        <v>104</v>
      </c>
      <c r="I101" s="216">
        <f t="shared" si="10"/>
        <v>591</v>
      </c>
      <c r="J101" s="216">
        <f t="shared" si="10"/>
        <v>84</v>
      </c>
      <c r="K101" s="216">
        <f t="shared" si="10"/>
        <v>0</v>
      </c>
      <c r="L101" s="216">
        <f t="shared" si="10"/>
        <v>75</v>
      </c>
      <c r="M101" s="216">
        <f t="shared" si="10"/>
        <v>7</v>
      </c>
      <c r="N101" s="216">
        <f t="shared" si="10"/>
        <v>21</v>
      </c>
      <c r="O101" s="218"/>
      <c r="P101" s="146"/>
    </row>
    <row r="102" spans="3:16" ht="20.25" customHeight="1" thickBot="1" x14ac:dyDescent="0.25">
      <c r="C102" s="673" t="s">
        <v>252</v>
      </c>
      <c r="D102" s="674"/>
      <c r="E102" s="675" t="s">
        <v>308</v>
      </c>
      <c r="F102" s="676"/>
      <c r="G102" s="676"/>
      <c r="H102" s="674"/>
      <c r="I102" s="219"/>
      <c r="J102" s="219"/>
      <c r="K102" s="219"/>
      <c r="L102" s="219"/>
      <c r="M102" s="220"/>
      <c r="N102" s="221"/>
      <c r="O102" s="222"/>
      <c r="P102" s="146"/>
    </row>
    <row r="103" spans="3:16" ht="14.25" customHeight="1" x14ac:dyDescent="0.2">
      <c r="C103" s="685"/>
      <c r="D103" s="686"/>
      <c r="E103" s="689"/>
      <c r="F103" s="690"/>
      <c r="G103" s="690"/>
      <c r="H103" s="691"/>
      <c r="I103" s="223"/>
      <c r="J103" s="223"/>
      <c r="K103" s="223"/>
      <c r="L103" s="685"/>
      <c r="M103" s="695"/>
      <c r="N103" s="695"/>
      <c r="O103" s="696"/>
      <c r="P103" s="146"/>
    </row>
    <row r="104" spans="3:16" ht="14.85" customHeight="1" thickBot="1" x14ac:dyDescent="0.25">
      <c r="C104" s="687"/>
      <c r="D104" s="688"/>
      <c r="E104" s="692"/>
      <c r="F104" s="693"/>
      <c r="G104" s="693"/>
      <c r="H104" s="694"/>
      <c r="I104" s="224"/>
      <c r="J104" s="224"/>
      <c r="K104" s="224"/>
      <c r="L104" s="687"/>
      <c r="M104" s="697"/>
      <c r="N104" s="697"/>
      <c r="O104" s="698"/>
      <c r="P104" s="146"/>
    </row>
    <row r="106" spans="3:16" ht="14.85" customHeight="1" x14ac:dyDescent="0.2">
      <c r="C106" s="225"/>
    </row>
    <row r="108" spans="3:16" ht="12.75" x14ac:dyDescent="0.2"/>
  </sheetData>
  <sheetProtection formatCells="0" formatColumns="0" formatRows="0" insertColumns="0" insertRows="0" insertHyperlinks="0" deleteColumns="0" deleteRows="0" sort="0" autoFilter="0" pivotTables="0"/>
  <mergeCells count="79">
    <mergeCell ref="J2:L2"/>
    <mergeCell ref="M62:M68"/>
    <mergeCell ref="K1:L1"/>
    <mergeCell ref="F98:O98"/>
    <mergeCell ref="M82:M88"/>
    <mergeCell ref="N82:N88"/>
    <mergeCell ref="M91:M97"/>
    <mergeCell ref="N91:N97"/>
    <mergeCell ref="M43:M49"/>
    <mergeCell ref="N43:N49"/>
    <mergeCell ref="M17:M23"/>
    <mergeCell ref="N17:N23"/>
    <mergeCell ref="J3:L3"/>
    <mergeCell ref="G4:H4"/>
    <mergeCell ref="C1:F2"/>
    <mergeCell ref="I1:J1"/>
    <mergeCell ref="G2:H2"/>
    <mergeCell ref="M71:M79"/>
    <mergeCell ref="N71:N79"/>
    <mergeCell ref="C90:D90"/>
    <mergeCell ref="F69:O69"/>
    <mergeCell ref="F80:O80"/>
    <mergeCell ref="F89:O89"/>
    <mergeCell ref="C70:D70"/>
    <mergeCell ref="C80:D80"/>
    <mergeCell ref="C81:D81"/>
    <mergeCell ref="C89:D89"/>
    <mergeCell ref="C24:D24"/>
    <mergeCell ref="F24:O24"/>
    <mergeCell ref="C50:D50"/>
    <mergeCell ref="F50:O50"/>
    <mergeCell ref="M26:M31"/>
    <mergeCell ref="L103:O104"/>
    <mergeCell ref="C51:D51"/>
    <mergeCell ref="C60:D60"/>
    <mergeCell ref="F60:O60"/>
    <mergeCell ref="C61:D61"/>
    <mergeCell ref="M52:M59"/>
    <mergeCell ref="N52:N59"/>
    <mergeCell ref="C101:D101"/>
    <mergeCell ref="C102:D102"/>
    <mergeCell ref="E102:H102"/>
    <mergeCell ref="C103:D104"/>
    <mergeCell ref="E103:H104"/>
    <mergeCell ref="C98:D98"/>
    <mergeCell ref="C99:D99"/>
    <mergeCell ref="C69:D69"/>
    <mergeCell ref="N62:N68"/>
    <mergeCell ref="C41:D41"/>
    <mergeCell ref="F41:O41"/>
    <mergeCell ref="C42:D42"/>
    <mergeCell ref="C25:D25"/>
    <mergeCell ref="N5:N6"/>
    <mergeCell ref="O5:O6"/>
    <mergeCell ref="M7:M14"/>
    <mergeCell ref="N7:N14"/>
    <mergeCell ref="G5:G6"/>
    <mergeCell ref="N26:N31"/>
    <mergeCell ref="C32:D32"/>
    <mergeCell ref="F32:O32"/>
    <mergeCell ref="C33:D33"/>
    <mergeCell ref="M34:M40"/>
    <mergeCell ref="N34:N40"/>
    <mergeCell ref="C3:D3"/>
    <mergeCell ref="E3:F3"/>
    <mergeCell ref="G3:H3"/>
    <mergeCell ref="C16:D16"/>
    <mergeCell ref="C5:C6"/>
    <mergeCell ref="D5:D6"/>
    <mergeCell ref="E5:E6"/>
    <mergeCell ref="F5:F6"/>
    <mergeCell ref="C15:D15"/>
    <mergeCell ref="F15:O15"/>
    <mergeCell ref="I5:I6"/>
    <mergeCell ref="J5:J6"/>
    <mergeCell ref="K5:K6"/>
    <mergeCell ref="L5:L6"/>
    <mergeCell ref="M5:M6"/>
    <mergeCell ref="H5:H6"/>
  </mergeCells>
  <hyperlinks>
    <hyperlink ref="U2" r:id="rId1" display="EstoqueCDCuritiba@bat.onmicrosoft.com;" xr:uid="{665ABCB6-CF58-4E7E-8219-A2300E9E3F2B}"/>
  </hyperlinks>
  <pageMargins left="0" right="0" top="0.31496062992125984" bottom="0.31496062992125984" header="0" footer="0"/>
  <pageSetup paperSize="9" firstPageNumber="0" orientation="portrait" r:id="rId2"/>
  <headerFooter alignWithMargins="0"/>
  <ignoredErrors>
    <ignoredError sqref="M100:O100 O101 E100:L100 G70:L70 M70:N70" unlockedFormula="1"/>
  </ignoredError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64CDF-1ABC-4177-B31C-AC74C8CB1CEF}">
  <sheetPr codeName="P12">
    <tabColor rgb="FFFF0000"/>
    <pageSetUpPr autoPageBreaks="0" fitToPage="1"/>
  </sheetPr>
  <dimension ref="A1:W61"/>
  <sheetViews>
    <sheetView showGridLines="0" topLeftCell="C1" zoomScaleNormal="100" workbookViewId="0">
      <selection activeCell="W2" sqref="W2"/>
    </sheetView>
  </sheetViews>
  <sheetFormatPr defaultColWidth="9.140625" defaultRowHeight="14.85" customHeight="1" x14ac:dyDescent="0.2"/>
  <cols>
    <col min="1" max="1" width="9.140625" style="79" hidden="1" customWidth="1"/>
    <col min="2" max="2" width="13.5703125" style="79" hidden="1" customWidth="1"/>
    <col min="3" max="3" width="26.5703125" style="79" customWidth="1"/>
    <col min="4" max="4" width="26" style="79" customWidth="1"/>
    <col min="5" max="5" width="12.42578125" style="79" customWidth="1"/>
    <col min="6" max="6" width="16.7109375" style="79" customWidth="1"/>
    <col min="7" max="7" width="12.42578125" style="79" customWidth="1"/>
    <col min="8" max="8" width="6.85546875" style="79" bestFit="1" customWidth="1"/>
    <col min="9" max="9" width="12.85546875" style="79" customWidth="1"/>
    <col min="10" max="10" width="10.140625" style="79" customWidth="1"/>
    <col min="11" max="11" width="11.42578125" style="79" customWidth="1"/>
    <col min="12" max="12" width="4.7109375" style="79" hidden="1" customWidth="1"/>
    <col min="13" max="13" width="7.140625" style="79" bestFit="1" customWidth="1"/>
    <col min="14" max="14" width="11.85546875" style="79" customWidth="1"/>
    <col min="15" max="15" width="11.85546875" style="80" customWidth="1"/>
    <col min="16" max="16" width="10.28515625" style="79" customWidth="1"/>
    <col min="17" max="17" width="50.28515625" style="79" customWidth="1"/>
    <col min="18" max="18" width="14.42578125" style="79" bestFit="1" customWidth="1"/>
    <col min="19" max="19" width="55.7109375" style="79" bestFit="1" customWidth="1"/>
    <col min="20" max="16384" width="9.140625" style="79"/>
  </cols>
  <sheetData>
    <row r="1" spans="1:23" ht="32.1" customHeight="1" thickBot="1" x14ac:dyDescent="0.25">
      <c r="C1" s="722" t="s">
        <v>362</v>
      </c>
      <c r="D1" s="723"/>
      <c r="E1" s="723"/>
      <c r="F1" s="723"/>
      <c r="G1" s="731" t="s">
        <v>217</v>
      </c>
      <c r="H1" s="732"/>
      <c r="I1" s="726">
        <f>G52</f>
        <v>1751.6</v>
      </c>
      <c r="J1" s="727"/>
      <c r="K1" s="491" t="s">
        <v>232</v>
      </c>
      <c r="L1" s="892">
        <f>$M$52</f>
        <v>0</v>
      </c>
      <c r="M1" s="893"/>
      <c r="N1" s="493"/>
      <c r="O1" s="494"/>
      <c r="P1" s="495"/>
      <c r="Q1" s="146"/>
      <c r="V1" s="177" t="s">
        <v>219</v>
      </c>
      <c r="W1" s="178" t="s">
        <v>220</v>
      </c>
    </row>
    <row r="2" spans="1:23" ht="32.1" customHeight="1" thickBot="1" x14ac:dyDescent="0.25">
      <c r="C2" s="724"/>
      <c r="D2" s="725"/>
      <c r="E2" s="725"/>
      <c r="F2" s="725"/>
      <c r="G2" s="706" t="s">
        <v>221</v>
      </c>
      <c r="H2" s="707"/>
      <c r="I2" s="355">
        <f>$E$52</f>
        <v>269</v>
      </c>
      <c r="J2" s="720" t="s">
        <v>222</v>
      </c>
      <c r="K2" s="721"/>
      <c r="L2" s="730"/>
      <c r="M2" s="358">
        <f>$I$52</f>
        <v>0</v>
      </c>
      <c r="N2" s="496"/>
      <c r="O2" s="497"/>
      <c r="P2" s="498"/>
      <c r="R2" s="183" t="s">
        <v>10</v>
      </c>
      <c r="S2" s="184" t="s">
        <v>223</v>
      </c>
      <c r="V2" s="177" t="s">
        <v>224</v>
      </c>
      <c r="W2" s="278" t="s">
        <v>363</v>
      </c>
    </row>
    <row r="3" spans="1:23" ht="32.1" customHeight="1" thickBot="1" x14ac:dyDescent="0.25">
      <c r="C3" s="894" t="s">
        <v>292</v>
      </c>
      <c r="D3" s="895"/>
      <c r="E3" s="896">
        <v>46231</v>
      </c>
      <c r="F3" s="897"/>
      <c r="G3" s="706" t="s">
        <v>227</v>
      </c>
      <c r="H3" s="707"/>
      <c r="I3" s="355">
        <f>$O$52</f>
        <v>7</v>
      </c>
      <c r="J3" s="720" t="s">
        <v>228</v>
      </c>
      <c r="K3" s="721"/>
      <c r="L3" s="721"/>
      <c r="M3" s="355">
        <f>$J$52</f>
        <v>0</v>
      </c>
      <c r="N3" s="496"/>
      <c r="O3" s="497"/>
      <c r="P3" s="498"/>
      <c r="R3" s="185" t="s">
        <v>16</v>
      </c>
      <c r="S3" s="186" t="str">
        <f>C1</f>
        <v>PONTA GROSSA</v>
      </c>
    </row>
    <row r="4" spans="1:23" ht="27" thickBot="1" x14ac:dyDescent="0.25">
      <c r="C4" s="187" t="s">
        <v>229</v>
      </c>
      <c r="D4" s="499" t="s">
        <v>364</v>
      </c>
      <c r="E4" s="189" t="s">
        <v>231</v>
      </c>
      <c r="F4" s="500" t="s">
        <v>365</v>
      </c>
      <c r="G4" s="706" t="s">
        <v>366</v>
      </c>
      <c r="H4" s="707"/>
      <c r="I4" s="355">
        <f>$M$52</f>
        <v>0</v>
      </c>
      <c r="J4" s="492" t="s">
        <v>23</v>
      </c>
      <c r="K4" s="398">
        <f>$K$52</f>
        <v>0</v>
      </c>
      <c r="L4" s="399" t="s">
        <v>233</v>
      </c>
      <c r="M4" s="366">
        <f>$L$52</f>
        <v>0</v>
      </c>
      <c r="N4" s="501"/>
      <c r="O4" s="502"/>
      <c r="P4" s="503"/>
      <c r="Q4" s="146"/>
    </row>
    <row r="5" spans="1:23" ht="14.85" customHeight="1" x14ac:dyDescent="0.25">
      <c r="A5" s="90"/>
      <c r="B5" s="90"/>
      <c r="C5" s="708" t="s">
        <v>17</v>
      </c>
      <c r="D5" s="708" t="s">
        <v>18</v>
      </c>
      <c r="E5" s="710" t="s">
        <v>19</v>
      </c>
      <c r="F5" s="712" t="s">
        <v>234</v>
      </c>
      <c r="G5" s="714" t="s">
        <v>217</v>
      </c>
      <c r="H5" s="704" t="s">
        <v>21</v>
      </c>
      <c r="I5" s="700" t="s">
        <v>235</v>
      </c>
      <c r="J5" s="700" t="s">
        <v>15</v>
      </c>
      <c r="K5" s="700" t="s">
        <v>23</v>
      </c>
      <c r="L5" s="700" t="s">
        <v>315</v>
      </c>
      <c r="M5" s="708" t="s">
        <v>237</v>
      </c>
      <c r="N5" s="842" t="s">
        <v>25</v>
      </c>
      <c r="O5" s="853" t="s">
        <v>238</v>
      </c>
      <c r="P5" s="853" t="s">
        <v>239</v>
      </c>
      <c r="Q5" s="146"/>
    </row>
    <row r="6" spans="1:23" ht="18" customHeight="1" thickBot="1" x14ac:dyDescent="0.3">
      <c r="A6" s="90"/>
      <c r="B6" s="90"/>
      <c r="C6" s="709"/>
      <c r="D6" s="709"/>
      <c r="E6" s="711"/>
      <c r="F6" s="713"/>
      <c r="G6" s="715"/>
      <c r="H6" s="705"/>
      <c r="I6" s="701"/>
      <c r="J6" s="701"/>
      <c r="K6" s="701"/>
      <c r="L6" s="701"/>
      <c r="M6" s="709"/>
      <c r="N6" s="844"/>
      <c r="O6" s="854"/>
      <c r="P6" s="854"/>
      <c r="Q6" s="146"/>
    </row>
    <row r="7" spans="1:23" ht="15" customHeight="1" x14ac:dyDescent="0.25">
      <c r="A7" s="90"/>
      <c r="B7" s="90"/>
      <c r="C7" s="195" t="s">
        <v>367</v>
      </c>
      <c r="D7" s="196" t="s">
        <v>368</v>
      </c>
      <c r="E7" s="504">
        <v>37</v>
      </c>
      <c r="F7" s="508">
        <v>46231</v>
      </c>
      <c r="G7" s="579">
        <v>250</v>
      </c>
      <c r="H7" s="560">
        <v>1</v>
      </c>
      <c r="I7" s="505"/>
      <c r="J7" s="505"/>
      <c r="K7" s="505"/>
      <c r="L7" s="505"/>
      <c r="M7" s="505"/>
      <c r="N7" s="890"/>
      <c r="O7" s="890">
        <v>1</v>
      </c>
      <c r="P7" s="506"/>
      <c r="Q7" s="146"/>
    </row>
    <row r="8" spans="1:23" ht="15" customHeight="1" thickBot="1" x14ac:dyDescent="0.3">
      <c r="A8" s="90"/>
      <c r="B8" s="90"/>
      <c r="C8" s="195" t="s">
        <v>367</v>
      </c>
      <c r="D8" s="196" t="s">
        <v>369</v>
      </c>
      <c r="E8" s="507">
        <v>8</v>
      </c>
      <c r="F8" s="508">
        <v>46231</v>
      </c>
      <c r="G8" s="579">
        <v>6.2</v>
      </c>
      <c r="H8" s="560">
        <v>2</v>
      </c>
      <c r="I8" s="511"/>
      <c r="J8" s="511"/>
      <c r="K8" s="511"/>
      <c r="L8" s="511"/>
      <c r="M8" s="511"/>
      <c r="N8" s="891"/>
      <c r="O8" s="891"/>
      <c r="P8" s="512"/>
      <c r="Q8" s="146"/>
    </row>
    <row r="9" spans="1:23" ht="15" hidden="1" customHeight="1" x14ac:dyDescent="0.25">
      <c r="A9" s="90"/>
      <c r="B9" s="90"/>
      <c r="C9" s="195" t="s">
        <v>367</v>
      </c>
      <c r="D9" s="196" t="s">
        <v>369</v>
      </c>
      <c r="E9" s="507"/>
      <c r="F9" s="508"/>
      <c r="G9" s="579"/>
      <c r="H9" s="560"/>
      <c r="I9" s="511"/>
      <c r="J9" s="511"/>
      <c r="K9" s="511"/>
      <c r="L9" s="511"/>
      <c r="M9" s="511"/>
      <c r="N9" s="891"/>
      <c r="O9" s="891"/>
      <c r="P9" s="512"/>
      <c r="Q9" s="146"/>
    </row>
    <row r="10" spans="1:23" ht="15" hidden="1" customHeight="1" x14ac:dyDescent="0.25">
      <c r="A10" s="90"/>
      <c r="B10" s="90"/>
      <c r="C10" s="195" t="s">
        <v>367</v>
      </c>
      <c r="D10" s="196" t="s">
        <v>369</v>
      </c>
      <c r="E10" s="507"/>
      <c r="F10" s="508"/>
      <c r="G10" s="579"/>
      <c r="H10" s="560"/>
      <c r="I10" s="511"/>
      <c r="J10" s="511"/>
      <c r="K10" s="511"/>
      <c r="L10" s="511"/>
      <c r="M10" s="511"/>
      <c r="N10" s="891"/>
      <c r="O10" s="891"/>
      <c r="P10" s="512"/>
      <c r="Q10" s="146"/>
    </row>
    <row r="11" spans="1:23" ht="15" hidden="1" customHeight="1" x14ac:dyDescent="0.25">
      <c r="A11" s="90"/>
      <c r="B11" s="90"/>
      <c r="C11" s="195" t="s">
        <v>367</v>
      </c>
      <c r="D11" s="196" t="s">
        <v>369</v>
      </c>
      <c r="E11" s="507"/>
      <c r="F11" s="508"/>
      <c r="H11" s="560"/>
      <c r="I11" s="511"/>
      <c r="J11" s="511"/>
      <c r="K11" s="511"/>
      <c r="L11" s="511"/>
      <c r="M11" s="511"/>
      <c r="N11" s="891"/>
      <c r="O11" s="891"/>
      <c r="P11" s="512"/>
      <c r="Q11" s="146"/>
    </row>
    <row r="12" spans="1:23" ht="15" hidden="1" customHeight="1" x14ac:dyDescent="0.25">
      <c r="A12" s="90"/>
      <c r="B12" s="90"/>
      <c r="C12" s="195" t="s">
        <v>367</v>
      </c>
      <c r="D12" s="196" t="s">
        <v>369</v>
      </c>
      <c r="E12" s="507"/>
      <c r="F12" s="508"/>
      <c r="G12" s="579"/>
      <c r="H12" s="560"/>
      <c r="I12" s="511"/>
      <c r="J12" s="511"/>
      <c r="K12" s="511"/>
      <c r="L12" s="511"/>
      <c r="M12" s="511"/>
      <c r="N12" s="891"/>
      <c r="O12" s="891"/>
      <c r="P12" s="512"/>
      <c r="Q12" s="146"/>
    </row>
    <row r="13" spans="1:23" ht="15" hidden="1" customHeight="1" x14ac:dyDescent="0.25">
      <c r="A13" s="90"/>
      <c r="B13" s="90"/>
      <c r="C13" s="195" t="s">
        <v>367</v>
      </c>
      <c r="D13" s="196" t="s">
        <v>369</v>
      </c>
      <c r="E13" s="507"/>
      <c r="F13" s="508"/>
      <c r="G13" s="579"/>
      <c r="H13" s="560"/>
      <c r="I13" s="513"/>
      <c r="J13" s="513"/>
      <c r="K13" s="513"/>
      <c r="L13" s="513"/>
      <c r="M13" s="514"/>
      <c r="N13" s="891"/>
      <c r="O13" s="891"/>
      <c r="P13" s="515"/>
      <c r="Q13" s="146"/>
    </row>
    <row r="14" spans="1:23" ht="15" hidden="1" customHeight="1" x14ac:dyDescent="0.25">
      <c r="A14" s="90"/>
      <c r="B14" s="90"/>
      <c r="C14" s="195" t="s">
        <v>367</v>
      </c>
      <c r="D14" s="196" t="s">
        <v>369</v>
      </c>
      <c r="E14" s="507"/>
      <c r="F14" s="508"/>
      <c r="G14" s="579"/>
      <c r="H14" s="560"/>
      <c r="I14" s="513"/>
      <c r="J14" s="513"/>
      <c r="K14" s="513"/>
      <c r="L14" s="513"/>
      <c r="M14" s="514"/>
      <c r="N14" s="891"/>
      <c r="O14" s="891"/>
      <c r="P14" s="515"/>
      <c r="Q14" s="146"/>
    </row>
    <row r="15" spans="1:23" ht="15.75" hidden="1" x14ac:dyDescent="0.25">
      <c r="A15" s="90"/>
      <c r="B15" s="90"/>
      <c r="C15" s="195" t="s">
        <v>367</v>
      </c>
      <c r="D15" s="196" t="s">
        <v>369</v>
      </c>
      <c r="E15" s="507"/>
      <c r="F15" s="508"/>
      <c r="G15" s="509"/>
      <c r="H15" s="510"/>
      <c r="I15" s="513"/>
      <c r="J15" s="513"/>
      <c r="K15" s="513"/>
      <c r="L15" s="513"/>
      <c r="M15" s="514"/>
      <c r="N15" s="891"/>
      <c r="O15" s="891"/>
      <c r="P15" s="515"/>
      <c r="Q15" s="146"/>
    </row>
    <row r="16" spans="1:23" ht="16.5" hidden="1" thickBot="1" x14ac:dyDescent="0.3">
      <c r="A16" s="90"/>
      <c r="B16" s="90"/>
      <c r="C16" s="195" t="s">
        <v>367</v>
      </c>
      <c r="D16" s="196" t="s">
        <v>369</v>
      </c>
      <c r="E16" s="507"/>
      <c r="F16" s="516"/>
      <c r="G16" s="509"/>
      <c r="H16" s="517"/>
      <c r="I16" s="513"/>
      <c r="J16" s="513"/>
      <c r="K16" s="513"/>
      <c r="L16" s="513"/>
      <c r="M16" s="514"/>
      <c r="N16" s="891"/>
      <c r="O16" s="891"/>
      <c r="P16" s="515"/>
      <c r="Q16" s="146"/>
    </row>
    <row r="17" spans="1:17" ht="15" customHeight="1" thickBot="1" x14ac:dyDescent="0.3">
      <c r="A17" s="90"/>
      <c r="B17" s="90"/>
      <c r="C17" s="682"/>
      <c r="D17" s="683"/>
      <c r="E17" s="489">
        <f>SUM(E7:E16)</f>
        <v>45</v>
      </c>
      <c r="F17" s="489"/>
      <c r="G17" s="524">
        <f t="shared" ref="G17:H17" si="0">SUM(G7:G16)</f>
        <v>256.2</v>
      </c>
      <c r="H17" s="489">
        <f t="shared" si="0"/>
        <v>3</v>
      </c>
      <c r="I17" s="489"/>
      <c r="J17" s="489"/>
      <c r="K17" s="489"/>
      <c r="L17" s="489"/>
      <c r="M17" s="489"/>
      <c r="N17" s="489"/>
      <c r="O17" s="489">
        <f>SUM(O7)</f>
        <v>1</v>
      </c>
      <c r="P17" s="518"/>
      <c r="Q17" s="146"/>
    </row>
    <row r="18" spans="1:17" ht="15.75" hidden="1" x14ac:dyDescent="0.25">
      <c r="A18" s="90"/>
      <c r="B18" s="90"/>
      <c r="C18" s="195" t="s">
        <v>370</v>
      </c>
      <c r="D18" s="196" t="s">
        <v>371</v>
      </c>
      <c r="E18" s="507"/>
      <c r="F18" s="508"/>
      <c r="G18" s="579"/>
      <c r="H18" s="560"/>
      <c r="I18" s="508"/>
      <c r="J18" s="579"/>
      <c r="K18" s="560"/>
      <c r="L18" s="513"/>
      <c r="M18" s="513"/>
      <c r="N18" s="890"/>
      <c r="O18" s="890">
        <v>1</v>
      </c>
      <c r="P18" s="515"/>
      <c r="Q18" s="146"/>
    </row>
    <row r="19" spans="1:17" ht="15.75" x14ac:dyDescent="0.25">
      <c r="A19" s="90"/>
      <c r="B19" s="90"/>
      <c r="C19" s="195" t="s">
        <v>370</v>
      </c>
      <c r="D19" s="196" t="s">
        <v>372</v>
      </c>
      <c r="E19" s="507">
        <v>1</v>
      </c>
      <c r="F19" s="508">
        <v>46227</v>
      </c>
      <c r="G19" s="579">
        <v>3.4</v>
      </c>
      <c r="H19" s="560">
        <v>1</v>
      </c>
      <c r="I19" s="508"/>
      <c r="J19" s="509"/>
      <c r="K19" s="513"/>
      <c r="L19" s="513"/>
      <c r="M19" s="513"/>
      <c r="N19" s="891"/>
      <c r="O19" s="891"/>
      <c r="P19" s="515"/>
      <c r="Q19" s="146"/>
    </row>
    <row r="20" spans="1:17" ht="15.75" x14ac:dyDescent="0.25">
      <c r="A20" s="90"/>
      <c r="B20" s="90"/>
      <c r="C20" s="195" t="s">
        <v>370</v>
      </c>
      <c r="D20" s="196" t="s">
        <v>372</v>
      </c>
      <c r="E20" s="507">
        <v>34</v>
      </c>
      <c r="F20" s="508">
        <v>46233</v>
      </c>
      <c r="G20" s="579">
        <v>0</v>
      </c>
      <c r="H20" s="560">
        <v>3</v>
      </c>
      <c r="I20" s="508"/>
      <c r="J20" s="509"/>
      <c r="K20" s="513"/>
      <c r="L20" s="513"/>
      <c r="M20" s="513"/>
      <c r="N20" s="891"/>
      <c r="O20" s="891"/>
      <c r="P20" s="515"/>
      <c r="Q20" s="146"/>
    </row>
    <row r="21" spans="1:17" ht="16.5" thickBot="1" x14ac:dyDescent="0.3">
      <c r="A21" s="90"/>
      <c r="B21" s="90"/>
      <c r="C21" s="195" t="s">
        <v>370</v>
      </c>
      <c r="D21" s="196" t="s">
        <v>372</v>
      </c>
      <c r="E21" s="507">
        <v>1</v>
      </c>
      <c r="F21" s="508">
        <v>46224</v>
      </c>
      <c r="G21" s="579"/>
      <c r="H21" s="560">
        <v>1</v>
      </c>
      <c r="I21" s="508"/>
      <c r="J21" s="509"/>
      <c r="K21" s="513"/>
      <c r="L21" s="513"/>
      <c r="M21" s="513"/>
      <c r="N21" s="891"/>
      <c r="O21" s="891"/>
      <c r="P21" s="515"/>
      <c r="Q21" s="146"/>
    </row>
    <row r="22" spans="1:17" ht="15.75" hidden="1" x14ac:dyDescent="0.25">
      <c r="A22" s="90"/>
      <c r="B22" s="90"/>
      <c r="C22" s="195" t="s">
        <v>370</v>
      </c>
      <c r="D22" s="196" t="s">
        <v>372</v>
      </c>
      <c r="E22" s="507"/>
      <c r="F22" s="508"/>
      <c r="G22" s="579"/>
      <c r="H22" s="560"/>
      <c r="I22" s="508"/>
      <c r="J22" s="509"/>
      <c r="K22" s="513"/>
      <c r="L22" s="513"/>
      <c r="M22" s="513"/>
      <c r="N22" s="891"/>
      <c r="O22" s="891"/>
      <c r="P22" s="515"/>
      <c r="Q22" s="146"/>
    </row>
    <row r="23" spans="1:17" ht="15.75" hidden="1" x14ac:dyDescent="0.25">
      <c r="A23" s="90"/>
      <c r="B23" s="90"/>
      <c r="C23" s="195" t="s">
        <v>370</v>
      </c>
      <c r="D23" s="196" t="s">
        <v>372</v>
      </c>
      <c r="E23" s="507"/>
      <c r="F23" s="508"/>
      <c r="G23" s="579"/>
      <c r="H23" s="560"/>
      <c r="I23" s="513"/>
      <c r="J23" s="513"/>
      <c r="K23" s="513"/>
      <c r="L23" s="513"/>
      <c r="M23" s="513"/>
      <c r="N23" s="891"/>
      <c r="O23" s="891"/>
      <c r="P23" s="515"/>
      <c r="Q23" s="146"/>
    </row>
    <row r="24" spans="1:17" ht="15.75" hidden="1" x14ac:dyDescent="0.25">
      <c r="A24" s="90"/>
      <c r="B24" s="90"/>
      <c r="C24" s="195" t="s">
        <v>370</v>
      </c>
      <c r="D24" s="196" t="s">
        <v>372</v>
      </c>
      <c r="E24" s="507"/>
      <c r="F24" s="508"/>
      <c r="G24" s="509"/>
      <c r="H24" s="510"/>
      <c r="I24" s="513"/>
      <c r="J24" s="513"/>
      <c r="K24" s="513"/>
      <c r="L24" s="513"/>
      <c r="M24" s="513"/>
      <c r="N24" s="891"/>
      <c r="O24" s="891"/>
      <c r="P24" s="515"/>
      <c r="Q24" s="146"/>
    </row>
    <row r="25" spans="1:17" ht="15.75" hidden="1" x14ac:dyDescent="0.25">
      <c r="A25" s="90"/>
      <c r="B25" s="90"/>
      <c r="C25" s="195" t="s">
        <v>370</v>
      </c>
      <c r="D25" s="196" t="s">
        <v>372</v>
      </c>
      <c r="E25" s="507"/>
      <c r="F25" s="508"/>
      <c r="G25" s="509"/>
      <c r="H25" s="510"/>
      <c r="I25" s="513"/>
      <c r="J25" s="513"/>
      <c r="K25" s="513"/>
      <c r="L25" s="513"/>
      <c r="M25" s="513"/>
      <c r="N25" s="891"/>
      <c r="O25" s="891"/>
      <c r="P25" s="515"/>
      <c r="Q25" s="146"/>
    </row>
    <row r="26" spans="1:17" ht="15.75" hidden="1" x14ac:dyDescent="0.25">
      <c r="A26" s="90"/>
      <c r="B26" s="90"/>
      <c r="C26" s="195" t="s">
        <v>370</v>
      </c>
      <c r="D26" s="196" t="s">
        <v>372</v>
      </c>
      <c r="E26" s="507"/>
      <c r="F26" s="508"/>
      <c r="G26" s="509"/>
      <c r="H26" s="510"/>
      <c r="I26" s="513"/>
      <c r="J26" s="513"/>
      <c r="K26" s="513"/>
      <c r="L26" s="513"/>
      <c r="M26" s="513"/>
      <c r="N26" s="891"/>
      <c r="O26" s="891"/>
      <c r="P26" s="515"/>
      <c r="Q26" s="146"/>
    </row>
    <row r="27" spans="1:17" ht="16.5" hidden="1" thickBot="1" x14ac:dyDescent="0.3">
      <c r="A27" s="90"/>
      <c r="B27" s="90"/>
      <c r="C27" s="195" t="s">
        <v>370</v>
      </c>
      <c r="D27" s="196" t="s">
        <v>372</v>
      </c>
      <c r="E27" s="507"/>
      <c r="F27" s="508"/>
      <c r="G27" s="509"/>
      <c r="H27" s="510"/>
      <c r="I27" s="513"/>
      <c r="J27" s="513"/>
      <c r="K27" s="513"/>
      <c r="L27" s="513"/>
      <c r="M27" s="513"/>
      <c r="N27" s="891"/>
      <c r="O27" s="891"/>
      <c r="P27" s="515"/>
      <c r="Q27" s="146"/>
    </row>
    <row r="28" spans="1:17" ht="15" customHeight="1" thickBot="1" x14ac:dyDescent="0.3">
      <c r="A28" s="90"/>
      <c r="B28" s="90"/>
      <c r="C28" s="682"/>
      <c r="D28" s="683"/>
      <c r="E28" s="489">
        <f>SUM(E18:E27)</f>
        <v>36</v>
      </c>
      <c r="F28" s="489"/>
      <c r="G28" s="524">
        <f t="shared" ref="G28:H28" si="1">SUM(G18:G27)</f>
        <v>3.4</v>
      </c>
      <c r="H28" s="489">
        <f t="shared" si="1"/>
        <v>5</v>
      </c>
      <c r="I28" s="489"/>
      <c r="J28" s="489"/>
      <c r="K28" s="489"/>
      <c r="L28" s="489"/>
      <c r="M28" s="489"/>
      <c r="N28" s="489"/>
      <c r="O28" s="489"/>
      <c r="P28" s="518"/>
      <c r="Q28" s="146"/>
    </row>
    <row r="29" spans="1:17" ht="15" customHeight="1" thickBot="1" x14ac:dyDescent="0.3">
      <c r="A29" s="90"/>
      <c r="B29" s="90"/>
      <c r="C29" s="195" t="s">
        <v>373</v>
      </c>
      <c r="D29" s="196" t="s">
        <v>371</v>
      </c>
      <c r="E29" s="504">
        <v>70</v>
      </c>
      <c r="F29" s="508">
        <v>46231</v>
      </c>
      <c r="G29" s="579">
        <v>642</v>
      </c>
      <c r="H29" s="560">
        <v>1</v>
      </c>
      <c r="I29" s="505"/>
      <c r="J29" s="505"/>
      <c r="K29" s="505"/>
      <c r="L29" s="505"/>
      <c r="M29" s="505"/>
      <c r="N29" s="890"/>
      <c r="O29" s="890">
        <v>3</v>
      </c>
      <c r="P29" s="506"/>
      <c r="Q29" s="146"/>
    </row>
    <row r="30" spans="1:17" ht="15" hidden="1" customHeight="1" x14ac:dyDescent="0.25">
      <c r="A30" s="90"/>
      <c r="B30" s="90"/>
      <c r="C30" s="195" t="s">
        <v>373</v>
      </c>
      <c r="D30" s="196" t="s">
        <v>372</v>
      </c>
      <c r="E30" s="507"/>
      <c r="F30" s="516"/>
      <c r="G30" s="579"/>
      <c r="H30" s="559"/>
      <c r="I30" s="511"/>
      <c r="J30" s="511"/>
      <c r="K30" s="511"/>
      <c r="L30" s="511"/>
      <c r="M30" s="511"/>
      <c r="N30" s="891"/>
      <c r="O30" s="891"/>
      <c r="P30" s="512"/>
      <c r="Q30" s="146"/>
    </row>
    <row r="31" spans="1:17" ht="15.75" hidden="1" x14ac:dyDescent="0.25">
      <c r="A31" s="90"/>
      <c r="B31" s="90"/>
      <c r="C31" s="195" t="s">
        <v>373</v>
      </c>
      <c r="D31" s="196" t="s">
        <v>372</v>
      </c>
      <c r="E31" s="519"/>
      <c r="F31" s="508"/>
      <c r="G31" s="579"/>
      <c r="H31" s="560"/>
      <c r="I31" s="511"/>
      <c r="J31" s="511"/>
      <c r="K31" s="511"/>
      <c r="L31" s="511"/>
      <c r="M31" s="511"/>
      <c r="N31" s="891"/>
      <c r="O31" s="891"/>
      <c r="P31" s="512"/>
      <c r="Q31" s="146"/>
    </row>
    <row r="32" spans="1:17" ht="15.75" hidden="1" x14ac:dyDescent="0.25">
      <c r="A32" s="90"/>
      <c r="B32" s="90"/>
      <c r="C32" s="195" t="s">
        <v>373</v>
      </c>
      <c r="D32" s="196" t="s">
        <v>372</v>
      </c>
      <c r="E32" s="507"/>
      <c r="F32" s="508"/>
      <c r="G32" s="579"/>
      <c r="H32" s="560"/>
      <c r="I32" s="513"/>
      <c r="J32" s="513"/>
      <c r="K32" s="513"/>
      <c r="L32" s="513"/>
      <c r="M32" s="513"/>
      <c r="N32" s="891"/>
      <c r="O32" s="891"/>
      <c r="P32" s="515"/>
      <c r="Q32" s="146"/>
    </row>
    <row r="33" spans="1:17" ht="15.75" hidden="1" x14ac:dyDescent="0.25">
      <c r="A33" s="90"/>
      <c r="B33" s="90"/>
      <c r="C33" s="195" t="s">
        <v>373</v>
      </c>
      <c r="D33" s="196" t="s">
        <v>372</v>
      </c>
      <c r="E33" s="507"/>
      <c r="F33" s="508"/>
      <c r="G33" s="579"/>
      <c r="H33" s="560"/>
      <c r="I33" s="513"/>
      <c r="J33" s="513"/>
      <c r="K33" s="513"/>
      <c r="L33" s="513"/>
      <c r="M33" s="513"/>
      <c r="N33" s="891"/>
      <c r="O33" s="891"/>
      <c r="P33" s="515"/>
      <c r="Q33" s="146"/>
    </row>
    <row r="34" spans="1:17" ht="15.75" hidden="1" x14ac:dyDescent="0.25">
      <c r="A34" s="90"/>
      <c r="B34" s="90"/>
      <c r="C34" s="195" t="s">
        <v>373</v>
      </c>
      <c r="D34" s="196" t="s">
        <v>372</v>
      </c>
      <c r="E34" s="507"/>
      <c r="F34" s="508"/>
      <c r="G34" s="579"/>
      <c r="H34" s="560"/>
      <c r="I34" s="513"/>
      <c r="J34" s="513"/>
      <c r="K34" s="513"/>
      <c r="L34" s="513"/>
      <c r="M34" s="513"/>
      <c r="N34" s="891"/>
      <c r="O34" s="891"/>
      <c r="P34" s="515"/>
      <c r="Q34" s="146"/>
    </row>
    <row r="35" spans="1:17" ht="15.75" hidden="1" x14ac:dyDescent="0.25">
      <c r="A35" s="90"/>
      <c r="B35" s="90"/>
      <c r="C35" s="195" t="s">
        <v>373</v>
      </c>
      <c r="D35" s="196" t="s">
        <v>372</v>
      </c>
      <c r="E35" s="507"/>
      <c r="F35" s="508"/>
      <c r="G35" s="509"/>
      <c r="H35" s="510"/>
      <c r="I35" s="513"/>
      <c r="J35" s="513"/>
      <c r="K35" s="513"/>
      <c r="L35" s="513"/>
      <c r="M35" s="513"/>
      <c r="N35" s="891"/>
      <c r="O35" s="891"/>
      <c r="P35" s="515"/>
      <c r="Q35" s="146"/>
    </row>
    <row r="36" spans="1:17" ht="15.75" hidden="1" x14ac:dyDescent="0.25">
      <c r="A36" s="90"/>
      <c r="B36" s="90"/>
      <c r="C36" s="195" t="s">
        <v>373</v>
      </c>
      <c r="D36" s="196" t="s">
        <v>372</v>
      </c>
      <c r="E36" s="507"/>
      <c r="F36" s="508"/>
      <c r="G36" s="509"/>
      <c r="H36" s="510"/>
      <c r="I36" s="513"/>
      <c r="J36" s="513"/>
      <c r="K36" s="513"/>
      <c r="L36" s="513"/>
      <c r="M36" s="513"/>
      <c r="N36" s="891"/>
      <c r="O36" s="891"/>
      <c r="P36" s="515"/>
      <c r="Q36" s="146"/>
    </row>
    <row r="37" spans="1:17" ht="15.75" hidden="1" x14ac:dyDescent="0.25">
      <c r="A37" s="90"/>
      <c r="B37" s="90"/>
      <c r="C37" s="195" t="s">
        <v>373</v>
      </c>
      <c r="D37" s="196" t="s">
        <v>372</v>
      </c>
      <c r="E37" s="507"/>
      <c r="F37" s="508"/>
      <c r="G37" s="509"/>
      <c r="H37" s="510"/>
      <c r="I37" s="513"/>
      <c r="J37" s="513"/>
      <c r="K37" s="513"/>
      <c r="L37" s="513"/>
      <c r="M37" s="513"/>
      <c r="N37" s="891"/>
      <c r="O37" s="891"/>
      <c r="P37" s="515"/>
      <c r="Q37" s="146"/>
    </row>
    <row r="38" spans="1:17" ht="16.5" hidden="1" thickBot="1" x14ac:dyDescent="0.3">
      <c r="A38" s="90"/>
      <c r="B38" s="90"/>
      <c r="C38" s="195" t="s">
        <v>373</v>
      </c>
      <c r="D38" s="196" t="s">
        <v>372</v>
      </c>
      <c r="E38" s="507"/>
      <c r="F38" s="516"/>
      <c r="G38" s="509"/>
      <c r="H38" s="517"/>
      <c r="I38" s="513"/>
      <c r="J38" s="513"/>
      <c r="K38" s="513"/>
      <c r="L38" s="513"/>
      <c r="M38" s="513"/>
      <c r="N38" s="891"/>
      <c r="O38" s="891"/>
      <c r="P38" s="515"/>
      <c r="Q38" s="146"/>
    </row>
    <row r="39" spans="1:17" ht="15" customHeight="1" thickBot="1" x14ac:dyDescent="0.3">
      <c r="A39" s="90"/>
      <c r="B39" s="90"/>
      <c r="C39" s="682"/>
      <c r="D39" s="683"/>
      <c r="E39" s="489">
        <f>SUM(E29:E38)</f>
        <v>70</v>
      </c>
      <c r="F39" s="489"/>
      <c r="G39" s="524">
        <f t="shared" ref="G39:H39" si="2">SUM(G29:G38)</f>
        <v>642</v>
      </c>
      <c r="H39" s="489">
        <f t="shared" si="2"/>
        <v>1</v>
      </c>
      <c r="I39" s="489"/>
      <c r="J39" s="489"/>
      <c r="K39" s="489"/>
      <c r="L39" s="489"/>
      <c r="M39" s="489"/>
      <c r="N39" s="489"/>
      <c r="O39" s="489">
        <f>SUM(O29)</f>
        <v>3</v>
      </c>
      <c r="P39" s="518"/>
      <c r="Q39" s="146"/>
    </row>
    <row r="40" spans="1:17" ht="15" customHeight="1" x14ac:dyDescent="0.25">
      <c r="A40" s="90"/>
      <c r="B40" s="90"/>
      <c r="C40" s="195" t="s">
        <v>374</v>
      </c>
      <c r="D40" s="196" t="s">
        <v>375</v>
      </c>
      <c r="E40" s="504">
        <v>117</v>
      </c>
      <c r="F40" s="508">
        <v>46231</v>
      </c>
      <c r="G40" s="579">
        <v>850</v>
      </c>
      <c r="H40" s="560">
        <v>1</v>
      </c>
      <c r="I40" s="516"/>
      <c r="J40" s="579"/>
      <c r="K40" s="559"/>
      <c r="L40" s="505"/>
      <c r="M40" s="505"/>
      <c r="N40" s="890"/>
      <c r="O40" s="890">
        <v>3</v>
      </c>
      <c r="P40" s="506"/>
      <c r="Q40" s="146"/>
    </row>
    <row r="41" spans="1:17" ht="15" customHeight="1" thickBot="1" x14ac:dyDescent="0.3">
      <c r="A41" s="90"/>
      <c r="B41" s="90"/>
      <c r="C41" s="195" t="s">
        <v>374</v>
      </c>
      <c r="D41" s="196" t="s">
        <v>376</v>
      </c>
      <c r="E41" s="507">
        <v>1</v>
      </c>
      <c r="F41" s="516">
        <v>46224</v>
      </c>
      <c r="G41" s="579"/>
      <c r="H41" s="559">
        <v>1</v>
      </c>
      <c r="I41" s="511"/>
      <c r="J41" s="511"/>
      <c r="K41" s="511"/>
      <c r="L41" s="511"/>
      <c r="M41" s="511"/>
      <c r="N41" s="891"/>
      <c r="O41" s="891"/>
      <c r="P41" s="512"/>
      <c r="Q41" s="146"/>
    </row>
    <row r="42" spans="1:17" ht="15" hidden="1" customHeight="1" x14ac:dyDescent="0.25">
      <c r="A42" s="90"/>
      <c r="B42" s="90"/>
      <c r="C42" s="195" t="s">
        <v>374</v>
      </c>
      <c r="D42" s="196" t="s">
        <v>376</v>
      </c>
      <c r="E42" s="507"/>
      <c r="F42" s="516"/>
      <c r="G42" s="579"/>
      <c r="H42" s="559"/>
      <c r="I42" s="511"/>
      <c r="J42" s="511"/>
      <c r="K42" s="511"/>
      <c r="L42" s="511"/>
      <c r="M42" s="511"/>
      <c r="N42" s="891"/>
      <c r="O42" s="891"/>
      <c r="P42" s="515"/>
      <c r="Q42" s="146"/>
    </row>
    <row r="43" spans="1:17" ht="15" hidden="1" customHeight="1" x14ac:dyDescent="0.25">
      <c r="A43" s="90"/>
      <c r="B43" s="90"/>
      <c r="C43" s="195" t="s">
        <v>374</v>
      </c>
      <c r="D43" s="196" t="s">
        <v>376</v>
      </c>
      <c r="E43" s="507"/>
      <c r="F43" s="516"/>
      <c r="G43" s="579"/>
      <c r="H43" s="559"/>
      <c r="I43" s="513"/>
      <c r="J43" s="513"/>
      <c r="K43" s="513"/>
      <c r="L43" s="513"/>
      <c r="M43" s="513"/>
      <c r="N43" s="891"/>
      <c r="O43" s="891"/>
      <c r="P43" s="515"/>
      <c r="Q43" s="146"/>
    </row>
    <row r="44" spans="1:17" ht="15" hidden="1" customHeight="1" x14ac:dyDescent="0.25">
      <c r="A44" s="90"/>
      <c r="B44" s="90"/>
      <c r="C44" s="195" t="s">
        <v>374</v>
      </c>
      <c r="D44" s="196" t="s">
        <v>376</v>
      </c>
      <c r="E44" s="507"/>
      <c r="F44" s="516"/>
      <c r="G44" s="509"/>
      <c r="H44" s="517"/>
      <c r="I44" s="513"/>
      <c r="J44" s="513"/>
      <c r="K44" s="513"/>
      <c r="L44" s="513"/>
      <c r="M44" s="513"/>
      <c r="N44" s="891"/>
      <c r="O44" s="891"/>
      <c r="P44" s="515"/>
      <c r="Q44" s="146"/>
    </row>
    <row r="45" spans="1:17" ht="15" hidden="1" customHeight="1" x14ac:dyDescent="0.25">
      <c r="A45" s="90"/>
      <c r="B45" s="90"/>
      <c r="C45" s="195" t="s">
        <v>374</v>
      </c>
      <c r="D45" s="196" t="s">
        <v>376</v>
      </c>
      <c r="E45" s="507"/>
      <c r="F45" s="516"/>
      <c r="G45" s="509"/>
      <c r="H45" s="517"/>
      <c r="I45" s="513"/>
      <c r="J45" s="513"/>
      <c r="K45" s="513"/>
      <c r="L45" s="513"/>
      <c r="M45" s="513"/>
      <c r="N45" s="891"/>
      <c r="O45" s="891"/>
      <c r="P45" s="515"/>
      <c r="Q45" s="146"/>
    </row>
    <row r="46" spans="1:17" ht="15" hidden="1" customHeight="1" x14ac:dyDescent="0.25">
      <c r="A46" s="90"/>
      <c r="B46" s="90"/>
      <c r="C46" s="195" t="s">
        <v>374</v>
      </c>
      <c r="D46" s="196" t="s">
        <v>376</v>
      </c>
      <c r="E46" s="507"/>
      <c r="F46" s="516"/>
      <c r="G46" s="509"/>
      <c r="H46" s="517"/>
      <c r="I46" s="513"/>
      <c r="J46" s="513"/>
      <c r="K46" s="513"/>
      <c r="L46" s="513"/>
      <c r="M46" s="513"/>
      <c r="N46" s="891"/>
      <c r="O46" s="891"/>
      <c r="P46" s="515"/>
      <c r="Q46" s="146"/>
    </row>
    <row r="47" spans="1:17" ht="15" hidden="1" customHeight="1" thickBot="1" x14ac:dyDescent="0.3">
      <c r="A47" s="90"/>
      <c r="B47" s="90"/>
      <c r="C47" s="195" t="s">
        <v>374</v>
      </c>
      <c r="D47" s="196" t="s">
        <v>376</v>
      </c>
      <c r="E47" s="507"/>
      <c r="F47" s="516"/>
      <c r="G47" s="509"/>
      <c r="H47" s="517"/>
      <c r="I47" s="513"/>
      <c r="J47" s="513"/>
      <c r="K47" s="513"/>
      <c r="L47" s="513"/>
      <c r="M47" s="513"/>
      <c r="N47" s="891"/>
      <c r="O47" s="891"/>
      <c r="P47" s="512"/>
      <c r="Q47" s="146"/>
    </row>
    <row r="48" spans="1:17" ht="15" hidden="1" customHeight="1" x14ac:dyDescent="0.25">
      <c r="A48" s="90"/>
      <c r="B48" s="90"/>
      <c r="C48" s="195" t="s">
        <v>374</v>
      </c>
      <c r="D48" s="196" t="s">
        <v>376</v>
      </c>
      <c r="E48" s="507"/>
      <c r="F48" s="516"/>
      <c r="G48" s="509"/>
      <c r="H48" s="517"/>
      <c r="I48" s="505"/>
      <c r="J48" s="505"/>
      <c r="K48" s="505"/>
      <c r="L48" s="505"/>
      <c r="M48" s="505"/>
      <c r="N48" s="891"/>
      <c r="O48" s="891"/>
      <c r="P48" s="512"/>
      <c r="Q48" s="146"/>
    </row>
    <row r="49" spans="1:17" ht="16.5" hidden="1" thickBot="1" x14ac:dyDescent="0.3">
      <c r="A49" s="90"/>
      <c r="B49" s="90"/>
      <c r="C49" s="195" t="s">
        <v>374</v>
      </c>
      <c r="D49" s="196" t="s">
        <v>376</v>
      </c>
      <c r="E49" s="507"/>
      <c r="F49" s="516"/>
      <c r="G49" s="509"/>
      <c r="H49" s="517"/>
      <c r="I49" s="511"/>
      <c r="J49" s="511"/>
      <c r="K49" s="511"/>
      <c r="L49" s="511"/>
      <c r="M49" s="511"/>
      <c r="N49" s="891"/>
      <c r="O49" s="891"/>
      <c r="P49" s="512"/>
      <c r="Q49" s="146"/>
    </row>
    <row r="50" spans="1:17" ht="16.5" thickBot="1" x14ac:dyDescent="0.3">
      <c r="A50" s="90"/>
      <c r="B50" s="90"/>
      <c r="C50" s="682"/>
      <c r="D50" s="683"/>
      <c r="E50" s="489">
        <f>SUM(E40:E49)</f>
        <v>118</v>
      </c>
      <c r="F50" s="489"/>
      <c r="G50" s="524">
        <f t="shared" ref="G50:H50" si="3">SUM(G40:G49)</f>
        <v>850</v>
      </c>
      <c r="H50" s="489">
        <f t="shared" si="3"/>
        <v>2</v>
      </c>
      <c r="I50" s="489"/>
      <c r="J50" s="489"/>
      <c r="K50" s="489"/>
      <c r="L50" s="489"/>
      <c r="M50" s="489"/>
      <c r="N50" s="489"/>
      <c r="O50" s="489">
        <f>SUM(O40)</f>
        <v>3</v>
      </c>
      <c r="P50" s="518"/>
      <c r="Q50" s="146"/>
    </row>
    <row r="51" spans="1:17" ht="16.5" thickBot="1" x14ac:dyDescent="0.3">
      <c r="A51" s="90"/>
      <c r="B51" s="90"/>
      <c r="C51" s="552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342"/>
      <c r="P51" s="90"/>
    </row>
    <row r="52" spans="1:17" ht="15" customHeight="1" thickBot="1" x14ac:dyDescent="0.3">
      <c r="A52" s="90"/>
      <c r="B52" s="90"/>
      <c r="C52" s="682" t="s">
        <v>251</v>
      </c>
      <c r="D52" s="683"/>
      <c r="E52" s="489">
        <f>SUM(E17,E28,E39,E50)</f>
        <v>269</v>
      </c>
      <c r="F52" s="489"/>
      <c r="G52" s="524">
        <f>SUM(G17,G28,G39,G50)</f>
        <v>1751.6</v>
      </c>
      <c r="H52" s="490">
        <f>SUM(H17,H28,H39,H50)</f>
        <v>11</v>
      </c>
      <c r="I52" s="489">
        <f>SUM(I17,I28,I39,I50)</f>
        <v>0</v>
      </c>
      <c r="J52" s="489">
        <f>SUM(J17,J28,J39,J50)</f>
        <v>0</v>
      </c>
      <c r="K52" s="489">
        <f>SUM(K17,K28,K39,K50)</f>
        <v>0</v>
      </c>
      <c r="L52" s="489"/>
      <c r="M52" s="489">
        <f>SUM(M17,M28,M39,M50)</f>
        <v>0</v>
      </c>
      <c r="N52" s="489">
        <f>SUM(N17,N28,N39,N50)</f>
        <v>0</v>
      </c>
      <c r="O52" s="489">
        <f>SUM(O17,O28,O39,O50)</f>
        <v>7</v>
      </c>
      <c r="P52" s="518"/>
      <c r="Q52" s="146"/>
    </row>
    <row r="53" spans="1:17" ht="15" customHeight="1" thickBot="1" x14ac:dyDescent="0.25">
      <c r="C53" s="673" t="s">
        <v>252</v>
      </c>
      <c r="D53" s="674"/>
      <c r="E53" s="675"/>
      <c r="F53" s="676"/>
      <c r="G53" s="676"/>
      <c r="H53" s="674"/>
      <c r="I53" s="675"/>
      <c r="J53" s="676"/>
      <c r="K53" s="676"/>
      <c r="L53" s="676"/>
      <c r="M53" s="676"/>
      <c r="N53" s="676"/>
      <c r="O53" s="676"/>
      <c r="P53" s="699"/>
      <c r="Q53" s="146"/>
    </row>
    <row r="54" spans="1:17" ht="15" customHeight="1" x14ac:dyDescent="0.2">
      <c r="C54" s="685"/>
      <c r="D54" s="686"/>
      <c r="E54" s="904"/>
      <c r="F54" s="905"/>
      <c r="G54" s="905"/>
      <c r="H54" s="906"/>
      <c r="I54" s="898"/>
      <c r="J54" s="899"/>
      <c r="K54" s="899"/>
      <c r="L54" s="899"/>
      <c r="M54" s="899"/>
      <c r="N54" s="899"/>
      <c r="O54" s="899"/>
      <c r="P54" s="900"/>
      <c r="Q54" s="146"/>
    </row>
    <row r="55" spans="1:17" ht="15" customHeight="1" thickBot="1" x14ac:dyDescent="0.25">
      <c r="C55" s="687"/>
      <c r="D55" s="688"/>
      <c r="E55" s="907"/>
      <c r="F55" s="908"/>
      <c r="G55" s="908"/>
      <c r="H55" s="909"/>
      <c r="I55" s="901"/>
      <c r="J55" s="902"/>
      <c r="K55" s="902"/>
      <c r="L55" s="902"/>
      <c r="M55" s="902"/>
      <c r="N55" s="902"/>
      <c r="O55" s="902"/>
      <c r="P55" s="903"/>
      <c r="Q55" s="146"/>
    </row>
    <row r="57" spans="1:17" ht="14.85" customHeight="1" x14ac:dyDescent="0.2">
      <c r="C57" s="225"/>
    </row>
    <row r="58" spans="1:17" ht="14.85" customHeight="1" x14ac:dyDescent="0.2">
      <c r="N58" s="454"/>
    </row>
    <row r="59" spans="1:17" ht="12.75" x14ac:dyDescent="0.2"/>
    <row r="60" spans="1:17" ht="14.85" customHeight="1" x14ac:dyDescent="0.2">
      <c r="C60" s="177" t="s">
        <v>219</v>
      </c>
      <c r="D60" s="178" t="s">
        <v>377</v>
      </c>
    </row>
    <row r="61" spans="1:17" ht="14.85" customHeight="1" x14ac:dyDescent="0.2">
      <c r="C61" s="177" t="s">
        <v>224</v>
      </c>
      <c r="D61" s="278" t="s">
        <v>310</v>
      </c>
    </row>
  </sheetData>
  <sheetProtection formatCells="0" formatColumns="0" formatRows="0" insertColumns="0" insertRows="0" insertHyperlinks="0" deleteColumns="0" deleteRows="0" sort="0" autoFilter="0" pivotTables="0"/>
  <mergeCells count="44">
    <mergeCell ref="I53:P53"/>
    <mergeCell ref="C50:D50"/>
    <mergeCell ref="I54:P55"/>
    <mergeCell ref="C28:D28"/>
    <mergeCell ref="C52:D52"/>
    <mergeCell ref="C53:D53"/>
    <mergeCell ref="E53:H53"/>
    <mergeCell ref="C54:D55"/>
    <mergeCell ref="E54:H55"/>
    <mergeCell ref="C39:D39"/>
    <mergeCell ref="O40:O49"/>
    <mergeCell ref="N29:N38"/>
    <mergeCell ref="O29:O38"/>
    <mergeCell ref="G4:H4"/>
    <mergeCell ref="G5:G6"/>
    <mergeCell ref="N5:N6"/>
    <mergeCell ref="O5:O6"/>
    <mergeCell ref="I5:I6"/>
    <mergeCell ref="J5:J6"/>
    <mergeCell ref="H5:H6"/>
    <mergeCell ref="K5:K6"/>
    <mergeCell ref="L5:L6"/>
    <mergeCell ref="M5:M6"/>
    <mergeCell ref="C1:F2"/>
    <mergeCell ref="L1:M1"/>
    <mergeCell ref="G2:H2"/>
    <mergeCell ref="C3:D3"/>
    <mergeCell ref="E3:F3"/>
    <mergeCell ref="G3:H3"/>
    <mergeCell ref="I1:J1"/>
    <mergeCell ref="J3:L3"/>
    <mergeCell ref="J2:L2"/>
    <mergeCell ref="G1:H1"/>
    <mergeCell ref="C5:C6"/>
    <mergeCell ref="N40:N49"/>
    <mergeCell ref="C17:D17"/>
    <mergeCell ref="D5:D6"/>
    <mergeCell ref="E5:E6"/>
    <mergeCell ref="F5:F6"/>
    <mergeCell ref="O18:O27"/>
    <mergeCell ref="P5:P6"/>
    <mergeCell ref="N7:N16"/>
    <mergeCell ref="O7:O16"/>
    <mergeCell ref="N18:N27"/>
  </mergeCells>
  <phoneticPr fontId="33" type="noConversion"/>
  <hyperlinks>
    <hyperlink ref="W2" r:id="rId1" display="EstoqueCDCuritiba@bat.onmicrosoft.com; Comfrio_Pinhais" xr:uid="{8BD8AFB8-20DF-419A-B04B-ACCE9A5AB4DC}"/>
    <hyperlink ref="D61" r:id="rId2" xr:uid="{43123DA8-329C-4B46-A26D-EB7685B24ABE}"/>
    <hyperlink ref="W1" r:id="rId3" display="itoria_maria_da_silva_rodrigues@bat.com;" xr:uid="{D6AFDDBC-DE51-404E-BA0F-39B9D2ADCC05}"/>
  </hyperlinks>
  <pageMargins left="0" right="0" top="0.31496062992125984" bottom="0.31496062992125984" header="0" footer="0"/>
  <pageSetup paperSize="9" firstPageNumber="0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7" name="Button 1">
              <controlPr defaultSize="0" print="0" autoFill="0" autoPict="0" macro="[0]!Ocultar_Linhas_PG">
                <anchor moveWithCells="1">
                  <from>
                    <xdr:col>16</xdr:col>
                    <xdr:colOff>1428750</xdr:colOff>
                    <xdr:row>3</xdr:row>
                    <xdr:rowOff>133350</xdr:rowOff>
                  </from>
                  <to>
                    <xdr:col>16</xdr:col>
                    <xdr:colOff>2590800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8" name="Button 2">
              <controlPr defaultSize="0" print="0" autoFill="0" autoPict="0" macro="[0]!Gerar_minuta_pg">
                <anchor moveWithCells="1">
                  <from>
                    <xdr:col>16</xdr:col>
                    <xdr:colOff>1419225</xdr:colOff>
                    <xdr:row>0</xdr:row>
                    <xdr:rowOff>133350</xdr:rowOff>
                  </from>
                  <to>
                    <xdr:col>16</xdr:col>
                    <xdr:colOff>2581275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9" name="Button 3">
              <controlPr defaultSize="0" print="0" autoFill="0" autoPict="0" macro="[0]!Reexibir_Linhas_PG">
                <anchor moveWithCells="1">
                  <from>
                    <xdr:col>16</xdr:col>
                    <xdr:colOff>1428750</xdr:colOff>
                    <xdr:row>1</xdr:row>
                    <xdr:rowOff>323850</xdr:rowOff>
                  </from>
                  <to>
                    <xdr:col>16</xdr:col>
                    <xdr:colOff>2590800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10" name="Button 4">
              <controlPr defaultSize="0" print="0" autoFill="0" autoPict="0" macro="[0]!Limpar_min_PG">
                <anchor moveWithCells="1">
                  <from>
                    <xdr:col>16</xdr:col>
                    <xdr:colOff>1428750</xdr:colOff>
                    <xdr:row>5</xdr:row>
                    <xdr:rowOff>209550</xdr:rowOff>
                  </from>
                  <to>
                    <xdr:col>16</xdr:col>
                    <xdr:colOff>2590800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5CE33-82FA-4F09-B608-43CBE9996ABD}">
  <sheetPr codeName="P03"/>
  <dimension ref="A1:G194"/>
  <sheetViews>
    <sheetView showGridLines="0" topLeftCell="A144" workbookViewId="0">
      <selection activeCell="C2" sqref="C2"/>
    </sheetView>
  </sheetViews>
  <sheetFormatPr defaultColWidth="9.140625" defaultRowHeight="12.75" x14ac:dyDescent="0.2"/>
  <cols>
    <col min="1" max="1" width="11.28515625" style="254" customWidth="1"/>
    <col min="2" max="2" width="11.5703125" style="44" bestFit="1" customWidth="1"/>
    <col min="3" max="3" width="11.140625" style="44" bestFit="1" customWidth="1"/>
    <col min="4" max="4" width="15.5703125" style="44" customWidth="1"/>
    <col min="5" max="5" width="17.140625" style="44" customWidth="1"/>
    <col min="6" max="6" width="8.42578125" style="44" bestFit="1" customWidth="1"/>
    <col min="7" max="7" width="19.7109375" style="44" customWidth="1"/>
    <col min="8" max="8" width="21.5703125" style="44" bestFit="1" customWidth="1"/>
    <col min="9" max="16384" width="9.140625" style="44"/>
  </cols>
  <sheetData>
    <row r="1" spans="1:7" ht="48" thickBot="1" x14ac:dyDescent="0.25">
      <c r="A1" s="245" t="s">
        <v>378</v>
      </c>
      <c r="B1" s="40" t="s">
        <v>379</v>
      </c>
      <c r="C1" s="40" t="s">
        <v>380</v>
      </c>
      <c r="D1" s="41" t="s">
        <v>381</v>
      </c>
      <c r="E1" s="41" t="s">
        <v>382</v>
      </c>
      <c r="F1" s="42" t="s">
        <v>383</v>
      </c>
      <c r="G1" s="43" t="s">
        <v>382</v>
      </c>
    </row>
    <row r="2" spans="1:7" ht="15" x14ac:dyDescent="0.2">
      <c r="A2" s="244">
        <v>2</v>
      </c>
      <c r="B2" s="48">
        <v>267.75</v>
      </c>
      <c r="C2" s="48">
        <v>297</v>
      </c>
      <c r="D2" s="45">
        <v>1660.05</v>
      </c>
      <c r="E2" s="45">
        <v>1992.06</v>
      </c>
      <c r="F2" s="46">
        <v>1</v>
      </c>
      <c r="G2" s="47">
        <v>1992.06</v>
      </c>
    </row>
    <row r="3" spans="1:7" ht="15" x14ac:dyDescent="0.2">
      <c r="A3" s="244">
        <v>2.1</v>
      </c>
      <c r="B3" s="48">
        <v>276</v>
      </c>
      <c r="C3" s="48">
        <v>307.5</v>
      </c>
      <c r="D3" s="45">
        <v>1711.2</v>
      </c>
      <c r="E3" s="45">
        <v>2053.44</v>
      </c>
      <c r="F3" s="46">
        <v>1</v>
      </c>
      <c r="G3" s="47">
        <v>2053.44</v>
      </c>
    </row>
    <row r="4" spans="1:7" ht="15" x14ac:dyDescent="0.2">
      <c r="A4" s="244">
        <v>2.2000000000000002</v>
      </c>
      <c r="B4" s="48">
        <v>285.75</v>
      </c>
      <c r="C4" s="48">
        <v>317.25</v>
      </c>
      <c r="D4" s="45">
        <v>1771.65</v>
      </c>
      <c r="E4" s="45">
        <v>2125.98</v>
      </c>
      <c r="F4" s="46">
        <v>1</v>
      </c>
      <c r="G4" s="47">
        <v>2125.98</v>
      </c>
    </row>
    <row r="5" spans="1:7" ht="15" x14ac:dyDescent="0.2">
      <c r="A5" s="244">
        <v>2.2999999999999998</v>
      </c>
      <c r="B5" s="48">
        <v>294</v>
      </c>
      <c r="C5" s="48">
        <v>327.75</v>
      </c>
      <c r="D5" s="45">
        <v>1822.8</v>
      </c>
      <c r="E5" s="45">
        <v>2187.3599999999997</v>
      </c>
      <c r="F5" s="46">
        <v>1</v>
      </c>
      <c r="G5" s="47">
        <v>2187.3599999999997</v>
      </c>
    </row>
    <row r="6" spans="1:7" ht="15" x14ac:dyDescent="0.2">
      <c r="A6" s="244">
        <v>2.4</v>
      </c>
      <c r="B6" s="48">
        <v>304.5</v>
      </c>
      <c r="C6" s="48">
        <v>337.5</v>
      </c>
      <c r="D6" s="45">
        <v>1887.9</v>
      </c>
      <c r="E6" s="45">
        <v>2265.48</v>
      </c>
      <c r="F6" s="46">
        <v>1</v>
      </c>
      <c r="G6" s="47">
        <v>2265.48</v>
      </c>
    </row>
    <row r="7" spans="1:7" ht="15" x14ac:dyDescent="0.2">
      <c r="A7" s="244">
        <v>2.5</v>
      </c>
      <c r="B7" s="48">
        <v>312.75</v>
      </c>
      <c r="C7" s="48">
        <v>348</v>
      </c>
      <c r="D7" s="45">
        <v>1939.05</v>
      </c>
      <c r="E7" s="45">
        <v>2326.8599999999997</v>
      </c>
      <c r="F7" s="46">
        <v>1</v>
      </c>
      <c r="G7" s="47">
        <v>2326.8599999999997</v>
      </c>
    </row>
    <row r="8" spans="1:7" ht="15" x14ac:dyDescent="0.2">
      <c r="A8" s="244">
        <v>2.6</v>
      </c>
      <c r="B8" s="48">
        <v>323.25</v>
      </c>
      <c r="C8" s="48">
        <v>357.75</v>
      </c>
      <c r="D8" s="45">
        <v>2004.15</v>
      </c>
      <c r="E8" s="45">
        <v>2404.98</v>
      </c>
      <c r="F8" s="46">
        <v>1</v>
      </c>
      <c r="G8" s="47">
        <v>2404.98</v>
      </c>
    </row>
    <row r="9" spans="1:7" ht="15" x14ac:dyDescent="0.2">
      <c r="A9" s="244">
        <v>2.7</v>
      </c>
      <c r="B9" s="48">
        <v>331.5</v>
      </c>
      <c r="C9" s="48">
        <v>368.25</v>
      </c>
      <c r="D9" s="45">
        <v>2055.3000000000002</v>
      </c>
      <c r="E9" s="45">
        <v>2466.36</v>
      </c>
      <c r="F9" s="46">
        <v>1</v>
      </c>
      <c r="G9" s="47">
        <v>2466.36</v>
      </c>
    </row>
    <row r="10" spans="1:7" ht="15" x14ac:dyDescent="0.2">
      <c r="A10" s="244">
        <v>2.8</v>
      </c>
      <c r="B10" s="48">
        <v>341.25</v>
      </c>
      <c r="C10" s="48">
        <v>379.5</v>
      </c>
      <c r="D10" s="45">
        <v>2115.75</v>
      </c>
      <c r="E10" s="45">
        <v>2538.9</v>
      </c>
      <c r="F10" s="46">
        <v>1</v>
      </c>
      <c r="G10" s="47">
        <v>2538.9</v>
      </c>
    </row>
    <row r="11" spans="1:7" ht="15" x14ac:dyDescent="0.2">
      <c r="A11" s="244">
        <v>2.9</v>
      </c>
      <c r="B11" s="48">
        <v>349.5</v>
      </c>
      <c r="C11" s="48">
        <v>388.5</v>
      </c>
      <c r="D11" s="45">
        <v>2166.9</v>
      </c>
      <c r="E11" s="45">
        <v>2600.2800000000002</v>
      </c>
      <c r="F11" s="46">
        <v>1</v>
      </c>
      <c r="G11" s="47">
        <v>2600.2800000000002</v>
      </c>
    </row>
    <row r="12" spans="1:7" ht="15" x14ac:dyDescent="0.2">
      <c r="A12" s="244">
        <v>3</v>
      </c>
      <c r="B12" s="48">
        <v>374.25</v>
      </c>
      <c r="C12" s="48">
        <v>416.25</v>
      </c>
      <c r="D12" s="45">
        <v>2320.35</v>
      </c>
      <c r="E12" s="45">
        <v>2784.4199999999996</v>
      </c>
      <c r="F12" s="46">
        <v>1</v>
      </c>
      <c r="G12" s="47">
        <v>2784.4199999999996</v>
      </c>
    </row>
    <row r="13" spans="1:7" ht="15" x14ac:dyDescent="0.2">
      <c r="A13" s="246">
        <v>3.1</v>
      </c>
      <c r="B13" s="48">
        <v>384</v>
      </c>
      <c r="C13" s="48">
        <v>426</v>
      </c>
      <c r="D13" s="45">
        <v>2380.8000000000002</v>
      </c>
      <c r="E13" s="45">
        <v>2856.96</v>
      </c>
      <c r="F13" s="46">
        <v>1</v>
      </c>
      <c r="G13" s="47">
        <v>2856.96</v>
      </c>
    </row>
    <row r="14" spans="1:7" ht="15" x14ac:dyDescent="0.2">
      <c r="A14" s="246">
        <v>3.2</v>
      </c>
      <c r="B14" s="48">
        <v>392.25</v>
      </c>
      <c r="C14" s="48">
        <v>437.25</v>
      </c>
      <c r="D14" s="45">
        <v>2431.9500000000003</v>
      </c>
      <c r="E14" s="45">
        <v>2918.34</v>
      </c>
      <c r="F14" s="46">
        <v>1</v>
      </c>
      <c r="G14" s="47">
        <v>2918.34</v>
      </c>
    </row>
    <row r="15" spans="1:7" ht="15" x14ac:dyDescent="0.2">
      <c r="A15" s="246">
        <v>3.3</v>
      </c>
      <c r="B15" s="48">
        <v>402</v>
      </c>
      <c r="C15" s="48">
        <v>446.25</v>
      </c>
      <c r="D15" s="45">
        <v>2492.4</v>
      </c>
      <c r="E15" s="45">
        <v>2990.88</v>
      </c>
      <c r="F15" s="46">
        <v>1</v>
      </c>
      <c r="G15" s="47">
        <v>2990.88</v>
      </c>
    </row>
    <row r="16" spans="1:7" ht="15" x14ac:dyDescent="0.2">
      <c r="A16" s="246">
        <v>3.4</v>
      </c>
      <c r="B16" s="48">
        <v>410.25</v>
      </c>
      <c r="C16" s="48">
        <v>457.5</v>
      </c>
      <c r="D16" s="45">
        <v>2543.5500000000002</v>
      </c>
      <c r="E16" s="45">
        <v>3052.26</v>
      </c>
      <c r="F16" s="46">
        <v>1</v>
      </c>
      <c r="G16" s="47">
        <v>3052.26</v>
      </c>
    </row>
    <row r="17" spans="1:7" ht="15" x14ac:dyDescent="0.2">
      <c r="A17" s="246">
        <v>3.5</v>
      </c>
      <c r="B17" s="48">
        <v>420.75</v>
      </c>
      <c r="C17" s="48">
        <v>466.5</v>
      </c>
      <c r="D17" s="45">
        <v>2608.65</v>
      </c>
      <c r="E17" s="45">
        <v>3130.38</v>
      </c>
      <c r="F17" s="46">
        <v>1</v>
      </c>
      <c r="G17" s="47">
        <v>3130.38</v>
      </c>
    </row>
    <row r="18" spans="1:7" ht="15" x14ac:dyDescent="0.2">
      <c r="A18" s="246">
        <v>3.6</v>
      </c>
      <c r="B18" s="48">
        <v>429</v>
      </c>
      <c r="C18" s="48">
        <v>477.75</v>
      </c>
      <c r="D18" s="45">
        <v>2659.8</v>
      </c>
      <c r="E18" s="45">
        <v>3191.76</v>
      </c>
      <c r="F18" s="46">
        <v>1</v>
      </c>
      <c r="G18" s="47">
        <v>3191.76</v>
      </c>
    </row>
    <row r="19" spans="1:7" ht="15" x14ac:dyDescent="0.2">
      <c r="A19" s="246">
        <v>3.7</v>
      </c>
      <c r="B19" s="48">
        <v>438</v>
      </c>
      <c r="C19" s="48">
        <v>487.5</v>
      </c>
      <c r="D19" s="45">
        <v>2715.6</v>
      </c>
      <c r="E19" s="45">
        <v>3258.72</v>
      </c>
      <c r="F19" s="46">
        <v>1</v>
      </c>
      <c r="G19" s="47">
        <v>3258.72</v>
      </c>
    </row>
    <row r="20" spans="1:7" ht="15" x14ac:dyDescent="0.2">
      <c r="A20" s="246">
        <v>3.8</v>
      </c>
      <c r="B20" s="48">
        <v>447.75</v>
      </c>
      <c r="C20" s="48">
        <v>498</v>
      </c>
      <c r="D20" s="45">
        <v>2776.05</v>
      </c>
      <c r="E20" s="45">
        <v>3331.26</v>
      </c>
      <c r="F20" s="46">
        <v>1</v>
      </c>
      <c r="G20" s="47">
        <v>3331.26</v>
      </c>
    </row>
    <row r="21" spans="1:7" ht="15" x14ac:dyDescent="0.2">
      <c r="A21" s="246">
        <v>3.9</v>
      </c>
      <c r="B21" s="48">
        <v>456.75</v>
      </c>
      <c r="C21" s="48">
        <v>507.75</v>
      </c>
      <c r="D21" s="45">
        <v>2831.85</v>
      </c>
      <c r="E21" s="45">
        <v>3398.22</v>
      </c>
      <c r="F21" s="46">
        <v>1</v>
      </c>
      <c r="G21" s="47">
        <v>3398.22</v>
      </c>
    </row>
    <row r="22" spans="1:7" ht="15" x14ac:dyDescent="0.2">
      <c r="A22" s="246">
        <v>4</v>
      </c>
      <c r="B22" s="48">
        <v>480.75</v>
      </c>
      <c r="C22" s="48">
        <v>535.5</v>
      </c>
      <c r="D22" s="45">
        <v>2980.65</v>
      </c>
      <c r="E22" s="45">
        <v>3576.78</v>
      </c>
      <c r="F22" s="46">
        <v>1</v>
      </c>
      <c r="G22" s="47">
        <v>3576.78</v>
      </c>
    </row>
    <row r="23" spans="1:7" ht="15" x14ac:dyDescent="0.2">
      <c r="A23" s="247">
        <v>4.0999999999999996</v>
      </c>
      <c r="B23" s="48">
        <v>479.25</v>
      </c>
      <c r="C23" s="48">
        <v>534</v>
      </c>
      <c r="D23" s="45">
        <v>2971.35</v>
      </c>
      <c r="E23" s="45">
        <v>3565.62</v>
      </c>
      <c r="F23" s="46">
        <v>1</v>
      </c>
      <c r="G23" s="47">
        <v>3565.62</v>
      </c>
    </row>
    <row r="24" spans="1:7" ht="15" x14ac:dyDescent="0.2">
      <c r="A24" s="248">
        <v>4.2</v>
      </c>
      <c r="B24" s="48">
        <v>489</v>
      </c>
      <c r="C24" s="48">
        <v>544.5</v>
      </c>
      <c r="D24" s="45">
        <v>3031.8</v>
      </c>
      <c r="E24" s="45">
        <v>3638.1600000000003</v>
      </c>
      <c r="F24" s="46">
        <v>1</v>
      </c>
      <c r="G24" s="47">
        <v>3638.1600000000003</v>
      </c>
    </row>
    <row r="25" spans="1:7" ht="15" x14ac:dyDescent="0.2">
      <c r="A25" s="248">
        <v>4.3</v>
      </c>
      <c r="B25" s="48">
        <v>497.25</v>
      </c>
      <c r="C25" s="48">
        <v>553.5</v>
      </c>
      <c r="D25" s="45">
        <v>3082.9500000000003</v>
      </c>
      <c r="E25" s="45">
        <v>3699.54</v>
      </c>
      <c r="F25" s="46">
        <v>1</v>
      </c>
      <c r="G25" s="47">
        <v>3699.54</v>
      </c>
    </row>
    <row r="26" spans="1:7" ht="15" x14ac:dyDescent="0.2">
      <c r="A26" s="248">
        <v>4.4000000000000004</v>
      </c>
      <c r="B26" s="48">
        <v>512.25</v>
      </c>
      <c r="C26" s="48">
        <v>569.25</v>
      </c>
      <c r="D26" s="45">
        <v>3175.9500000000003</v>
      </c>
      <c r="E26" s="45">
        <v>3811.1400000000003</v>
      </c>
      <c r="F26" s="46">
        <v>1</v>
      </c>
      <c r="G26" s="47">
        <v>3811.1400000000003</v>
      </c>
    </row>
    <row r="27" spans="1:7" ht="15" x14ac:dyDescent="0.2">
      <c r="A27" s="248">
        <v>4.5</v>
      </c>
      <c r="B27" s="48">
        <v>515.25</v>
      </c>
      <c r="C27" s="48">
        <v>573.75</v>
      </c>
      <c r="D27" s="45">
        <v>3194.55</v>
      </c>
      <c r="E27" s="45">
        <v>3833.46</v>
      </c>
      <c r="F27" s="46">
        <v>1</v>
      </c>
      <c r="G27" s="47">
        <v>3833.46</v>
      </c>
    </row>
    <row r="28" spans="1:7" ht="15" x14ac:dyDescent="0.2">
      <c r="A28" s="248">
        <v>4.5999999999999996</v>
      </c>
      <c r="B28" s="48">
        <v>525.75</v>
      </c>
      <c r="C28" s="48">
        <v>584.25</v>
      </c>
      <c r="D28" s="45">
        <v>3259.65</v>
      </c>
      <c r="E28" s="45">
        <v>3911.58</v>
      </c>
      <c r="F28" s="46">
        <v>1</v>
      </c>
      <c r="G28" s="47">
        <v>3911.58</v>
      </c>
    </row>
    <row r="29" spans="1:7" ht="15" x14ac:dyDescent="0.2">
      <c r="A29" s="248">
        <v>4.7</v>
      </c>
      <c r="B29" s="48">
        <v>534</v>
      </c>
      <c r="C29" s="48">
        <v>593.25</v>
      </c>
      <c r="D29" s="45">
        <v>3310.8</v>
      </c>
      <c r="E29" s="45">
        <v>3972.96</v>
      </c>
      <c r="F29" s="46">
        <v>1</v>
      </c>
      <c r="G29" s="47">
        <v>3972.96</v>
      </c>
    </row>
    <row r="30" spans="1:7" ht="15" x14ac:dyDescent="0.2">
      <c r="A30" s="248">
        <v>4.8</v>
      </c>
      <c r="B30" s="48">
        <v>543.75</v>
      </c>
      <c r="C30" s="48">
        <v>604.5</v>
      </c>
      <c r="D30" s="45">
        <v>3371.25</v>
      </c>
      <c r="E30" s="45">
        <v>4045.5</v>
      </c>
      <c r="F30" s="46">
        <v>1</v>
      </c>
      <c r="G30" s="47">
        <v>4045.5</v>
      </c>
    </row>
    <row r="31" spans="1:7" ht="15" x14ac:dyDescent="0.2">
      <c r="A31" s="248">
        <v>4.9000000000000004</v>
      </c>
      <c r="B31" s="48">
        <v>552</v>
      </c>
      <c r="C31" s="48">
        <v>613.5</v>
      </c>
      <c r="D31" s="45">
        <v>3422.4</v>
      </c>
      <c r="E31" s="45">
        <v>4106.88</v>
      </c>
      <c r="F31" s="46">
        <v>1</v>
      </c>
      <c r="G31" s="47">
        <v>4106.88</v>
      </c>
    </row>
    <row r="32" spans="1:7" ht="15" x14ac:dyDescent="0.2">
      <c r="A32" s="248">
        <v>5</v>
      </c>
      <c r="B32" s="48">
        <v>576</v>
      </c>
      <c r="C32" s="48">
        <v>641.25</v>
      </c>
      <c r="D32" s="45">
        <v>3571.2000000000003</v>
      </c>
      <c r="E32" s="45">
        <v>4285.4400000000005</v>
      </c>
      <c r="F32" s="46">
        <v>1</v>
      </c>
      <c r="G32" s="47">
        <v>4285.4400000000005</v>
      </c>
    </row>
    <row r="33" spans="1:7" ht="15" x14ac:dyDescent="0.2">
      <c r="A33" s="249">
        <v>5.0999999999999996</v>
      </c>
      <c r="B33" s="48">
        <v>585</v>
      </c>
      <c r="C33" s="48">
        <v>650.25</v>
      </c>
      <c r="D33" s="45">
        <v>3627</v>
      </c>
      <c r="E33" s="45">
        <v>4352.3999999999996</v>
      </c>
      <c r="F33" s="46">
        <v>1</v>
      </c>
      <c r="G33" s="47">
        <v>4352.3999999999996</v>
      </c>
    </row>
    <row r="34" spans="1:7" ht="15" x14ac:dyDescent="0.2">
      <c r="A34" s="249">
        <v>5.2</v>
      </c>
      <c r="B34" s="48">
        <v>593.25</v>
      </c>
      <c r="C34" s="48">
        <v>661.5</v>
      </c>
      <c r="D34" s="45">
        <v>3678.15</v>
      </c>
      <c r="E34" s="45">
        <v>4413.78</v>
      </c>
      <c r="F34" s="46">
        <v>1</v>
      </c>
      <c r="G34" s="47">
        <v>4413.78</v>
      </c>
    </row>
    <row r="35" spans="1:7" ht="15" x14ac:dyDescent="0.2">
      <c r="A35" s="249">
        <v>5.3</v>
      </c>
      <c r="B35" s="48">
        <v>603</v>
      </c>
      <c r="C35" s="48">
        <v>670.5</v>
      </c>
      <c r="D35" s="45">
        <v>3738.6</v>
      </c>
      <c r="E35" s="45">
        <v>4486.32</v>
      </c>
      <c r="F35" s="46">
        <v>1</v>
      </c>
      <c r="G35" s="47">
        <v>4486.32</v>
      </c>
    </row>
    <row r="36" spans="1:7" ht="15" x14ac:dyDescent="0.2">
      <c r="A36" s="249">
        <v>5.4</v>
      </c>
      <c r="B36" s="48">
        <v>611.25</v>
      </c>
      <c r="C36" s="48">
        <v>681</v>
      </c>
      <c r="D36" s="45">
        <v>3789.75</v>
      </c>
      <c r="E36" s="45">
        <v>4547.7</v>
      </c>
      <c r="F36" s="46">
        <v>1</v>
      </c>
      <c r="G36" s="47">
        <v>4547.7</v>
      </c>
    </row>
    <row r="37" spans="1:7" ht="15" x14ac:dyDescent="0.2">
      <c r="A37" s="249">
        <v>5.5</v>
      </c>
      <c r="B37" s="48">
        <v>621.75</v>
      </c>
      <c r="C37" s="48">
        <v>690</v>
      </c>
      <c r="D37" s="45">
        <v>3854.85</v>
      </c>
      <c r="E37" s="45">
        <v>4625.82</v>
      </c>
      <c r="F37" s="46">
        <v>1</v>
      </c>
      <c r="G37" s="47">
        <v>4625.82</v>
      </c>
    </row>
    <row r="38" spans="1:7" ht="15" x14ac:dyDescent="0.2">
      <c r="A38" s="249">
        <v>5.6</v>
      </c>
      <c r="B38" s="48">
        <v>629.25</v>
      </c>
      <c r="C38" s="48">
        <v>701.25</v>
      </c>
      <c r="D38" s="45">
        <v>3901.35</v>
      </c>
      <c r="E38" s="45">
        <v>4681.62</v>
      </c>
      <c r="F38" s="46">
        <v>1</v>
      </c>
      <c r="G38" s="47">
        <v>4681.62</v>
      </c>
    </row>
    <row r="39" spans="1:7" ht="15" x14ac:dyDescent="0.2">
      <c r="A39" s="249">
        <v>5.7</v>
      </c>
      <c r="B39" s="48">
        <v>638.25</v>
      </c>
      <c r="C39" s="48">
        <v>710.25</v>
      </c>
      <c r="D39" s="45">
        <v>3957.15</v>
      </c>
      <c r="E39" s="45">
        <v>4748.58</v>
      </c>
      <c r="F39" s="46">
        <v>1</v>
      </c>
      <c r="G39" s="47">
        <v>4748.58</v>
      </c>
    </row>
    <row r="40" spans="1:7" ht="15" x14ac:dyDescent="0.2">
      <c r="A40" s="249">
        <v>5.8</v>
      </c>
      <c r="B40" s="48">
        <v>647.25</v>
      </c>
      <c r="C40" s="48">
        <v>720.75</v>
      </c>
      <c r="D40" s="45">
        <v>4012.9500000000003</v>
      </c>
      <c r="E40" s="45">
        <v>4815.54</v>
      </c>
      <c r="F40" s="46">
        <v>1</v>
      </c>
      <c r="G40" s="47">
        <v>4815.54</v>
      </c>
    </row>
    <row r="41" spans="1:7" ht="15" x14ac:dyDescent="0.2">
      <c r="A41" s="249">
        <v>5.9</v>
      </c>
      <c r="B41" s="48">
        <v>657</v>
      </c>
      <c r="C41" s="48">
        <v>729.75</v>
      </c>
      <c r="D41" s="45">
        <v>4073.4</v>
      </c>
      <c r="E41" s="45">
        <v>4888.08</v>
      </c>
      <c r="F41" s="46">
        <v>1</v>
      </c>
      <c r="G41" s="47">
        <v>4888.08</v>
      </c>
    </row>
    <row r="42" spans="1:7" ht="15" x14ac:dyDescent="0.2">
      <c r="A42" s="249">
        <v>6</v>
      </c>
      <c r="B42" s="48">
        <v>681</v>
      </c>
      <c r="C42" s="48">
        <v>756.75</v>
      </c>
      <c r="D42" s="45">
        <v>4222.2</v>
      </c>
      <c r="E42" s="45">
        <v>5066.6399999999994</v>
      </c>
      <c r="F42" s="46">
        <v>1</v>
      </c>
      <c r="G42" s="47">
        <v>5066.6399999999994</v>
      </c>
    </row>
    <row r="43" spans="1:7" ht="15" x14ac:dyDescent="0.2">
      <c r="A43" s="250">
        <v>6.1</v>
      </c>
      <c r="B43" s="48">
        <v>684.75</v>
      </c>
      <c r="C43" s="48">
        <v>761.25</v>
      </c>
      <c r="D43" s="45">
        <v>4245.45</v>
      </c>
      <c r="E43" s="45">
        <v>5094.54</v>
      </c>
      <c r="F43" s="46">
        <v>1</v>
      </c>
      <c r="G43" s="47">
        <v>5094.54</v>
      </c>
    </row>
    <row r="44" spans="1:7" ht="15" x14ac:dyDescent="0.2">
      <c r="A44" s="250">
        <v>6.2</v>
      </c>
      <c r="B44" s="48">
        <v>689.25</v>
      </c>
      <c r="C44" s="48">
        <v>765.75</v>
      </c>
      <c r="D44" s="45">
        <v>4273.3500000000004</v>
      </c>
      <c r="E44" s="45">
        <v>5128.0200000000004</v>
      </c>
      <c r="F44" s="46">
        <v>1</v>
      </c>
      <c r="G44" s="47">
        <v>5128.0200000000004</v>
      </c>
    </row>
    <row r="45" spans="1:7" ht="15" x14ac:dyDescent="0.2">
      <c r="A45" s="250">
        <v>6.3</v>
      </c>
      <c r="B45" s="48">
        <v>694.5</v>
      </c>
      <c r="C45" s="48">
        <v>771.75</v>
      </c>
      <c r="D45" s="45">
        <v>4305.9000000000005</v>
      </c>
      <c r="E45" s="45">
        <v>5167.0800000000008</v>
      </c>
      <c r="F45" s="46">
        <v>1</v>
      </c>
      <c r="G45" s="47">
        <v>5167.0800000000008</v>
      </c>
    </row>
    <row r="46" spans="1:7" ht="15" x14ac:dyDescent="0.2">
      <c r="A46" s="250">
        <v>6.4</v>
      </c>
      <c r="B46" s="48">
        <v>699</v>
      </c>
      <c r="C46" s="48">
        <v>776.25</v>
      </c>
      <c r="D46" s="45">
        <v>4333.8</v>
      </c>
      <c r="E46" s="45">
        <v>5200.5600000000004</v>
      </c>
      <c r="F46" s="46">
        <v>1</v>
      </c>
      <c r="G46" s="47">
        <v>5200.5600000000004</v>
      </c>
    </row>
    <row r="47" spans="1:7" ht="15" x14ac:dyDescent="0.2">
      <c r="A47" s="250">
        <v>6.5</v>
      </c>
      <c r="B47" s="48">
        <v>703.5</v>
      </c>
      <c r="C47" s="48">
        <v>781.5</v>
      </c>
      <c r="D47" s="45">
        <v>4361.7</v>
      </c>
      <c r="E47" s="45">
        <v>5234.04</v>
      </c>
      <c r="F47" s="46">
        <v>1</v>
      </c>
      <c r="G47" s="47">
        <v>5234.04</v>
      </c>
    </row>
    <row r="48" spans="1:7" ht="15" x14ac:dyDescent="0.2">
      <c r="A48" s="250">
        <v>6.6</v>
      </c>
      <c r="B48" s="48">
        <v>707.25</v>
      </c>
      <c r="C48" s="48">
        <v>786</v>
      </c>
      <c r="D48" s="45">
        <v>4384.95</v>
      </c>
      <c r="E48" s="45">
        <v>5261.94</v>
      </c>
      <c r="F48" s="46">
        <v>1</v>
      </c>
      <c r="G48" s="47">
        <v>5261.94</v>
      </c>
    </row>
    <row r="49" spans="1:7" ht="15" x14ac:dyDescent="0.2">
      <c r="A49" s="250">
        <v>6.7</v>
      </c>
      <c r="B49" s="48">
        <v>711.75</v>
      </c>
      <c r="C49" s="48">
        <v>791.25</v>
      </c>
      <c r="D49" s="45">
        <v>4412.8500000000004</v>
      </c>
      <c r="E49" s="45">
        <v>5295.42</v>
      </c>
      <c r="F49" s="46">
        <v>1</v>
      </c>
      <c r="G49" s="47">
        <v>5295.42</v>
      </c>
    </row>
    <row r="50" spans="1:7" ht="15" x14ac:dyDescent="0.2">
      <c r="A50" s="250">
        <v>6.8</v>
      </c>
      <c r="B50" s="48">
        <v>717</v>
      </c>
      <c r="C50" s="48">
        <v>795.75</v>
      </c>
      <c r="D50" s="45">
        <v>4445.4000000000005</v>
      </c>
      <c r="E50" s="45">
        <v>5334.4800000000005</v>
      </c>
      <c r="F50" s="46">
        <v>1</v>
      </c>
      <c r="G50" s="47">
        <v>5334.4800000000005</v>
      </c>
    </row>
    <row r="51" spans="1:7" ht="15" x14ac:dyDescent="0.2">
      <c r="A51" s="250">
        <v>6.9</v>
      </c>
      <c r="B51" s="48">
        <v>721.5</v>
      </c>
      <c r="C51" s="48">
        <v>800.25</v>
      </c>
      <c r="D51" s="45">
        <v>4473.3</v>
      </c>
      <c r="E51" s="45">
        <v>5367.96</v>
      </c>
      <c r="F51" s="46">
        <v>1</v>
      </c>
      <c r="G51" s="47">
        <v>5367.96</v>
      </c>
    </row>
    <row r="52" spans="1:7" ht="15" x14ac:dyDescent="0.2">
      <c r="A52" s="250">
        <v>7</v>
      </c>
      <c r="B52" s="48">
        <v>734.25</v>
      </c>
      <c r="C52" s="48">
        <v>815.25</v>
      </c>
      <c r="D52" s="45">
        <v>4552.3500000000004</v>
      </c>
      <c r="E52" s="45">
        <v>5462.8200000000006</v>
      </c>
      <c r="F52" s="46">
        <v>1</v>
      </c>
      <c r="G52" s="47">
        <v>5462.8200000000006</v>
      </c>
    </row>
    <row r="53" spans="1:7" ht="15" x14ac:dyDescent="0.2">
      <c r="A53" s="251">
        <v>7.1</v>
      </c>
      <c r="B53" s="48">
        <v>742.5</v>
      </c>
      <c r="C53" s="48">
        <v>824.25</v>
      </c>
      <c r="D53" s="45">
        <v>4603.5</v>
      </c>
      <c r="E53" s="45">
        <v>5524.2</v>
      </c>
      <c r="F53" s="46">
        <v>1</v>
      </c>
      <c r="G53" s="47">
        <v>5524.2</v>
      </c>
    </row>
    <row r="54" spans="1:7" ht="15" x14ac:dyDescent="0.2">
      <c r="A54" s="251">
        <v>7.2</v>
      </c>
      <c r="B54" s="48">
        <v>751.5</v>
      </c>
      <c r="C54" s="48">
        <v>834.75</v>
      </c>
      <c r="D54" s="45">
        <v>4659.3</v>
      </c>
      <c r="E54" s="45">
        <v>5591.16</v>
      </c>
      <c r="F54" s="46">
        <v>1</v>
      </c>
      <c r="G54" s="47">
        <v>5591.16</v>
      </c>
    </row>
    <row r="55" spans="1:7" ht="15" x14ac:dyDescent="0.2">
      <c r="A55" s="251">
        <v>7.3</v>
      </c>
      <c r="B55" s="48">
        <v>760.5</v>
      </c>
      <c r="C55" s="48">
        <v>843.75</v>
      </c>
      <c r="D55" s="45">
        <v>4715.1000000000004</v>
      </c>
      <c r="E55" s="45">
        <v>5658.12</v>
      </c>
      <c r="F55" s="46">
        <v>1</v>
      </c>
      <c r="G55" s="47">
        <v>5658.12</v>
      </c>
    </row>
    <row r="56" spans="1:7" ht="15" x14ac:dyDescent="0.2">
      <c r="A56" s="251">
        <v>7.4</v>
      </c>
      <c r="B56" s="48">
        <v>768.75</v>
      </c>
      <c r="C56" s="48">
        <v>855</v>
      </c>
      <c r="D56" s="45">
        <v>4766.25</v>
      </c>
      <c r="E56" s="45">
        <v>5719.5</v>
      </c>
      <c r="F56" s="46">
        <v>1</v>
      </c>
      <c r="G56" s="47">
        <v>5719.5</v>
      </c>
    </row>
    <row r="57" spans="1:7" ht="15" x14ac:dyDescent="0.2">
      <c r="A57" s="251">
        <v>7.5</v>
      </c>
      <c r="B57" s="48">
        <v>778.5</v>
      </c>
      <c r="C57" s="48">
        <v>864</v>
      </c>
      <c r="D57" s="45">
        <v>4826.7</v>
      </c>
      <c r="E57" s="45">
        <v>5792.04</v>
      </c>
      <c r="F57" s="46">
        <v>1</v>
      </c>
      <c r="G57" s="47">
        <v>5792.04</v>
      </c>
    </row>
    <row r="58" spans="1:7" ht="15" x14ac:dyDescent="0.2">
      <c r="A58" s="251">
        <v>7.6</v>
      </c>
      <c r="B58" s="48">
        <v>786.75</v>
      </c>
      <c r="C58" s="48">
        <v>874.5</v>
      </c>
      <c r="D58" s="45">
        <v>4877.8500000000004</v>
      </c>
      <c r="E58" s="45">
        <v>5853.42</v>
      </c>
      <c r="F58" s="46">
        <v>1</v>
      </c>
      <c r="G58" s="47">
        <v>5853.42</v>
      </c>
    </row>
    <row r="59" spans="1:7" ht="15" x14ac:dyDescent="0.2">
      <c r="A59" s="251">
        <v>7.7</v>
      </c>
      <c r="B59" s="48">
        <v>795.75</v>
      </c>
      <c r="C59" s="48">
        <v>884.25</v>
      </c>
      <c r="D59" s="45">
        <v>4933.6500000000005</v>
      </c>
      <c r="E59" s="45">
        <v>5920.38</v>
      </c>
      <c r="F59" s="46">
        <v>1</v>
      </c>
      <c r="G59" s="47">
        <v>5920.38</v>
      </c>
    </row>
    <row r="60" spans="1:7" ht="15" x14ac:dyDescent="0.2">
      <c r="A60" s="251">
        <v>7.8</v>
      </c>
      <c r="B60" s="48">
        <v>804.75</v>
      </c>
      <c r="C60" s="48">
        <v>894.75</v>
      </c>
      <c r="D60" s="45">
        <v>4989.45</v>
      </c>
      <c r="E60" s="45">
        <v>5987.3399999999992</v>
      </c>
      <c r="F60" s="46">
        <v>1</v>
      </c>
      <c r="G60" s="47">
        <v>5987.3399999999992</v>
      </c>
    </row>
    <row r="61" spans="1:7" ht="15" x14ac:dyDescent="0.2">
      <c r="A61" s="251">
        <v>7.9</v>
      </c>
      <c r="B61" s="48">
        <v>813.75</v>
      </c>
      <c r="C61" s="48">
        <v>904.5</v>
      </c>
      <c r="D61" s="45">
        <v>5045.25</v>
      </c>
      <c r="E61" s="45">
        <v>6054.3</v>
      </c>
      <c r="F61" s="46">
        <v>1</v>
      </c>
      <c r="G61" s="47">
        <v>6054.3</v>
      </c>
    </row>
    <row r="62" spans="1:7" ht="15" x14ac:dyDescent="0.2">
      <c r="A62" s="251">
        <v>8</v>
      </c>
      <c r="B62" s="48">
        <v>838.5</v>
      </c>
      <c r="C62" s="48">
        <v>931.5</v>
      </c>
      <c r="D62" s="45">
        <v>5198.7</v>
      </c>
      <c r="E62" s="45">
        <v>6238.44</v>
      </c>
      <c r="F62" s="46">
        <v>1</v>
      </c>
      <c r="G62" s="47">
        <v>6238.44</v>
      </c>
    </row>
    <row r="63" spans="1:7" ht="15" x14ac:dyDescent="0.2">
      <c r="A63" s="252">
        <v>8.1</v>
      </c>
      <c r="B63" s="48">
        <v>842.25</v>
      </c>
      <c r="C63" s="48">
        <v>936</v>
      </c>
      <c r="D63" s="45">
        <v>5221.95</v>
      </c>
      <c r="E63" s="45">
        <v>6266.3399999999992</v>
      </c>
      <c r="F63" s="46">
        <v>1</v>
      </c>
      <c r="G63" s="47">
        <v>6266.3399999999992</v>
      </c>
    </row>
    <row r="64" spans="1:7" ht="15" x14ac:dyDescent="0.2">
      <c r="A64" s="252">
        <v>8.1999999999999993</v>
      </c>
      <c r="B64" s="48">
        <v>847.5</v>
      </c>
      <c r="C64" s="48">
        <v>941.25</v>
      </c>
      <c r="D64" s="45">
        <v>5254.5</v>
      </c>
      <c r="E64" s="45">
        <v>6305.4</v>
      </c>
      <c r="F64" s="46">
        <v>1</v>
      </c>
      <c r="G64" s="47">
        <v>6305.4</v>
      </c>
    </row>
    <row r="65" spans="1:7" ht="15" x14ac:dyDescent="0.2">
      <c r="A65" s="252">
        <v>8.3000000000000007</v>
      </c>
      <c r="B65" s="48">
        <v>852</v>
      </c>
      <c r="C65" s="48">
        <v>945.75</v>
      </c>
      <c r="D65" s="45">
        <v>5282.4000000000005</v>
      </c>
      <c r="E65" s="45">
        <v>6338.88</v>
      </c>
      <c r="F65" s="46">
        <v>1</v>
      </c>
      <c r="G65" s="47">
        <v>6338.88</v>
      </c>
    </row>
    <row r="66" spans="1:7" ht="15" x14ac:dyDescent="0.2">
      <c r="A66" s="252">
        <v>8.4</v>
      </c>
      <c r="B66" s="48">
        <v>855.75</v>
      </c>
      <c r="C66" s="48">
        <v>951.75</v>
      </c>
      <c r="D66" s="45">
        <v>5305.6500000000005</v>
      </c>
      <c r="E66" s="45">
        <v>6366.7800000000007</v>
      </c>
      <c r="F66" s="46">
        <v>1</v>
      </c>
      <c r="G66" s="47">
        <v>6366.7800000000007</v>
      </c>
    </row>
    <row r="67" spans="1:7" ht="15" x14ac:dyDescent="0.2">
      <c r="A67" s="252">
        <v>8.5</v>
      </c>
      <c r="B67" s="48">
        <v>860.25</v>
      </c>
      <c r="C67" s="48">
        <v>956.25</v>
      </c>
      <c r="D67" s="45">
        <v>5333.55</v>
      </c>
      <c r="E67" s="45">
        <v>6400.26</v>
      </c>
      <c r="F67" s="46">
        <v>1</v>
      </c>
      <c r="G67" s="47">
        <v>6400.26</v>
      </c>
    </row>
    <row r="68" spans="1:7" ht="15" x14ac:dyDescent="0.2">
      <c r="A68" s="252">
        <v>8.6</v>
      </c>
      <c r="B68" s="48">
        <v>865.5</v>
      </c>
      <c r="C68" s="48">
        <v>961.5</v>
      </c>
      <c r="D68" s="45">
        <v>5366.1</v>
      </c>
      <c r="E68" s="45">
        <v>6439.3200000000006</v>
      </c>
      <c r="F68" s="46">
        <v>1</v>
      </c>
      <c r="G68" s="47">
        <v>6439.3200000000006</v>
      </c>
    </row>
    <row r="69" spans="1:7" ht="15" x14ac:dyDescent="0.2">
      <c r="A69" s="252">
        <v>8.6999999999999993</v>
      </c>
      <c r="B69" s="48">
        <v>869.25</v>
      </c>
      <c r="C69" s="48">
        <v>966.75</v>
      </c>
      <c r="D69" s="45">
        <v>5389.35</v>
      </c>
      <c r="E69" s="45">
        <v>6467.22</v>
      </c>
      <c r="F69" s="46">
        <v>1</v>
      </c>
      <c r="G69" s="47">
        <v>6467.22</v>
      </c>
    </row>
    <row r="70" spans="1:7" ht="15" x14ac:dyDescent="0.2">
      <c r="A70" s="252">
        <v>8.8000000000000007</v>
      </c>
      <c r="B70" s="48">
        <v>873.75</v>
      </c>
      <c r="C70" s="48">
        <v>971.25</v>
      </c>
      <c r="D70" s="45">
        <v>5417.25</v>
      </c>
      <c r="E70" s="45">
        <v>6500.7</v>
      </c>
      <c r="F70" s="46">
        <v>1</v>
      </c>
      <c r="G70" s="47">
        <v>6500.7</v>
      </c>
    </row>
    <row r="71" spans="1:7" ht="15" x14ac:dyDescent="0.2">
      <c r="A71" s="252">
        <v>8.9</v>
      </c>
      <c r="B71" s="48">
        <v>878.25</v>
      </c>
      <c r="C71" s="48">
        <v>975.75</v>
      </c>
      <c r="D71" s="45">
        <v>5445.1500000000005</v>
      </c>
      <c r="E71" s="45">
        <v>6534.18</v>
      </c>
      <c r="F71" s="46">
        <v>1</v>
      </c>
      <c r="G71" s="47">
        <v>6534.18</v>
      </c>
    </row>
    <row r="72" spans="1:7" ht="15" x14ac:dyDescent="0.2">
      <c r="A72" s="252">
        <v>9</v>
      </c>
      <c r="B72" s="48">
        <v>890.25</v>
      </c>
      <c r="C72" s="48">
        <v>989.25</v>
      </c>
      <c r="D72" s="45">
        <v>5519.55</v>
      </c>
      <c r="E72" s="45">
        <v>6623.46</v>
      </c>
      <c r="F72" s="46">
        <v>1</v>
      </c>
      <c r="G72" s="47">
        <v>6623.46</v>
      </c>
    </row>
    <row r="73" spans="1:7" ht="15" x14ac:dyDescent="0.2">
      <c r="A73" s="253">
        <v>9.1</v>
      </c>
      <c r="B73" s="48">
        <v>894</v>
      </c>
      <c r="C73" s="48">
        <v>993.75</v>
      </c>
      <c r="D73" s="45">
        <v>5542.8</v>
      </c>
      <c r="E73" s="45">
        <v>6651.36</v>
      </c>
      <c r="F73" s="46">
        <v>1</v>
      </c>
      <c r="G73" s="47">
        <v>6651.36</v>
      </c>
    </row>
    <row r="74" spans="1:7" ht="15" x14ac:dyDescent="0.2">
      <c r="A74" s="253">
        <v>9.1999999999999993</v>
      </c>
      <c r="B74" s="48">
        <v>898.5</v>
      </c>
      <c r="C74" s="48">
        <v>999.75</v>
      </c>
      <c r="D74" s="45">
        <v>5570.7</v>
      </c>
      <c r="E74" s="45">
        <v>6684.8399999999992</v>
      </c>
      <c r="F74" s="46">
        <v>1</v>
      </c>
      <c r="G74" s="47">
        <v>6684.8399999999992</v>
      </c>
    </row>
    <row r="75" spans="1:7" ht="15" x14ac:dyDescent="0.2">
      <c r="A75" s="253">
        <v>9.3000000000000007</v>
      </c>
      <c r="B75" s="48">
        <v>903.75</v>
      </c>
      <c r="C75" s="48">
        <v>1004.25</v>
      </c>
      <c r="D75" s="45">
        <v>5603.25</v>
      </c>
      <c r="E75" s="45">
        <v>6723.9</v>
      </c>
      <c r="F75" s="46">
        <v>1</v>
      </c>
      <c r="G75" s="47">
        <v>6723.9</v>
      </c>
    </row>
    <row r="76" spans="1:7" ht="15" x14ac:dyDescent="0.2">
      <c r="A76" s="253">
        <v>9.4</v>
      </c>
      <c r="B76" s="48">
        <v>908.25</v>
      </c>
      <c r="C76" s="48">
        <v>1008.75</v>
      </c>
      <c r="D76" s="45">
        <v>5631.1500000000005</v>
      </c>
      <c r="E76" s="45">
        <v>6757.38</v>
      </c>
      <c r="F76" s="46">
        <v>1</v>
      </c>
      <c r="G76" s="47">
        <v>6757.38</v>
      </c>
    </row>
    <row r="77" spans="1:7" ht="15" x14ac:dyDescent="0.2">
      <c r="A77" s="253">
        <v>9.5</v>
      </c>
      <c r="B77" s="48">
        <v>912.75</v>
      </c>
      <c r="C77" s="48">
        <v>1014</v>
      </c>
      <c r="D77" s="45">
        <v>5659.05</v>
      </c>
      <c r="E77" s="45">
        <v>6790.86</v>
      </c>
      <c r="F77" s="46">
        <v>1</v>
      </c>
      <c r="G77" s="47">
        <v>6790.86</v>
      </c>
    </row>
    <row r="78" spans="1:7" ht="15" x14ac:dyDescent="0.2">
      <c r="A78" s="253">
        <v>9.6</v>
      </c>
      <c r="B78" s="48">
        <v>916.5</v>
      </c>
      <c r="C78" s="48">
        <v>1019.25</v>
      </c>
      <c r="D78" s="45">
        <v>5682.3</v>
      </c>
      <c r="E78" s="45">
        <v>6818.76</v>
      </c>
      <c r="F78" s="46">
        <v>1</v>
      </c>
      <c r="G78" s="47">
        <v>6818.76</v>
      </c>
    </row>
    <row r="79" spans="1:7" ht="15" x14ac:dyDescent="0.2">
      <c r="A79" s="253">
        <v>9.6999999999999993</v>
      </c>
      <c r="B79" s="48">
        <v>921</v>
      </c>
      <c r="C79" s="48">
        <v>1023.75</v>
      </c>
      <c r="D79" s="45">
        <v>5710.2</v>
      </c>
      <c r="E79" s="45">
        <v>6852.24</v>
      </c>
      <c r="F79" s="46">
        <v>1</v>
      </c>
      <c r="G79" s="47">
        <v>6852.24</v>
      </c>
    </row>
    <row r="80" spans="1:7" ht="15" x14ac:dyDescent="0.2">
      <c r="A80" s="253">
        <v>9.8000000000000007</v>
      </c>
      <c r="B80" s="48">
        <v>926.25</v>
      </c>
      <c r="C80" s="48">
        <v>1028.25</v>
      </c>
      <c r="D80" s="45">
        <v>5742.75</v>
      </c>
      <c r="E80" s="45">
        <v>6891.3</v>
      </c>
      <c r="F80" s="46">
        <v>1</v>
      </c>
      <c r="G80" s="47">
        <v>6891.3</v>
      </c>
    </row>
    <row r="81" spans="1:7" ht="15" x14ac:dyDescent="0.2">
      <c r="A81" s="253">
        <v>9.9</v>
      </c>
      <c r="B81" s="48">
        <v>930.75</v>
      </c>
      <c r="C81" s="48">
        <v>1032.75</v>
      </c>
      <c r="D81" s="45">
        <v>5770.6500000000005</v>
      </c>
      <c r="E81" s="45">
        <v>6924.7800000000007</v>
      </c>
      <c r="F81" s="46">
        <v>1</v>
      </c>
      <c r="G81" s="47">
        <v>6924.7800000000007</v>
      </c>
    </row>
    <row r="82" spans="1:7" ht="15" x14ac:dyDescent="0.2">
      <c r="A82" s="253">
        <v>10</v>
      </c>
      <c r="B82" s="48">
        <v>943.5</v>
      </c>
      <c r="C82" s="48">
        <v>1047.75</v>
      </c>
      <c r="D82" s="45">
        <v>5849.7</v>
      </c>
      <c r="E82" s="45">
        <v>7019.6399999999994</v>
      </c>
      <c r="F82" s="46">
        <v>1</v>
      </c>
      <c r="G82" s="47">
        <v>7019.6399999999994</v>
      </c>
    </row>
    <row r="83" spans="1:7" ht="15" x14ac:dyDescent="0.2">
      <c r="A83" s="253">
        <v>10.1</v>
      </c>
      <c r="B83" s="48">
        <v>943.5</v>
      </c>
      <c r="C83" s="48">
        <v>1047.75</v>
      </c>
      <c r="D83" s="45">
        <v>5849.7</v>
      </c>
      <c r="E83" s="45">
        <v>7019.6399999999994</v>
      </c>
      <c r="F83" s="46">
        <v>1</v>
      </c>
      <c r="G83" s="47">
        <v>7019.6399999999994</v>
      </c>
    </row>
    <row r="84" spans="1:7" ht="15" x14ac:dyDescent="0.2">
      <c r="A84" s="253">
        <v>10.199999999999999</v>
      </c>
      <c r="B84" s="48">
        <v>943.5</v>
      </c>
      <c r="C84" s="48">
        <v>1047.75</v>
      </c>
      <c r="D84" s="45">
        <v>5849.7</v>
      </c>
      <c r="E84" s="45">
        <v>7019.6399999999994</v>
      </c>
      <c r="F84" s="46">
        <v>1</v>
      </c>
      <c r="G84" s="47">
        <v>7019.6399999999994</v>
      </c>
    </row>
    <row r="85" spans="1:7" ht="15" x14ac:dyDescent="0.2">
      <c r="A85" s="253">
        <v>10.3</v>
      </c>
      <c r="B85" s="48">
        <v>943.5</v>
      </c>
      <c r="C85" s="48">
        <v>1047.75</v>
      </c>
      <c r="D85" s="45">
        <v>5849.7</v>
      </c>
      <c r="E85" s="45">
        <v>7019.6399999999994</v>
      </c>
      <c r="F85" s="46">
        <v>1</v>
      </c>
      <c r="G85" s="47">
        <v>7019.6399999999994</v>
      </c>
    </row>
    <row r="86" spans="1:7" ht="15" x14ac:dyDescent="0.2">
      <c r="A86" s="253">
        <v>10.4</v>
      </c>
      <c r="B86" s="48">
        <v>943.5</v>
      </c>
      <c r="C86" s="48">
        <v>1047.75</v>
      </c>
      <c r="D86" s="45">
        <v>5849.7</v>
      </c>
      <c r="E86" s="45">
        <v>7019.6399999999994</v>
      </c>
      <c r="F86" s="46">
        <v>1</v>
      </c>
      <c r="G86" s="47">
        <v>7019.6399999999994</v>
      </c>
    </row>
    <row r="87" spans="1:7" ht="15" x14ac:dyDescent="0.2">
      <c r="A87" s="253">
        <v>10.5</v>
      </c>
      <c r="B87" s="48">
        <v>943.5</v>
      </c>
      <c r="C87" s="48">
        <v>1047.75</v>
      </c>
      <c r="D87" s="45">
        <v>5849.7</v>
      </c>
      <c r="E87" s="45">
        <v>7019.6399999999994</v>
      </c>
      <c r="F87" s="46">
        <v>1</v>
      </c>
      <c r="G87" s="47">
        <v>7019.6399999999994</v>
      </c>
    </row>
    <row r="88" spans="1:7" ht="15" x14ac:dyDescent="0.2">
      <c r="A88" s="253">
        <v>10.6</v>
      </c>
      <c r="B88" s="48">
        <v>943.5</v>
      </c>
      <c r="C88" s="48">
        <v>1047.75</v>
      </c>
      <c r="D88" s="45">
        <v>5849.7</v>
      </c>
      <c r="E88" s="45">
        <v>7019.6399999999994</v>
      </c>
      <c r="F88" s="46">
        <v>1</v>
      </c>
      <c r="G88" s="47">
        <v>7019.6399999999994</v>
      </c>
    </row>
    <row r="89" spans="1:7" ht="15" x14ac:dyDescent="0.2">
      <c r="A89" s="253">
        <v>10.7</v>
      </c>
      <c r="B89" s="48">
        <v>943.5</v>
      </c>
      <c r="C89" s="48">
        <v>1047.75</v>
      </c>
      <c r="D89" s="45">
        <v>5849.7</v>
      </c>
      <c r="E89" s="45">
        <v>7019.6399999999994</v>
      </c>
      <c r="F89" s="46">
        <v>1</v>
      </c>
      <c r="G89" s="47">
        <v>7019.6399999999994</v>
      </c>
    </row>
    <row r="90" spans="1:7" ht="15" x14ac:dyDescent="0.2">
      <c r="A90" s="253">
        <v>10.8</v>
      </c>
      <c r="B90" s="48">
        <v>943.5</v>
      </c>
      <c r="C90" s="48">
        <v>1047.75</v>
      </c>
      <c r="D90" s="45">
        <v>5849.7</v>
      </c>
      <c r="E90" s="45">
        <v>7019.6399999999994</v>
      </c>
      <c r="F90" s="46">
        <v>1</v>
      </c>
      <c r="G90" s="47">
        <v>7019.6399999999994</v>
      </c>
    </row>
    <row r="91" spans="1:7" ht="15" x14ac:dyDescent="0.2">
      <c r="A91" s="253">
        <v>10.9</v>
      </c>
      <c r="B91" s="48">
        <v>943.5</v>
      </c>
      <c r="C91" s="48">
        <v>1047.75</v>
      </c>
      <c r="D91" s="45">
        <v>5849.7</v>
      </c>
      <c r="E91" s="45">
        <v>7019.6399999999994</v>
      </c>
      <c r="F91" s="46">
        <v>1</v>
      </c>
      <c r="G91" s="47">
        <v>7019.6399999999994</v>
      </c>
    </row>
    <row r="92" spans="1:7" ht="15" x14ac:dyDescent="0.2">
      <c r="A92" s="253">
        <v>11</v>
      </c>
      <c r="B92" s="48">
        <v>943.5</v>
      </c>
      <c r="C92" s="48">
        <v>1047.75</v>
      </c>
      <c r="D92" s="45">
        <v>5849.7</v>
      </c>
      <c r="E92" s="45">
        <v>7019.6399999999994</v>
      </c>
      <c r="F92" s="46">
        <v>1</v>
      </c>
      <c r="G92" s="47">
        <v>7019.6399999999994</v>
      </c>
    </row>
    <row r="93" spans="1:7" ht="15" x14ac:dyDescent="0.2">
      <c r="A93" s="253">
        <v>11.1</v>
      </c>
      <c r="B93" s="48">
        <v>943.5</v>
      </c>
      <c r="C93" s="48">
        <v>1047.75</v>
      </c>
      <c r="D93" s="45">
        <v>5849.7</v>
      </c>
      <c r="E93" s="45">
        <v>7019.6399999999994</v>
      </c>
      <c r="F93" s="46">
        <v>1</v>
      </c>
      <c r="G93" s="47">
        <v>7019.6399999999994</v>
      </c>
    </row>
    <row r="94" spans="1:7" ht="15" x14ac:dyDescent="0.2">
      <c r="A94" s="253">
        <v>11.2</v>
      </c>
      <c r="B94" s="48">
        <v>943.5</v>
      </c>
      <c r="C94" s="48">
        <v>1047.75</v>
      </c>
      <c r="D94" s="45">
        <v>5849.7</v>
      </c>
      <c r="E94" s="45">
        <v>7019.6399999999994</v>
      </c>
      <c r="F94" s="46">
        <v>1</v>
      </c>
      <c r="G94" s="47">
        <v>7019.6399999999994</v>
      </c>
    </row>
    <row r="95" spans="1:7" ht="15" x14ac:dyDescent="0.2">
      <c r="A95" s="253">
        <v>11.3</v>
      </c>
      <c r="B95" s="48">
        <v>943.5</v>
      </c>
      <c r="C95" s="48">
        <v>1047.75</v>
      </c>
      <c r="D95" s="45">
        <v>5849.7</v>
      </c>
      <c r="E95" s="45">
        <v>7019.6399999999994</v>
      </c>
      <c r="F95" s="46">
        <v>1</v>
      </c>
      <c r="G95" s="47">
        <v>7019.6399999999994</v>
      </c>
    </row>
    <row r="96" spans="1:7" ht="15" x14ac:dyDescent="0.2">
      <c r="A96" s="253">
        <v>11.4</v>
      </c>
      <c r="B96" s="48">
        <v>943.5</v>
      </c>
      <c r="C96" s="48">
        <v>1047.75</v>
      </c>
      <c r="D96" s="45">
        <v>5849.7</v>
      </c>
      <c r="E96" s="45">
        <v>7019.6399999999994</v>
      </c>
      <c r="F96" s="46">
        <v>1</v>
      </c>
      <c r="G96" s="47">
        <v>7019.6399999999994</v>
      </c>
    </row>
    <row r="97" spans="1:7" ht="15" x14ac:dyDescent="0.2">
      <c r="A97" s="253">
        <v>11.5</v>
      </c>
      <c r="B97" s="48">
        <v>943.5</v>
      </c>
      <c r="C97" s="48">
        <v>1047.75</v>
      </c>
      <c r="D97" s="45">
        <v>5849.7</v>
      </c>
      <c r="E97" s="45">
        <v>7019.6399999999994</v>
      </c>
      <c r="F97" s="46">
        <v>1</v>
      </c>
      <c r="G97" s="47">
        <v>7019.6399999999994</v>
      </c>
    </row>
    <row r="98" spans="1:7" ht="15" x14ac:dyDescent="0.2">
      <c r="A98" s="253">
        <v>11.6</v>
      </c>
      <c r="B98" s="48">
        <v>943.5</v>
      </c>
      <c r="C98" s="48">
        <v>1047.75</v>
      </c>
      <c r="D98" s="45">
        <v>5849.7</v>
      </c>
      <c r="E98" s="45">
        <v>7019.6399999999994</v>
      </c>
      <c r="F98" s="46">
        <v>1</v>
      </c>
      <c r="G98" s="47">
        <v>7019.6399999999994</v>
      </c>
    </row>
    <row r="99" spans="1:7" ht="15" x14ac:dyDescent="0.2">
      <c r="A99" s="253">
        <v>11.7</v>
      </c>
      <c r="B99" s="48">
        <v>943.5</v>
      </c>
      <c r="C99" s="48">
        <v>1047.75</v>
      </c>
      <c r="D99" s="45">
        <v>5849.7</v>
      </c>
      <c r="E99" s="45">
        <v>7019.6399999999994</v>
      </c>
      <c r="F99" s="46">
        <v>1</v>
      </c>
      <c r="G99" s="47">
        <v>7019.6399999999994</v>
      </c>
    </row>
    <row r="100" spans="1:7" ht="15" x14ac:dyDescent="0.2">
      <c r="A100" s="253">
        <v>11.8</v>
      </c>
      <c r="B100" s="48">
        <v>943.5</v>
      </c>
      <c r="C100" s="48">
        <v>1047.75</v>
      </c>
      <c r="D100" s="45">
        <v>5849.7</v>
      </c>
      <c r="E100" s="45">
        <v>7019.6399999999994</v>
      </c>
      <c r="F100" s="46">
        <v>1</v>
      </c>
      <c r="G100" s="47">
        <v>7019.6399999999994</v>
      </c>
    </row>
    <row r="101" spans="1:7" ht="15" x14ac:dyDescent="0.2">
      <c r="A101" s="253">
        <v>11.9</v>
      </c>
      <c r="B101" s="48">
        <v>943.5</v>
      </c>
      <c r="C101" s="48">
        <v>1047.75</v>
      </c>
      <c r="D101" s="45">
        <v>5849.7</v>
      </c>
      <c r="E101" s="45">
        <v>7019.6399999999994</v>
      </c>
      <c r="F101" s="46">
        <v>1</v>
      </c>
      <c r="G101" s="47">
        <v>7019.6399999999994</v>
      </c>
    </row>
    <row r="102" spans="1:7" ht="15" x14ac:dyDescent="0.2">
      <c r="A102" s="253">
        <v>12</v>
      </c>
      <c r="B102" s="48">
        <v>943.5</v>
      </c>
      <c r="C102" s="48">
        <v>1047.75</v>
      </c>
      <c r="D102" s="45">
        <v>5849.7</v>
      </c>
      <c r="E102" s="45">
        <v>7019.6399999999994</v>
      </c>
      <c r="F102" s="46">
        <v>1</v>
      </c>
      <c r="G102" s="47">
        <v>7019.6399999999994</v>
      </c>
    </row>
    <row r="103" spans="1:7" ht="15" x14ac:dyDescent="0.2">
      <c r="A103" s="253">
        <v>12.1</v>
      </c>
      <c r="B103" s="48">
        <v>943.5</v>
      </c>
      <c r="C103" s="48">
        <v>1047.75</v>
      </c>
      <c r="D103" s="45">
        <v>5849.7</v>
      </c>
      <c r="E103" s="45">
        <v>7019.6399999999994</v>
      </c>
      <c r="F103" s="46">
        <v>1</v>
      </c>
      <c r="G103" s="47">
        <v>7019.6399999999994</v>
      </c>
    </row>
    <row r="104" spans="1:7" ht="15" x14ac:dyDescent="0.2">
      <c r="A104" s="253">
        <v>12.2</v>
      </c>
      <c r="B104" s="48">
        <v>943.5</v>
      </c>
      <c r="C104" s="48">
        <v>1047.75</v>
      </c>
      <c r="D104" s="45">
        <v>5849.7</v>
      </c>
      <c r="E104" s="45">
        <v>7019.6399999999994</v>
      </c>
      <c r="F104" s="46">
        <v>1</v>
      </c>
      <c r="G104" s="47">
        <v>7019.6399999999994</v>
      </c>
    </row>
    <row r="105" spans="1:7" ht="15" x14ac:dyDescent="0.2">
      <c r="A105" s="253">
        <v>12.3</v>
      </c>
      <c r="B105" s="48">
        <v>943.5</v>
      </c>
      <c r="C105" s="48">
        <v>1047.75</v>
      </c>
      <c r="D105" s="45">
        <v>5849.7</v>
      </c>
      <c r="E105" s="45">
        <v>7019.6399999999994</v>
      </c>
      <c r="F105" s="46">
        <v>1</v>
      </c>
      <c r="G105" s="47">
        <v>7019.6399999999994</v>
      </c>
    </row>
    <row r="106" spans="1:7" ht="15" x14ac:dyDescent="0.2">
      <c r="A106" s="253">
        <v>12.4</v>
      </c>
      <c r="B106" s="48">
        <v>943.5</v>
      </c>
      <c r="C106" s="48">
        <v>1047.75</v>
      </c>
      <c r="D106" s="45">
        <v>5849.7</v>
      </c>
      <c r="E106" s="45">
        <v>7019.6399999999994</v>
      </c>
      <c r="F106" s="46">
        <v>1</v>
      </c>
      <c r="G106" s="47">
        <v>7019.6399999999994</v>
      </c>
    </row>
    <row r="107" spans="1:7" ht="15" x14ac:dyDescent="0.2">
      <c r="A107" s="253">
        <v>12.5</v>
      </c>
      <c r="B107" s="48">
        <v>943.5</v>
      </c>
      <c r="C107" s="48">
        <v>1047.75</v>
      </c>
      <c r="D107" s="45">
        <v>5849.7</v>
      </c>
      <c r="E107" s="45">
        <v>7019.6399999999994</v>
      </c>
      <c r="F107" s="46">
        <v>1</v>
      </c>
      <c r="G107" s="47">
        <v>7019.6399999999994</v>
      </c>
    </row>
    <row r="108" spans="1:7" ht="15" x14ac:dyDescent="0.2">
      <c r="A108" s="253">
        <v>12.6</v>
      </c>
      <c r="B108" s="48">
        <v>943.5</v>
      </c>
      <c r="C108" s="48">
        <v>1047.75</v>
      </c>
      <c r="D108" s="45">
        <v>5849.7</v>
      </c>
      <c r="E108" s="45">
        <v>7019.6399999999994</v>
      </c>
      <c r="F108" s="46">
        <v>1</v>
      </c>
      <c r="G108" s="47">
        <v>7019.6399999999994</v>
      </c>
    </row>
    <row r="109" spans="1:7" ht="15" x14ac:dyDescent="0.2">
      <c r="A109" s="253">
        <v>12.7</v>
      </c>
      <c r="B109" s="48">
        <v>943.5</v>
      </c>
      <c r="C109" s="48">
        <v>1047.75</v>
      </c>
      <c r="D109" s="45">
        <v>5849.7</v>
      </c>
      <c r="E109" s="45">
        <v>7019.6399999999994</v>
      </c>
      <c r="F109" s="46">
        <v>1</v>
      </c>
      <c r="G109" s="47">
        <v>7019.6399999999994</v>
      </c>
    </row>
    <row r="110" spans="1:7" ht="15" x14ac:dyDescent="0.2">
      <c r="A110" s="253">
        <v>12.8</v>
      </c>
      <c r="B110" s="48">
        <v>943.5</v>
      </c>
      <c r="C110" s="48">
        <v>1047.75</v>
      </c>
      <c r="D110" s="45">
        <v>5849.7</v>
      </c>
      <c r="E110" s="45">
        <v>7019.6399999999994</v>
      </c>
      <c r="F110" s="46">
        <v>1</v>
      </c>
      <c r="G110" s="47">
        <v>7019.6399999999994</v>
      </c>
    </row>
    <row r="111" spans="1:7" ht="15" x14ac:dyDescent="0.2">
      <c r="A111" s="253">
        <v>12.9</v>
      </c>
      <c r="B111" s="48">
        <v>943.5</v>
      </c>
      <c r="C111" s="48">
        <v>1047.75</v>
      </c>
      <c r="D111" s="45">
        <v>5849.7</v>
      </c>
      <c r="E111" s="45">
        <v>7019.6399999999994</v>
      </c>
      <c r="F111" s="46">
        <v>1</v>
      </c>
      <c r="G111" s="47">
        <v>7019.6399999999994</v>
      </c>
    </row>
    <row r="112" spans="1:7" ht="15" x14ac:dyDescent="0.2">
      <c r="A112" s="253">
        <v>13</v>
      </c>
      <c r="B112" s="48">
        <v>943.5</v>
      </c>
      <c r="C112" s="48">
        <v>1047.75</v>
      </c>
      <c r="D112" s="45">
        <v>5849.7</v>
      </c>
      <c r="E112" s="45">
        <v>7019.6399999999994</v>
      </c>
      <c r="F112" s="46">
        <v>1</v>
      </c>
      <c r="G112" s="47">
        <v>7019.6399999999994</v>
      </c>
    </row>
    <row r="113" spans="1:7" ht="15" x14ac:dyDescent="0.2">
      <c r="A113" s="253">
        <v>13.1</v>
      </c>
      <c r="B113" s="48">
        <v>943.5</v>
      </c>
      <c r="C113" s="48">
        <v>1047.75</v>
      </c>
      <c r="D113" s="45">
        <v>5849.7</v>
      </c>
      <c r="E113" s="45">
        <v>7019.6399999999994</v>
      </c>
      <c r="F113" s="46">
        <v>1</v>
      </c>
      <c r="G113" s="47">
        <v>7019.6399999999994</v>
      </c>
    </row>
    <row r="114" spans="1:7" ht="15" x14ac:dyDescent="0.2">
      <c r="A114" s="253">
        <v>13.2</v>
      </c>
      <c r="B114" s="48">
        <v>943.5</v>
      </c>
      <c r="C114" s="48">
        <v>1047.75</v>
      </c>
      <c r="D114" s="45">
        <v>5849.7</v>
      </c>
      <c r="E114" s="45">
        <v>7019.6399999999994</v>
      </c>
      <c r="F114" s="46">
        <v>1</v>
      </c>
      <c r="G114" s="47">
        <v>7019.6399999999994</v>
      </c>
    </row>
    <row r="115" spans="1:7" ht="15" x14ac:dyDescent="0.2">
      <c r="A115" s="253">
        <v>13.3</v>
      </c>
      <c r="B115" s="48">
        <v>943.5</v>
      </c>
      <c r="C115" s="48">
        <v>1047.75</v>
      </c>
      <c r="D115" s="45">
        <v>5849.7</v>
      </c>
      <c r="E115" s="45">
        <v>7019.6399999999994</v>
      </c>
      <c r="F115" s="46">
        <v>1</v>
      </c>
      <c r="G115" s="47">
        <v>7019.6399999999994</v>
      </c>
    </row>
    <row r="116" spans="1:7" ht="15" x14ac:dyDescent="0.2">
      <c r="A116" s="253">
        <v>13.4</v>
      </c>
      <c r="B116" s="48">
        <v>943.5</v>
      </c>
      <c r="C116" s="48">
        <v>1047.75</v>
      </c>
      <c r="D116" s="45">
        <v>5849.7</v>
      </c>
      <c r="E116" s="45">
        <v>7019.6399999999994</v>
      </c>
      <c r="F116" s="46">
        <v>1</v>
      </c>
      <c r="G116" s="47">
        <v>7019.6399999999994</v>
      </c>
    </row>
    <row r="117" spans="1:7" ht="15" x14ac:dyDescent="0.2">
      <c r="A117" s="253">
        <v>13.5</v>
      </c>
      <c r="B117" s="48">
        <v>943.5</v>
      </c>
      <c r="C117" s="48">
        <v>1047.75</v>
      </c>
      <c r="D117" s="45">
        <v>5849.7</v>
      </c>
      <c r="E117" s="45">
        <v>7019.6399999999994</v>
      </c>
      <c r="F117" s="46">
        <v>1</v>
      </c>
      <c r="G117" s="47">
        <v>7019.6399999999994</v>
      </c>
    </row>
    <row r="118" spans="1:7" ht="15" x14ac:dyDescent="0.2">
      <c r="A118" s="253">
        <v>13.6</v>
      </c>
      <c r="B118" s="48">
        <v>943.5</v>
      </c>
      <c r="C118" s="48">
        <v>1047.75</v>
      </c>
      <c r="D118" s="45">
        <v>5849.7</v>
      </c>
      <c r="E118" s="45">
        <v>7019.6399999999994</v>
      </c>
      <c r="F118" s="46">
        <v>1</v>
      </c>
      <c r="G118" s="47">
        <v>7019.6399999999994</v>
      </c>
    </row>
    <row r="119" spans="1:7" ht="15" x14ac:dyDescent="0.2">
      <c r="A119" s="253">
        <v>13.7</v>
      </c>
      <c r="B119" s="48">
        <v>943.5</v>
      </c>
      <c r="C119" s="48">
        <v>1047.75</v>
      </c>
      <c r="D119" s="45">
        <v>5849.7</v>
      </c>
      <c r="E119" s="45">
        <v>7019.6399999999994</v>
      </c>
      <c r="F119" s="46">
        <v>1</v>
      </c>
      <c r="G119" s="47">
        <v>7019.6399999999994</v>
      </c>
    </row>
    <row r="120" spans="1:7" ht="15" x14ac:dyDescent="0.2">
      <c r="A120" s="253">
        <v>13.8</v>
      </c>
      <c r="B120" s="48">
        <v>943.5</v>
      </c>
      <c r="C120" s="48">
        <v>1047.75</v>
      </c>
      <c r="D120" s="45">
        <v>5849.7</v>
      </c>
      <c r="E120" s="45">
        <v>7019.6399999999994</v>
      </c>
      <c r="F120" s="46">
        <v>1</v>
      </c>
      <c r="G120" s="47">
        <v>7019.6399999999994</v>
      </c>
    </row>
    <row r="121" spans="1:7" ht="15" x14ac:dyDescent="0.2">
      <c r="A121" s="253">
        <v>13.9</v>
      </c>
      <c r="B121" s="48">
        <v>943.5</v>
      </c>
      <c r="C121" s="48">
        <v>1047.75</v>
      </c>
      <c r="D121" s="45">
        <v>5849.7</v>
      </c>
      <c r="E121" s="45">
        <v>7019.6399999999994</v>
      </c>
      <c r="F121" s="46">
        <v>1</v>
      </c>
      <c r="G121" s="47">
        <v>7019.6399999999994</v>
      </c>
    </row>
    <row r="122" spans="1:7" ht="15" x14ac:dyDescent="0.2">
      <c r="A122" s="253">
        <v>14</v>
      </c>
      <c r="B122" s="48">
        <v>943.5</v>
      </c>
      <c r="C122" s="48">
        <v>1047.75</v>
      </c>
      <c r="D122" s="45">
        <v>5849.7</v>
      </c>
      <c r="E122" s="45">
        <v>7019.6399999999994</v>
      </c>
      <c r="F122" s="46">
        <v>1</v>
      </c>
      <c r="G122" s="47">
        <v>7019.6399999999994</v>
      </c>
    </row>
    <row r="123" spans="1:7" ht="15" x14ac:dyDescent="0.2">
      <c r="A123" s="253">
        <v>14.1</v>
      </c>
      <c r="B123" s="48">
        <v>943.5</v>
      </c>
      <c r="C123" s="48">
        <v>1047.75</v>
      </c>
      <c r="D123" s="45">
        <v>5849.7</v>
      </c>
      <c r="E123" s="45">
        <v>7019.6399999999994</v>
      </c>
      <c r="F123" s="46">
        <v>1</v>
      </c>
      <c r="G123" s="47">
        <v>7019.6399999999994</v>
      </c>
    </row>
    <row r="124" spans="1:7" ht="15" x14ac:dyDescent="0.2">
      <c r="A124" s="253">
        <v>14.2</v>
      </c>
      <c r="B124" s="48">
        <v>943.5</v>
      </c>
      <c r="C124" s="48">
        <v>1047.75</v>
      </c>
      <c r="D124" s="45">
        <v>5849.7</v>
      </c>
      <c r="E124" s="45">
        <v>7019.6399999999994</v>
      </c>
      <c r="F124" s="46">
        <v>1</v>
      </c>
      <c r="G124" s="47">
        <v>7019.6399999999994</v>
      </c>
    </row>
    <row r="125" spans="1:7" ht="15" x14ac:dyDescent="0.2">
      <c r="A125" s="253">
        <v>14.3</v>
      </c>
      <c r="B125" s="48">
        <v>943.5</v>
      </c>
      <c r="C125" s="48">
        <v>1047.75</v>
      </c>
      <c r="D125" s="45">
        <v>5849.7</v>
      </c>
      <c r="E125" s="45">
        <v>7019.6399999999994</v>
      </c>
      <c r="F125" s="46">
        <v>1</v>
      </c>
      <c r="G125" s="47">
        <v>7019.6399999999994</v>
      </c>
    </row>
    <row r="126" spans="1:7" ht="15" x14ac:dyDescent="0.2">
      <c r="A126" s="253">
        <v>14.4</v>
      </c>
      <c r="B126" s="48">
        <v>943.5</v>
      </c>
      <c r="C126" s="48">
        <v>1047.75</v>
      </c>
      <c r="D126" s="45">
        <v>5849.7</v>
      </c>
      <c r="E126" s="45">
        <v>7019.6399999999994</v>
      </c>
      <c r="F126" s="46">
        <v>1</v>
      </c>
      <c r="G126" s="47">
        <v>7019.6399999999994</v>
      </c>
    </row>
    <row r="127" spans="1:7" ht="15" x14ac:dyDescent="0.2">
      <c r="A127" s="253">
        <v>14.5</v>
      </c>
      <c r="B127" s="48">
        <v>943.5</v>
      </c>
      <c r="C127" s="48">
        <v>1047.75</v>
      </c>
      <c r="D127" s="45">
        <v>5849.7</v>
      </c>
      <c r="E127" s="45">
        <v>7019.6399999999994</v>
      </c>
      <c r="F127" s="46">
        <v>1</v>
      </c>
      <c r="G127" s="47">
        <v>7019.6399999999994</v>
      </c>
    </row>
    <row r="128" spans="1:7" ht="15" x14ac:dyDescent="0.2">
      <c r="A128" s="253">
        <v>14.6</v>
      </c>
      <c r="B128" s="48">
        <v>943.5</v>
      </c>
      <c r="C128" s="48">
        <v>1047.75</v>
      </c>
      <c r="D128" s="45">
        <v>5849.7</v>
      </c>
      <c r="E128" s="45">
        <v>7019.6399999999994</v>
      </c>
      <c r="F128" s="46">
        <v>1</v>
      </c>
      <c r="G128" s="47">
        <v>7019.6399999999994</v>
      </c>
    </row>
    <row r="129" spans="1:7" ht="15" x14ac:dyDescent="0.2">
      <c r="A129" s="253">
        <v>14.7</v>
      </c>
      <c r="B129" s="48">
        <v>943.5</v>
      </c>
      <c r="C129" s="48">
        <v>1047.75</v>
      </c>
      <c r="D129" s="45">
        <v>5849.7</v>
      </c>
      <c r="E129" s="45">
        <v>7019.6399999999994</v>
      </c>
      <c r="F129" s="46">
        <v>1</v>
      </c>
      <c r="G129" s="47">
        <v>7019.6399999999994</v>
      </c>
    </row>
    <row r="130" spans="1:7" ht="15" x14ac:dyDescent="0.2">
      <c r="A130" s="253">
        <v>14.8</v>
      </c>
      <c r="B130" s="48">
        <v>943.5</v>
      </c>
      <c r="C130" s="48">
        <v>1047.75</v>
      </c>
      <c r="D130" s="45">
        <v>5849.7</v>
      </c>
      <c r="E130" s="45">
        <v>7019.6399999999994</v>
      </c>
      <c r="F130" s="46">
        <v>1</v>
      </c>
      <c r="G130" s="47">
        <v>7019.6399999999994</v>
      </c>
    </row>
    <row r="131" spans="1:7" ht="15" x14ac:dyDescent="0.2">
      <c r="A131" s="253">
        <v>14.9</v>
      </c>
      <c r="B131" s="48">
        <v>943.5</v>
      </c>
      <c r="C131" s="48">
        <v>1047.75</v>
      </c>
      <c r="D131" s="45">
        <v>5849.7</v>
      </c>
      <c r="E131" s="45">
        <v>7019.6399999999994</v>
      </c>
      <c r="F131" s="46">
        <v>1</v>
      </c>
      <c r="G131" s="47">
        <v>7019.6399999999994</v>
      </c>
    </row>
    <row r="132" spans="1:7" ht="15" x14ac:dyDescent="0.2">
      <c r="A132" s="253">
        <v>15</v>
      </c>
      <c r="B132" s="48">
        <v>943.5</v>
      </c>
      <c r="C132" s="48">
        <v>1047.75</v>
      </c>
      <c r="D132" s="45">
        <v>5849.7</v>
      </c>
      <c r="E132" s="45">
        <v>7019.6399999999994</v>
      </c>
      <c r="F132" s="46">
        <v>1</v>
      </c>
      <c r="G132" s="47">
        <v>7019.6399999999994</v>
      </c>
    </row>
    <row r="133" spans="1:7" ht="15" x14ac:dyDescent="0.2">
      <c r="A133" s="253">
        <v>15.1</v>
      </c>
      <c r="B133" s="48">
        <v>943.5</v>
      </c>
      <c r="C133" s="48">
        <v>1047.75</v>
      </c>
      <c r="D133" s="45">
        <v>5849.7</v>
      </c>
      <c r="E133" s="45">
        <v>7019.6399999999994</v>
      </c>
      <c r="F133" s="46">
        <v>1</v>
      </c>
      <c r="G133" s="47">
        <v>7019.6399999999994</v>
      </c>
    </row>
    <row r="134" spans="1:7" ht="15" x14ac:dyDescent="0.2">
      <c r="A134" s="253">
        <v>15.2</v>
      </c>
      <c r="B134" s="48">
        <v>943.5</v>
      </c>
      <c r="C134" s="48">
        <v>1047.75</v>
      </c>
      <c r="D134" s="45">
        <v>5849.7</v>
      </c>
      <c r="E134" s="45">
        <v>7019.6399999999994</v>
      </c>
      <c r="F134" s="46">
        <v>1</v>
      </c>
      <c r="G134" s="47">
        <v>7019.6399999999994</v>
      </c>
    </row>
    <row r="135" spans="1:7" ht="15" x14ac:dyDescent="0.2">
      <c r="A135" s="253">
        <v>15.3</v>
      </c>
      <c r="B135" s="48">
        <v>943.5</v>
      </c>
      <c r="C135" s="48">
        <v>1047.75</v>
      </c>
      <c r="D135" s="45">
        <v>5849.7</v>
      </c>
      <c r="E135" s="45">
        <v>7019.6399999999994</v>
      </c>
      <c r="F135" s="46">
        <v>1</v>
      </c>
      <c r="G135" s="47">
        <v>7019.6399999999994</v>
      </c>
    </row>
    <row r="136" spans="1:7" ht="15" x14ac:dyDescent="0.2">
      <c r="A136" s="253">
        <v>15.4</v>
      </c>
      <c r="B136" s="48">
        <v>943.5</v>
      </c>
      <c r="C136" s="48">
        <v>1047.75</v>
      </c>
      <c r="D136" s="45">
        <v>5849.7</v>
      </c>
      <c r="E136" s="45">
        <v>7019.6399999999994</v>
      </c>
      <c r="F136" s="46">
        <v>1</v>
      </c>
      <c r="G136" s="47">
        <v>7019.6399999999994</v>
      </c>
    </row>
    <row r="137" spans="1:7" ht="15" x14ac:dyDescent="0.2">
      <c r="A137" s="253">
        <v>15.5</v>
      </c>
      <c r="B137" s="48">
        <v>943.5</v>
      </c>
      <c r="C137" s="48">
        <v>1047.75</v>
      </c>
      <c r="D137" s="45">
        <v>5849.7</v>
      </c>
      <c r="E137" s="45">
        <v>7019.6399999999994</v>
      </c>
      <c r="F137" s="46">
        <v>1</v>
      </c>
      <c r="G137" s="47">
        <v>7019.6399999999994</v>
      </c>
    </row>
    <row r="138" spans="1:7" ht="15" x14ac:dyDescent="0.2">
      <c r="A138" s="253">
        <v>15.6</v>
      </c>
      <c r="B138" s="48">
        <v>943.5</v>
      </c>
      <c r="C138" s="48">
        <v>1047.75</v>
      </c>
      <c r="D138" s="45">
        <v>5849.7</v>
      </c>
      <c r="E138" s="45">
        <v>7019.6399999999994</v>
      </c>
      <c r="F138" s="46">
        <v>1</v>
      </c>
      <c r="G138" s="47">
        <v>7019.6399999999994</v>
      </c>
    </row>
    <row r="139" spans="1:7" ht="15" x14ac:dyDescent="0.2">
      <c r="A139" s="253">
        <v>15.7</v>
      </c>
      <c r="B139" s="48">
        <v>943.5</v>
      </c>
      <c r="C139" s="48">
        <v>1047.75</v>
      </c>
      <c r="D139" s="45">
        <v>5849.7</v>
      </c>
      <c r="E139" s="45">
        <v>7019.6399999999994</v>
      </c>
      <c r="F139" s="46">
        <v>1</v>
      </c>
      <c r="G139" s="47">
        <v>7019.6399999999994</v>
      </c>
    </row>
    <row r="140" spans="1:7" ht="15" x14ac:dyDescent="0.2">
      <c r="A140" s="253">
        <v>15.8</v>
      </c>
      <c r="B140" s="48">
        <v>943.5</v>
      </c>
      <c r="C140" s="48">
        <v>1047.75</v>
      </c>
      <c r="D140" s="45">
        <v>5849.7</v>
      </c>
      <c r="E140" s="45">
        <v>7019.6399999999994</v>
      </c>
      <c r="F140" s="46">
        <v>1</v>
      </c>
      <c r="G140" s="47">
        <v>7019.6399999999994</v>
      </c>
    </row>
    <row r="141" spans="1:7" ht="15" x14ac:dyDescent="0.2">
      <c r="A141" s="253">
        <v>15.9</v>
      </c>
      <c r="B141" s="48">
        <v>943.5</v>
      </c>
      <c r="C141" s="48">
        <v>1047.75</v>
      </c>
      <c r="D141" s="45">
        <v>5849.7</v>
      </c>
      <c r="E141" s="45">
        <v>7019.6399999999994</v>
      </c>
      <c r="F141" s="46">
        <v>1</v>
      </c>
      <c r="G141" s="47">
        <v>7019.6399999999994</v>
      </c>
    </row>
    <row r="142" spans="1:7" ht="15" x14ac:dyDescent="0.2">
      <c r="A142" s="253">
        <v>16</v>
      </c>
      <c r="B142" s="48">
        <v>943.5</v>
      </c>
      <c r="C142" s="48">
        <v>1047.75</v>
      </c>
      <c r="D142" s="45">
        <v>5849.7</v>
      </c>
      <c r="E142" s="45">
        <v>7019.6399999999994</v>
      </c>
      <c r="F142" s="46">
        <v>1</v>
      </c>
      <c r="G142" s="47">
        <v>7019.6399999999994</v>
      </c>
    </row>
    <row r="143" spans="1:7" ht="15" x14ac:dyDescent="0.2">
      <c r="A143" s="253">
        <v>16.100000000000001</v>
      </c>
      <c r="B143" s="48">
        <v>943.5</v>
      </c>
      <c r="C143" s="48">
        <v>1047.75</v>
      </c>
      <c r="D143" s="45">
        <v>5849.7</v>
      </c>
      <c r="E143" s="45">
        <v>7019.6399999999994</v>
      </c>
      <c r="F143" s="46">
        <v>1</v>
      </c>
      <c r="G143" s="47">
        <v>7019.6399999999994</v>
      </c>
    </row>
    <row r="144" spans="1:7" ht="15" x14ac:dyDescent="0.2">
      <c r="A144" s="253">
        <v>16.2</v>
      </c>
      <c r="B144" s="48">
        <v>943.5</v>
      </c>
      <c r="C144" s="48">
        <v>1047.75</v>
      </c>
      <c r="D144" s="45">
        <v>5849.7</v>
      </c>
      <c r="E144" s="45">
        <v>7019.6399999999994</v>
      </c>
      <c r="F144" s="46">
        <v>1</v>
      </c>
      <c r="G144" s="47">
        <v>7019.6399999999994</v>
      </c>
    </row>
    <row r="145" spans="1:7" ht="15" x14ac:dyDescent="0.2">
      <c r="A145" s="253">
        <v>16.3</v>
      </c>
      <c r="B145" s="48">
        <v>943.5</v>
      </c>
      <c r="C145" s="48">
        <v>1047.75</v>
      </c>
      <c r="D145" s="45">
        <v>5849.7</v>
      </c>
      <c r="E145" s="45">
        <v>7019.6399999999994</v>
      </c>
      <c r="F145" s="46">
        <v>1</v>
      </c>
      <c r="G145" s="47">
        <v>7019.6399999999994</v>
      </c>
    </row>
    <row r="146" spans="1:7" ht="15" x14ac:dyDescent="0.2">
      <c r="A146" s="253">
        <v>16.399999999999999</v>
      </c>
      <c r="B146" s="48">
        <v>943.5</v>
      </c>
      <c r="C146" s="48">
        <v>1047.75</v>
      </c>
      <c r="D146" s="45">
        <v>5849.7</v>
      </c>
      <c r="E146" s="45">
        <v>7019.6399999999994</v>
      </c>
      <c r="F146" s="46">
        <v>1</v>
      </c>
      <c r="G146" s="47">
        <v>7019.6399999999994</v>
      </c>
    </row>
    <row r="147" spans="1:7" ht="15" x14ac:dyDescent="0.2">
      <c r="A147" s="253">
        <v>16.5</v>
      </c>
      <c r="B147" s="48">
        <v>943.5</v>
      </c>
      <c r="C147" s="48">
        <v>1047.75</v>
      </c>
      <c r="D147" s="45">
        <v>5849.7</v>
      </c>
      <c r="E147" s="45">
        <v>7019.6399999999994</v>
      </c>
      <c r="F147" s="46">
        <v>1</v>
      </c>
      <c r="G147" s="47">
        <v>7019.6399999999994</v>
      </c>
    </row>
    <row r="148" spans="1:7" ht="15" x14ac:dyDescent="0.2">
      <c r="A148" s="253">
        <v>16.600000000000001</v>
      </c>
      <c r="B148" s="48">
        <v>943.5</v>
      </c>
      <c r="C148" s="48">
        <v>1047.75</v>
      </c>
      <c r="D148" s="45">
        <v>5849.7</v>
      </c>
      <c r="E148" s="45">
        <v>7019.6399999999994</v>
      </c>
      <c r="F148" s="46">
        <v>1</v>
      </c>
      <c r="G148" s="47">
        <v>7019.6399999999994</v>
      </c>
    </row>
    <row r="149" spans="1:7" ht="15" x14ac:dyDescent="0.2">
      <c r="A149" s="253">
        <v>16.7</v>
      </c>
      <c r="B149" s="48">
        <v>943.5</v>
      </c>
      <c r="C149" s="48">
        <v>1047.75</v>
      </c>
      <c r="D149" s="45">
        <v>5849.7</v>
      </c>
      <c r="E149" s="45">
        <v>7019.6399999999994</v>
      </c>
      <c r="F149" s="46">
        <v>1</v>
      </c>
      <c r="G149" s="47">
        <v>7019.6399999999994</v>
      </c>
    </row>
    <row r="150" spans="1:7" ht="15" x14ac:dyDescent="0.2">
      <c r="A150" s="253">
        <v>16.8</v>
      </c>
      <c r="B150" s="48">
        <v>943.5</v>
      </c>
      <c r="C150" s="48">
        <v>1047.75</v>
      </c>
      <c r="D150" s="45">
        <v>5849.7</v>
      </c>
      <c r="E150" s="45">
        <v>7019.6399999999994</v>
      </c>
      <c r="F150" s="46">
        <v>1</v>
      </c>
      <c r="G150" s="47">
        <v>7019.6399999999994</v>
      </c>
    </row>
    <row r="151" spans="1:7" ht="15" x14ac:dyDescent="0.2">
      <c r="A151" s="253">
        <v>16.899999999999999</v>
      </c>
      <c r="B151" s="48">
        <v>943.5</v>
      </c>
      <c r="C151" s="48">
        <v>1047.75</v>
      </c>
      <c r="D151" s="45">
        <v>5849.7</v>
      </c>
      <c r="E151" s="45">
        <v>7019.6399999999994</v>
      </c>
      <c r="F151" s="46">
        <v>1</v>
      </c>
      <c r="G151" s="47">
        <v>7019.6399999999994</v>
      </c>
    </row>
    <row r="152" spans="1:7" ht="15" x14ac:dyDescent="0.2">
      <c r="A152" s="253">
        <v>17</v>
      </c>
      <c r="B152" s="48">
        <v>943.5</v>
      </c>
      <c r="C152" s="48">
        <v>1047.75</v>
      </c>
      <c r="D152" s="45">
        <v>5849.7</v>
      </c>
      <c r="E152" s="45">
        <v>7019.6399999999994</v>
      </c>
      <c r="F152" s="46">
        <v>1</v>
      </c>
      <c r="G152" s="47">
        <v>7019.6399999999994</v>
      </c>
    </row>
    <row r="153" spans="1:7" ht="15" x14ac:dyDescent="0.2">
      <c r="A153" s="253">
        <v>17.100000000000001</v>
      </c>
      <c r="B153" s="48">
        <v>943.5</v>
      </c>
      <c r="C153" s="48">
        <v>1047.75</v>
      </c>
      <c r="D153" s="45">
        <v>5849.7</v>
      </c>
      <c r="E153" s="45">
        <v>7019.6399999999994</v>
      </c>
      <c r="F153" s="46">
        <v>1</v>
      </c>
      <c r="G153" s="47">
        <v>7019.6399999999994</v>
      </c>
    </row>
    <row r="154" spans="1:7" ht="15" x14ac:dyDescent="0.2">
      <c r="A154" s="253">
        <v>17.2</v>
      </c>
      <c r="B154" s="48">
        <v>943.5</v>
      </c>
      <c r="C154" s="48">
        <v>1047.75</v>
      </c>
      <c r="D154" s="45">
        <v>5849.7</v>
      </c>
      <c r="E154" s="45">
        <v>7019.6399999999994</v>
      </c>
      <c r="F154" s="46">
        <v>1</v>
      </c>
      <c r="G154" s="47">
        <v>7019.6399999999994</v>
      </c>
    </row>
    <row r="155" spans="1:7" ht="15" x14ac:dyDescent="0.2">
      <c r="A155" s="253">
        <v>17.3</v>
      </c>
      <c r="B155" s="48">
        <v>943.5</v>
      </c>
      <c r="C155" s="48">
        <v>1047.75</v>
      </c>
      <c r="D155" s="45">
        <v>5849.7</v>
      </c>
      <c r="E155" s="45">
        <v>7019.6399999999994</v>
      </c>
      <c r="F155" s="46">
        <v>1</v>
      </c>
      <c r="G155" s="47">
        <v>7019.6399999999994</v>
      </c>
    </row>
    <row r="156" spans="1:7" ht="15" x14ac:dyDescent="0.2">
      <c r="A156" s="253">
        <v>17.399999999999999</v>
      </c>
      <c r="B156" s="48">
        <v>943.5</v>
      </c>
      <c r="C156" s="48">
        <v>1047.75</v>
      </c>
      <c r="D156" s="45">
        <v>5849.7</v>
      </c>
      <c r="E156" s="45">
        <v>7019.6399999999994</v>
      </c>
      <c r="F156" s="46">
        <v>1</v>
      </c>
      <c r="G156" s="47">
        <v>7019.6399999999994</v>
      </c>
    </row>
    <row r="157" spans="1:7" ht="15" x14ac:dyDescent="0.2">
      <c r="A157" s="253">
        <v>17.5</v>
      </c>
      <c r="B157" s="48">
        <v>943.5</v>
      </c>
      <c r="C157" s="48">
        <v>1047.75</v>
      </c>
      <c r="D157" s="45">
        <v>5849.7</v>
      </c>
      <c r="E157" s="45">
        <v>7019.6399999999994</v>
      </c>
      <c r="F157" s="46">
        <v>1</v>
      </c>
      <c r="G157" s="47">
        <v>7019.6399999999994</v>
      </c>
    </row>
    <row r="158" spans="1:7" ht="15" x14ac:dyDescent="0.2">
      <c r="A158" s="253">
        <v>17.600000000000001</v>
      </c>
      <c r="B158" s="48">
        <v>943.5</v>
      </c>
      <c r="C158" s="48">
        <v>1047.75</v>
      </c>
      <c r="D158" s="45">
        <v>5849.7</v>
      </c>
      <c r="E158" s="45">
        <v>7019.6399999999994</v>
      </c>
      <c r="F158" s="46">
        <v>1</v>
      </c>
      <c r="G158" s="47">
        <v>7019.6399999999994</v>
      </c>
    </row>
    <row r="159" spans="1:7" ht="15" x14ac:dyDescent="0.2">
      <c r="A159" s="253">
        <v>17.7</v>
      </c>
      <c r="B159" s="48">
        <v>943.5</v>
      </c>
      <c r="C159" s="48">
        <v>1047.75</v>
      </c>
      <c r="D159" s="45">
        <v>5849.7</v>
      </c>
      <c r="E159" s="45">
        <v>7019.6399999999994</v>
      </c>
      <c r="F159" s="46">
        <v>1</v>
      </c>
      <c r="G159" s="47">
        <v>7019.6399999999994</v>
      </c>
    </row>
    <row r="160" spans="1:7" ht="15" x14ac:dyDescent="0.2">
      <c r="A160" s="253">
        <v>17.8</v>
      </c>
      <c r="B160" s="48">
        <v>943.5</v>
      </c>
      <c r="C160" s="48">
        <v>1047.75</v>
      </c>
      <c r="D160" s="45">
        <v>5849.7</v>
      </c>
      <c r="E160" s="45">
        <v>7019.6399999999994</v>
      </c>
      <c r="F160" s="46">
        <v>1</v>
      </c>
      <c r="G160" s="47">
        <v>7019.6399999999994</v>
      </c>
    </row>
    <row r="161" spans="1:7" ht="15" x14ac:dyDescent="0.2">
      <c r="A161" s="253">
        <v>17.899999999999999</v>
      </c>
      <c r="B161" s="48">
        <v>943.5</v>
      </c>
      <c r="C161" s="48">
        <v>1047.75</v>
      </c>
      <c r="D161" s="45">
        <v>5849.7</v>
      </c>
      <c r="E161" s="45">
        <v>7019.6399999999994</v>
      </c>
      <c r="F161" s="46">
        <v>1</v>
      </c>
      <c r="G161" s="47">
        <v>7019.6399999999994</v>
      </c>
    </row>
    <row r="162" spans="1:7" ht="15" x14ac:dyDescent="0.2">
      <c r="A162" s="253">
        <v>18</v>
      </c>
      <c r="B162" s="48">
        <v>943.5</v>
      </c>
      <c r="C162" s="48">
        <v>1047.75</v>
      </c>
      <c r="D162" s="45">
        <v>5849.7</v>
      </c>
      <c r="E162" s="45">
        <v>7019.6399999999994</v>
      </c>
      <c r="F162" s="46">
        <v>1</v>
      </c>
      <c r="G162" s="47">
        <v>7019.6399999999994</v>
      </c>
    </row>
    <row r="163" spans="1:7" ht="15" x14ac:dyDescent="0.2">
      <c r="A163" s="253">
        <v>18.100000000000001</v>
      </c>
      <c r="B163" s="48">
        <v>943.5</v>
      </c>
      <c r="C163" s="48">
        <v>1047.75</v>
      </c>
      <c r="D163" s="45">
        <v>5849.7</v>
      </c>
      <c r="E163" s="45">
        <v>7019.6399999999994</v>
      </c>
      <c r="F163" s="46">
        <v>1</v>
      </c>
      <c r="G163" s="47">
        <v>7019.6399999999994</v>
      </c>
    </row>
    <row r="164" spans="1:7" ht="15" x14ac:dyDescent="0.2">
      <c r="A164" s="253">
        <v>18.2</v>
      </c>
      <c r="B164" s="48">
        <v>943.5</v>
      </c>
      <c r="C164" s="48">
        <v>1047.75</v>
      </c>
      <c r="D164" s="45">
        <v>5849.7</v>
      </c>
      <c r="E164" s="45">
        <v>7019.6399999999994</v>
      </c>
      <c r="F164" s="46">
        <v>1</v>
      </c>
      <c r="G164" s="47">
        <v>7019.6399999999994</v>
      </c>
    </row>
    <row r="165" spans="1:7" ht="15" x14ac:dyDescent="0.2">
      <c r="A165" s="253">
        <v>18.3</v>
      </c>
      <c r="B165" s="48">
        <v>943.5</v>
      </c>
      <c r="C165" s="48">
        <v>1047.75</v>
      </c>
      <c r="D165" s="45">
        <v>5849.7</v>
      </c>
      <c r="E165" s="45">
        <v>7019.6399999999994</v>
      </c>
      <c r="F165" s="46">
        <v>1</v>
      </c>
      <c r="G165" s="47">
        <v>7019.6399999999994</v>
      </c>
    </row>
    <row r="166" spans="1:7" ht="15" x14ac:dyDescent="0.2">
      <c r="A166" s="253">
        <v>18.399999999999999</v>
      </c>
      <c r="B166" s="48">
        <v>943.5</v>
      </c>
      <c r="C166" s="48">
        <v>1047.75</v>
      </c>
      <c r="D166" s="45">
        <v>5849.7</v>
      </c>
      <c r="E166" s="45">
        <v>7019.6399999999994</v>
      </c>
      <c r="F166" s="46">
        <v>1</v>
      </c>
      <c r="G166" s="47">
        <v>7019.6399999999994</v>
      </c>
    </row>
    <row r="167" spans="1:7" ht="15" x14ac:dyDescent="0.2">
      <c r="A167" s="253">
        <v>18.5</v>
      </c>
      <c r="B167" s="48">
        <v>943.5</v>
      </c>
      <c r="C167" s="48">
        <v>1047.75</v>
      </c>
      <c r="D167" s="45">
        <v>5849.7</v>
      </c>
      <c r="E167" s="45">
        <v>7019.6399999999994</v>
      </c>
      <c r="F167" s="46">
        <v>1</v>
      </c>
      <c r="G167" s="47">
        <v>7019.6399999999994</v>
      </c>
    </row>
    <row r="168" spans="1:7" ht="15" x14ac:dyDescent="0.2">
      <c r="A168" s="253">
        <v>18.600000000000001</v>
      </c>
      <c r="B168" s="48">
        <v>943.5</v>
      </c>
      <c r="C168" s="48">
        <v>1047.75</v>
      </c>
      <c r="D168" s="45">
        <v>5849.7</v>
      </c>
      <c r="E168" s="45">
        <v>7019.6399999999994</v>
      </c>
      <c r="F168" s="46">
        <v>1</v>
      </c>
      <c r="G168" s="47">
        <v>7019.6399999999994</v>
      </c>
    </row>
    <row r="169" spans="1:7" ht="15" x14ac:dyDescent="0.2">
      <c r="A169" s="253">
        <v>18.7</v>
      </c>
      <c r="B169" s="48">
        <v>943.5</v>
      </c>
      <c r="C169" s="48">
        <v>1047.75</v>
      </c>
      <c r="D169" s="45">
        <v>5849.7</v>
      </c>
      <c r="E169" s="45">
        <v>7019.6399999999994</v>
      </c>
      <c r="F169" s="46">
        <v>1</v>
      </c>
      <c r="G169" s="47">
        <v>7019.6399999999994</v>
      </c>
    </row>
    <row r="170" spans="1:7" ht="15" x14ac:dyDescent="0.2">
      <c r="A170" s="253">
        <v>18.8</v>
      </c>
      <c r="B170" s="48">
        <v>943.5</v>
      </c>
      <c r="C170" s="48">
        <v>1047.75</v>
      </c>
      <c r="D170" s="45">
        <v>5849.7</v>
      </c>
      <c r="E170" s="45">
        <v>7019.6399999999994</v>
      </c>
      <c r="F170" s="46">
        <v>1</v>
      </c>
      <c r="G170" s="47">
        <v>7019.6399999999994</v>
      </c>
    </row>
    <row r="171" spans="1:7" ht="15" x14ac:dyDescent="0.2">
      <c r="A171" s="253">
        <v>18.899999999999999</v>
      </c>
      <c r="B171" s="48">
        <v>943.5</v>
      </c>
      <c r="C171" s="48">
        <v>1047.75</v>
      </c>
      <c r="D171" s="45">
        <v>5849.7</v>
      </c>
      <c r="E171" s="45">
        <v>7019.6399999999994</v>
      </c>
      <c r="F171" s="46">
        <v>1</v>
      </c>
      <c r="G171" s="47">
        <v>7019.6399999999994</v>
      </c>
    </row>
    <row r="172" spans="1:7" ht="15" x14ac:dyDescent="0.2">
      <c r="A172" s="253">
        <v>19</v>
      </c>
      <c r="B172" s="48">
        <v>943.5</v>
      </c>
      <c r="C172" s="48">
        <v>1047.75</v>
      </c>
      <c r="D172" s="45">
        <v>5849.7</v>
      </c>
      <c r="E172" s="45">
        <v>7019.6399999999994</v>
      </c>
      <c r="F172" s="46">
        <v>1</v>
      </c>
      <c r="G172" s="47">
        <v>7019.6399999999994</v>
      </c>
    </row>
    <row r="173" spans="1:7" ht="15" x14ac:dyDescent="0.2">
      <c r="A173" s="253">
        <v>19.100000000000001</v>
      </c>
      <c r="B173" s="48">
        <v>943.5</v>
      </c>
      <c r="C173" s="48">
        <v>1047.75</v>
      </c>
      <c r="D173" s="45">
        <v>5849.7</v>
      </c>
      <c r="E173" s="45">
        <v>7019.6399999999994</v>
      </c>
      <c r="F173" s="46">
        <v>1</v>
      </c>
      <c r="G173" s="47">
        <v>7019.6399999999994</v>
      </c>
    </row>
    <row r="174" spans="1:7" ht="15" x14ac:dyDescent="0.2">
      <c r="A174" s="253">
        <v>19.2</v>
      </c>
      <c r="B174" s="48">
        <v>943.5</v>
      </c>
      <c r="C174" s="48">
        <v>1047.75</v>
      </c>
      <c r="D174" s="45">
        <v>5849.7</v>
      </c>
      <c r="E174" s="45">
        <v>7019.6399999999994</v>
      </c>
      <c r="F174" s="46">
        <v>1</v>
      </c>
      <c r="G174" s="47">
        <v>7019.6399999999994</v>
      </c>
    </row>
    <row r="175" spans="1:7" ht="15" x14ac:dyDescent="0.2">
      <c r="A175" s="253">
        <v>19.3</v>
      </c>
      <c r="B175" s="48">
        <v>943.5</v>
      </c>
      <c r="C175" s="48">
        <v>1047.75</v>
      </c>
      <c r="D175" s="45">
        <v>5849.7</v>
      </c>
      <c r="E175" s="45">
        <v>7019.6399999999994</v>
      </c>
      <c r="F175" s="46">
        <v>1</v>
      </c>
      <c r="G175" s="47">
        <v>7019.6399999999994</v>
      </c>
    </row>
    <row r="176" spans="1:7" ht="15" x14ac:dyDescent="0.2">
      <c r="A176" s="253">
        <v>19.399999999999999</v>
      </c>
      <c r="B176" s="48">
        <v>943.5</v>
      </c>
      <c r="C176" s="48">
        <v>1047.75</v>
      </c>
      <c r="D176" s="45">
        <v>5849.7</v>
      </c>
      <c r="E176" s="45">
        <v>7019.6399999999994</v>
      </c>
      <c r="F176" s="46">
        <v>1</v>
      </c>
      <c r="G176" s="47">
        <v>7019.6399999999994</v>
      </c>
    </row>
    <row r="177" spans="1:7" ht="15" x14ac:dyDescent="0.2">
      <c r="A177" s="253">
        <v>19.5</v>
      </c>
      <c r="B177" s="48">
        <v>943.5</v>
      </c>
      <c r="C177" s="48">
        <v>1047.75</v>
      </c>
      <c r="D177" s="45">
        <v>5849.7</v>
      </c>
      <c r="E177" s="45">
        <v>7019.6399999999994</v>
      </c>
      <c r="F177" s="46">
        <v>1</v>
      </c>
      <c r="G177" s="47">
        <v>7019.6399999999994</v>
      </c>
    </row>
    <row r="178" spans="1:7" ht="15" x14ac:dyDescent="0.2">
      <c r="A178" s="253">
        <v>19.600000000000001</v>
      </c>
      <c r="B178" s="48">
        <v>943.5</v>
      </c>
      <c r="C178" s="48">
        <v>1047.75</v>
      </c>
      <c r="D178" s="45">
        <v>5849.7</v>
      </c>
      <c r="E178" s="45">
        <v>7019.6399999999994</v>
      </c>
      <c r="F178" s="46">
        <v>1</v>
      </c>
      <c r="G178" s="47">
        <v>7019.6399999999994</v>
      </c>
    </row>
    <row r="179" spans="1:7" ht="15" x14ac:dyDescent="0.2">
      <c r="A179" s="253">
        <v>19.7</v>
      </c>
      <c r="B179" s="48">
        <v>943.5</v>
      </c>
      <c r="C179" s="48">
        <v>1047.75</v>
      </c>
      <c r="D179" s="45">
        <v>5849.7</v>
      </c>
      <c r="E179" s="45">
        <v>7019.6399999999994</v>
      </c>
      <c r="F179" s="46">
        <v>1</v>
      </c>
      <c r="G179" s="47">
        <v>7019.6399999999994</v>
      </c>
    </row>
    <row r="180" spans="1:7" ht="15" x14ac:dyDescent="0.2">
      <c r="A180" s="253">
        <v>19.8</v>
      </c>
      <c r="B180" s="48">
        <v>943.5</v>
      </c>
      <c r="C180" s="48">
        <v>1047.75</v>
      </c>
      <c r="D180" s="45">
        <v>5849.7</v>
      </c>
      <c r="E180" s="45">
        <v>7019.6399999999994</v>
      </c>
      <c r="F180" s="46">
        <v>1</v>
      </c>
      <c r="G180" s="47">
        <v>7019.6399999999994</v>
      </c>
    </row>
    <row r="181" spans="1:7" ht="15" x14ac:dyDescent="0.2">
      <c r="A181" s="253">
        <v>19.899999999999999</v>
      </c>
      <c r="B181" s="48">
        <v>943.5</v>
      </c>
      <c r="C181" s="48">
        <v>1047.75</v>
      </c>
      <c r="D181" s="45">
        <v>5849.7</v>
      </c>
      <c r="E181" s="45">
        <v>7019.6399999999994</v>
      </c>
      <c r="F181" s="46">
        <v>1</v>
      </c>
      <c r="G181" s="47">
        <v>7019.6399999999994</v>
      </c>
    </row>
    <row r="182" spans="1:7" ht="15" x14ac:dyDescent="0.2">
      <c r="A182" s="253">
        <v>20</v>
      </c>
      <c r="B182" s="48">
        <v>943.5</v>
      </c>
      <c r="C182" s="48">
        <v>1047.75</v>
      </c>
      <c r="D182" s="45">
        <v>5849.7</v>
      </c>
      <c r="E182" s="45">
        <v>7019.6399999999994</v>
      </c>
      <c r="F182" s="46">
        <v>1</v>
      </c>
      <c r="G182" s="47">
        <v>7019.6399999999994</v>
      </c>
    </row>
    <row r="183" spans="1:7" ht="15" x14ac:dyDescent="0.2">
      <c r="A183" s="253">
        <v>20.100000000000001</v>
      </c>
      <c r="B183" s="48">
        <v>943.5</v>
      </c>
      <c r="C183" s="48">
        <v>1047.75</v>
      </c>
      <c r="D183" s="45">
        <v>5849.7</v>
      </c>
      <c r="E183" s="45">
        <v>7019.6399999999994</v>
      </c>
      <c r="F183" s="46">
        <v>1</v>
      </c>
      <c r="G183" s="47">
        <v>7019.6399999999994</v>
      </c>
    </row>
    <row r="184" spans="1:7" ht="15" x14ac:dyDescent="0.2">
      <c r="A184" s="253">
        <v>20.2</v>
      </c>
      <c r="B184" s="48">
        <v>943.5</v>
      </c>
      <c r="C184" s="48">
        <v>1047.75</v>
      </c>
      <c r="D184" s="45">
        <v>5849.7</v>
      </c>
      <c r="E184" s="45">
        <v>7019.6399999999994</v>
      </c>
      <c r="F184" s="46">
        <v>1</v>
      </c>
      <c r="G184" s="47">
        <v>7019.6399999999994</v>
      </c>
    </row>
    <row r="185" spans="1:7" ht="15" x14ac:dyDescent="0.2">
      <c r="A185" s="253">
        <v>20.3</v>
      </c>
      <c r="B185" s="48">
        <v>943.5</v>
      </c>
      <c r="C185" s="48">
        <v>1047.75</v>
      </c>
      <c r="D185" s="45">
        <v>5849.7</v>
      </c>
      <c r="E185" s="45">
        <v>7019.6399999999994</v>
      </c>
      <c r="F185" s="46">
        <v>1</v>
      </c>
      <c r="G185" s="47">
        <v>7019.6399999999994</v>
      </c>
    </row>
    <row r="186" spans="1:7" ht="15" x14ac:dyDescent="0.2">
      <c r="A186" s="253">
        <v>20.399999999999999</v>
      </c>
      <c r="B186" s="48">
        <v>943.5</v>
      </c>
      <c r="C186" s="48">
        <v>1047.75</v>
      </c>
      <c r="D186" s="45">
        <v>5849.7</v>
      </c>
      <c r="E186" s="45">
        <v>7019.6399999999994</v>
      </c>
      <c r="F186" s="46">
        <v>1</v>
      </c>
      <c r="G186" s="47">
        <v>7019.6399999999994</v>
      </c>
    </row>
    <row r="187" spans="1:7" ht="15" x14ac:dyDescent="0.2">
      <c r="A187" s="253">
        <v>20.5</v>
      </c>
      <c r="B187" s="48">
        <v>943.5</v>
      </c>
      <c r="C187" s="48">
        <v>1047.75</v>
      </c>
      <c r="D187" s="45">
        <v>5849.7</v>
      </c>
      <c r="E187" s="45">
        <v>7019.6399999999994</v>
      </c>
      <c r="F187" s="46">
        <v>1</v>
      </c>
      <c r="G187" s="47">
        <v>7019.6399999999994</v>
      </c>
    </row>
    <row r="188" spans="1:7" ht="15" x14ac:dyDescent="0.2">
      <c r="A188" s="253">
        <v>20.6</v>
      </c>
      <c r="B188" s="48">
        <v>943.5</v>
      </c>
      <c r="C188" s="48">
        <v>1047.75</v>
      </c>
      <c r="D188" s="45">
        <v>5849.7</v>
      </c>
      <c r="E188" s="45">
        <v>7019.6399999999994</v>
      </c>
      <c r="F188" s="46">
        <v>1</v>
      </c>
      <c r="G188" s="47">
        <v>7019.6399999999994</v>
      </c>
    </row>
    <row r="189" spans="1:7" ht="15" x14ac:dyDescent="0.2">
      <c r="A189" s="253">
        <v>20.7</v>
      </c>
      <c r="B189" s="48">
        <v>943.5</v>
      </c>
      <c r="C189" s="48">
        <v>1047.75</v>
      </c>
      <c r="D189" s="45">
        <v>5849.7</v>
      </c>
      <c r="E189" s="45">
        <v>7019.6399999999994</v>
      </c>
      <c r="F189" s="46">
        <v>1</v>
      </c>
      <c r="G189" s="47">
        <v>7019.6399999999994</v>
      </c>
    </row>
    <row r="190" spans="1:7" ht="15" x14ac:dyDescent="0.2">
      <c r="A190" s="253">
        <v>20.8</v>
      </c>
      <c r="B190" s="48">
        <v>943.5</v>
      </c>
      <c r="C190" s="48">
        <v>1047.75</v>
      </c>
      <c r="D190" s="45">
        <v>5849.7</v>
      </c>
      <c r="E190" s="45">
        <v>7019.6399999999994</v>
      </c>
      <c r="F190" s="46">
        <v>1</v>
      </c>
      <c r="G190" s="47">
        <v>7019.6399999999994</v>
      </c>
    </row>
    <row r="191" spans="1:7" ht="15" x14ac:dyDescent="0.2">
      <c r="A191" s="253">
        <v>20.9</v>
      </c>
      <c r="B191" s="48">
        <v>943.5</v>
      </c>
      <c r="C191" s="48">
        <v>1047.75</v>
      </c>
      <c r="D191" s="45">
        <v>5849.7</v>
      </c>
      <c r="E191" s="45">
        <v>7019.6399999999994</v>
      </c>
      <c r="F191" s="46">
        <v>1</v>
      </c>
      <c r="G191" s="47">
        <v>7019.6399999999994</v>
      </c>
    </row>
    <row r="192" spans="1:7" ht="15" x14ac:dyDescent="0.2">
      <c r="A192" s="253">
        <v>21</v>
      </c>
      <c r="B192" s="48">
        <v>943.5</v>
      </c>
      <c r="C192" s="48">
        <v>1047.75</v>
      </c>
      <c r="D192" s="45">
        <v>5849.7</v>
      </c>
      <c r="E192" s="45">
        <v>7019.6399999999994</v>
      </c>
      <c r="F192" s="46">
        <v>1</v>
      </c>
      <c r="G192" s="47">
        <v>7019.6399999999994</v>
      </c>
    </row>
    <row r="193" spans="1:7" ht="15" x14ac:dyDescent="0.2">
      <c r="A193" s="253">
        <v>28.4</v>
      </c>
      <c r="B193" s="48">
        <v>944</v>
      </c>
      <c r="C193" s="48">
        <v>1048</v>
      </c>
      <c r="D193" s="45">
        <v>5852.8</v>
      </c>
      <c r="E193" s="45">
        <v>7023.36</v>
      </c>
      <c r="F193" s="46">
        <v>1</v>
      </c>
      <c r="G193" s="47">
        <v>7023.36</v>
      </c>
    </row>
    <row r="194" spans="1:7" ht="15" x14ac:dyDescent="0.2">
      <c r="A194" s="253">
        <v>28.5</v>
      </c>
      <c r="B194" s="48">
        <v>944</v>
      </c>
      <c r="C194" s="48">
        <v>1048</v>
      </c>
      <c r="D194" s="45">
        <v>5852.8</v>
      </c>
      <c r="E194" s="45">
        <v>7023.36</v>
      </c>
      <c r="F194" s="46">
        <v>1</v>
      </c>
      <c r="G194" s="47">
        <v>7023.36</v>
      </c>
    </row>
  </sheetData>
  <autoFilter ref="A1:G182" xr:uid="{32DBD283-2743-4340-B700-B6C93B957C0B}"/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16">
    <tabColor rgb="FFFF0000"/>
    <pageSetUpPr fitToPage="1"/>
  </sheetPr>
  <dimension ref="A1:W65526"/>
  <sheetViews>
    <sheetView showGridLines="0" topLeftCell="C1" zoomScale="85" zoomScaleNormal="85" workbookViewId="0">
      <selection activeCell="S20" sqref="S20"/>
    </sheetView>
  </sheetViews>
  <sheetFormatPr defaultColWidth="9.140625" defaultRowHeight="12.75" x14ac:dyDescent="0.2"/>
  <cols>
    <col min="1" max="1" width="13.5703125" style="79" hidden="1" customWidth="1"/>
    <col min="2" max="2" width="8.42578125" style="79" hidden="1" customWidth="1"/>
    <col min="3" max="3" width="19.5703125" style="79" bestFit="1" customWidth="1"/>
    <col min="4" max="4" width="26.140625" style="79" bestFit="1" customWidth="1"/>
    <col min="5" max="6" width="10.28515625" style="79" customWidth="1"/>
    <col min="7" max="7" width="14.5703125" style="79" customWidth="1"/>
    <col min="8" max="8" width="12.140625" style="79" customWidth="1"/>
    <col min="9" max="9" width="8.28515625" style="79" customWidth="1"/>
    <col min="10" max="16" width="10.42578125" style="79" customWidth="1"/>
    <col min="17" max="17" width="30.42578125" style="79" customWidth="1"/>
    <col min="18" max="18" width="14.42578125" style="79" customWidth="1"/>
    <col min="19" max="19" width="49.85546875" style="79" customWidth="1"/>
    <col min="20" max="24" width="9.140625" style="79" customWidth="1"/>
    <col min="25" max="16384" width="9.140625" style="79"/>
  </cols>
  <sheetData>
    <row r="1" spans="1:23" ht="46.5" thickBot="1" x14ac:dyDescent="0.25">
      <c r="A1" s="124"/>
      <c r="B1" s="125"/>
      <c r="C1" s="919" t="s">
        <v>384</v>
      </c>
      <c r="D1" s="920"/>
      <c r="E1" s="920"/>
      <c r="F1" s="920"/>
      <c r="G1" s="921"/>
      <c r="H1" s="644" t="s">
        <v>1</v>
      </c>
      <c r="I1" s="645"/>
      <c r="J1" s="910">
        <f ca="1">$H$41</f>
        <v>0</v>
      </c>
      <c r="K1" s="911"/>
      <c r="L1" s="911"/>
      <c r="M1" s="912"/>
      <c r="N1" s="649"/>
      <c r="O1" s="650"/>
      <c r="P1" s="651"/>
      <c r="Q1" s="126"/>
      <c r="R1" s="127" t="s">
        <v>2</v>
      </c>
      <c r="S1" s="128" t="s">
        <v>3</v>
      </c>
      <c r="V1" s="17" t="s">
        <v>385</v>
      </c>
      <c r="W1" s="129" t="s">
        <v>386</v>
      </c>
    </row>
    <row r="2" spans="1:23" s="306" customFormat="1" ht="30.75" thickBot="1" x14ac:dyDescent="0.3">
      <c r="A2" s="305"/>
      <c r="C2" s="913" t="s">
        <v>6</v>
      </c>
      <c r="D2" s="914"/>
      <c r="E2" s="629">
        <v>46078</v>
      </c>
      <c r="F2" s="917"/>
      <c r="G2" s="630"/>
      <c r="H2" s="319" t="s">
        <v>7</v>
      </c>
      <c r="I2" s="431">
        <f>$N$41</f>
        <v>0</v>
      </c>
      <c r="J2" s="319" t="s">
        <v>8</v>
      </c>
      <c r="K2" s="432">
        <f>$J$41</f>
        <v>0</v>
      </c>
      <c r="L2" s="320" t="s">
        <v>9</v>
      </c>
      <c r="M2" s="433">
        <f>$K$41</f>
        <v>0</v>
      </c>
      <c r="N2" s="652"/>
      <c r="O2" s="653"/>
      <c r="P2" s="654"/>
      <c r="Q2" s="307"/>
      <c r="R2" s="308"/>
      <c r="S2" s="309" t="s">
        <v>223</v>
      </c>
      <c r="V2" s="310" t="s">
        <v>387</v>
      </c>
      <c r="W2" s="311" t="s">
        <v>388</v>
      </c>
    </row>
    <row r="3" spans="1:23" s="306" customFormat="1" ht="30.75" thickBot="1" x14ac:dyDescent="0.3">
      <c r="A3" s="312"/>
      <c r="B3" s="313"/>
      <c r="C3" s="915"/>
      <c r="D3" s="916"/>
      <c r="E3" s="631"/>
      <c r="F3" s="918"/>
      <c r="G3" s="632"/>
      <c r="H3" s="321" t="s">
        <v>13</v>
      </c>
      <c r="I3" s="434">
        <f>E41</f>
        <v>0</v>
      </c>
      <c r="J3" s="319" t="s">
        <v>14</v>
      </c>
      <c r="K3" s="432">
        <f>$M$41</f>
        <v>0</v>
      </c>
      <c r="L3" s="320" t="s">
        <v>15</v>
      </c>
      <c r="M3" s="434">
        <f>$L$41</f>
        <v>0</v>
      </c>
      <c r="N3" s="655"/>
      <c r="O3" s="656"/>
      <c r="P3" s="657"/>
      <c r="Q3" s="307"/>
      <c r="R3" s="308" t="s">
        <v>389</v>
      </c>
      <c r="S3" s="309" t="s">
        <v>384</v>
      </c>
    </row>
    <row r="4" spans="1:23" s="306" customFormat="1" ht="30.75" thickBot="1" x14ac:dyDescent="0.3">
      <c r="A4" s="311"/>
      <c r="C4" s="314" t="s">
        <v>17</v>
      </c>
      <c r="D4" s="315" t="s">
        <v>18</v>
      </c>
      <c r="E4" s="316" t="s">
        <v>19</v>
      </c>
      <c r="F4" s="479" t="s">
        <v>390</v>
      </c>
      <c r="G4" s="317" t="s">
        <v>20</v>
      </c>
      <c r="H4" s="315" t="s">
        <v>1</v>
      </c>
      <c r="I4" s="318" t="s">
        <v>21</v>
      </c>
      <c r="J4" s="318" t="s">
        <v>22</v>
      </c>
      <c r="K4" s="318" t="s">
        <v>9</v>
      </c>
      <c r="L4" s="318" t="s">
        <v>15</v>
      </c>
      <c r="M4" s="318" t="s">
        <v>23</v>
      </c>
      <c r="N4" s="315" t="s">
        <v>24</v>
      </c>
      <c r="O4" s="315" t="s">
        <v>25</v>
      </c>
      <c r="P4" s="318" t="s">
        <v>26</v>
      </c>
      <c r="Q4" s="400"/>
    </row>
    <row r="5" spans="1:23" s="306" customFormat="1" ht="15.75" customHeight="1" x14ac:dyDescent="0.25">
      <c r="A5" s="401" t="str">
        <f t="shared" ref="A5:A40" si="0">CONCATENATE(B5,G5)</f>
        <v>C47002446078</v>
      </c>
      <c r="B5" s="306" t="s">
        <v>391</v>
      </c>
      <c r="C5" s="402" t="e">
        <f>VLOOKUP(B5,'BR''S'!B:G,6,0)</f>
        <v>#N/A</v>
      </c>
      <c r="D5" s="403" t="e">
        <f>VLOOKUP(B5,'BR''S'!B:D,3,0)</f>
        <v>#N/A</v>
      </c>
      <c r="E5" s="404">
        <f>SUMIF(HORÁRIO!$A$5:$A$13,FADEL!$A5,HORÁRIO!$L$5:$L$13)</f>
        <v>0</v>
      </c>
      <c r="F5" s="404"/>
      <c r="G5" s="405">
        <f t="shared" ref="G5:G40" si="1">$E$2</f>
        <v>46078</v>
      </c>
      <c r="H5" s="406">
        <f ca="1">SUMIF(PUXADA!A:P,FADEL!A5,PUXADA!P:P)</f>
        <v>0</v>
      </c>
      <c r="I5" s="407">
        <f ca="1">SUMIF(PUXADA!A:P,FADEL!A5,PUXADA!G:G)</f>
        <v>0</v>
      </c>
      <c r="J5" s="408">
        <f>SUMIF(HORÁRIO!$A:$A,FADEL!$A5,HORÁRIO!Q:Q)</f>
        <v>0</v>
      </c>
      <c r="K5" s="408">
        <f>SUMIF(HORÁRIO!$A:$A,FADEL!$A5,HORÁRIO!R:R)</f>
        <v>0</v>
      </c>
      <c r="L5" s="408">
        <f>SUMIF(HORÁRIO!$A:$A,FADEL!$A5,HORÁRIO!S:S)+SUMIF(HORÁRIO!$A:$A,FADEL!$A5,HORÁRIO!T:T)</f>
        <v>0</v>
      </c>
      <c r="M5" s="408">
        <f>SUMIF(HORÁRIO!$A:$A,FADEL!$A5,HORÁRIO!AD:AD)</f>
        <v>0</v>
      </c>
      <c r="N5" s="408">
        <f>SUMIF(HORÁRIO!$A:$A,FADEL!$A5,HORÁRIO!AE:AE)</f>
        <v>0</v>
      </c>
      <c r="O5" s="408">
        <f>SUMIF(HORÁRIO!$A$5:$A$13,FADEL!$A5,HORÁRIO!$O$5:$O$13)</f>
        <v>0</v>
      </c>
      <c r="P5" s="409" t="str">
        <f>IFERROR(VLOOKUP(A5,HORÁRIO!A:AE,15,0),"")</f>
        <v/>
      </c>
    </row>
    <row r="6" spans="1:23" s="306" customFormat="1" ht="15.75" customHeight="1" x14ac:dyDescent="0.25">
      <c r="A6" s="401" t="str">
        <f t="shared" si="0"/>
        <v>C47003846078</v>
      </c>
      <c r="B6" s="306" t="s">
        <v>392</v>
      </c>
      <c r="C6" s="402" t="e">
        <f>VLOOKUP(B6,'BR''S'!B:G,6,0)</f>
        <v>#N/A</v>
      </c>
      <c r="D6" s="410" t="e">
        <f>VLOOKUP(B6,'BR''S'!B:D,3,0)</f>
        <v>#N/A</v>
      </c>
      <c r="E6" s="404">
        <f>SUMIF(HORÁRIO!$A$5:$A$13,FADEL!$A6,HORÁRIO!$L$5:$L$13)</f>
        <v>0</v>
      </c>
      <c r="F6" s="404"/>
      <c r="G6" s="411">
        <f t="shared" si="1"/>
        <v>46078</v>
      </c>
      <c r="H6" s="412">
        <f ca="1">SUMIF(PUXADA!A:P,FADEL!A6,PUXADA!P:P)</f>
        <v>0</v>
      </c>
      <c r="I6" s="413">
        <f ca="1">SUMIF(PUXADA!A:P,FADEL!A6,PUXADA!G:G)</f>
        <v>0</v>
      </c>
      <c r="J6" s="414">
        <f>SUMIF(HORÁRIO!$A:$A,FADEL!$A6,HORÁRIO!Q:Q)</f>
        <v>0</v>
      </c>
      <c r="K6" s="414">
        <f>SUMIF(HORÁRIO!$A:$A,FADEL!$A6,HORÁRIO!R:R)</f>
        <v>0</v>
      </c>
      <c r="L6" s="414">
        <f>SUMIF(HORÁRIO!$A:$A,FADEL!$A6,HORÁRIO!S:S)+SUMIF(HORÁRIO!$A:$A,FADEL!$A6,HORÁRIO!T:T)</f>
        <v>0</v>
      </c>
      <c r="M6" s="414">
        <f>SUMIF(HORÁRIO!$A:$A,FADEL!$A6,HORÁRIO!AD:AD)</f>
        <v>0</v>
      </c>
      <c r="N6" s="414">
        <f>SUMIF(HORÁRIO!$A:$A,FADEL!$A6,HORÁRIO!AE:AE)</f>
        <v>0</v>
      </c>
      <c r="O6" s="414">
        <f>SUMIF(HORÁRIO!$A$5:$A$13,FADEL!$A6,HORÁRIO!$O$5:$O$13)</f>
        <v>0</v>
      </c>
      <c r="P6" s="415" t="str">
        <f>IFERROR(VLOOKUP(A6,HORÁRIO!A:AE,15,0),"")</f>
        <v/>
      </c>
    </row>
    <row r="7" spans="1:23" s="306" customFormat="1" ht="15.75" customHeight="1" x14ac:dyDescent="0.25">
      <c r="A7" s="401" t="str">
        <f t="shared" si="0"/>
        <v>C47074046078</v>
      </c>
      <c r="B7" s="306" t="s">
        <v>393</v>
      </c>
      <c r="C7" s="402" t="e">
        <f>VLOOKUP(B7,'BR''S'!B:G,6,0)</f>
        <v>#N/A</v>
      </c>
      <c r="D7" s="410" t="e">
        <f>VLOOKUP(B7,'BR''S'!B:D,3,0)</f>
        <v>#N/A</v>
      </c>
      <c r="E7" s="404">
        <f>SUMIF(HORÁRIO!$A$5:$A$13,FADEL!$A7,HORÁRIO!$L$5:$L$13)</f>
        <v>0</v>
      </c>
      <c r="F7" s="404"/>
      <c r="G7" s="411">
        <f t="shared" si="1"/>
        <v>46078</v>
      </c>
      <c r="H7" s="412">
        <f ca="1">SUMIF(PUXADA!A:P,FADEL!A7,PUXADA!P:P)</f>
        <v>0</v>
      </c>
      <c r="I7" s="413">
        <f ca="1">SUMIF(PUXADA!A:P,FADEL!A7,PUXADA!G:G)</f>
        <v>0</v>
      </c>
      <c r="J7" s="414">
        <f>SUMIF(HORÁRIO!$A:$A,FADEL!$A7,HORÁRIO!Q:Q)</f>
        <v>0</v>
      </c>
      <c r="K7" s="414">
        <f>SUMIF(HORÁRIO!$A:$A,FADEL!$A7,HORÁRIO!R:R)</f>
        <v>0</v>
      </c>
      <c r="L7" s="414">
        <f>SUMIF(HORÁRIO!$A:$A,FADEL!$A7,HORÁRIO!S:S)+SUMIF(HORÁRIO!$A:$A,FADEL!$A7,HORÁRIO!T:T)</f>
        <v>0</v>
      </c>
      <c r="M7" s="414">
        <f>SUMIF(HORÁRIO!$A:$A,FADEL!$A7,HORÁRIO!AD:AD)</f>
        <v>0</v>
      </c>
      <c r="N7" s="414">
        <f>SUMIF(HORÁRIO!$A:$A,FADEL!$A7,HORÁRIO!AE:AE)</f>
        <v>0</v>
      </c>
      <c r="O7" s="414">
        <f>SUMIF(HORÁRIO!$A$5:$A$13,FADEL!$A7,HORÁRIO!$O$5:$O$13)</f>
        <v>0</v>
      </c>
      <c r="P7" s="415" t="str">
        <f>IFERROR(VLOOKUP(A7,HORÁRIO!A:AE,15,0),"")</f>
        <v/>
      </c>
    </row>
    <row r="8" spans="1:23" s="306" customFormat="1" ht="15.75" customHeight="1" x14ac:dyDescent="0.25">
      <c r="A8" s="401" t="str">
        <f t="shared" si="0"/>
        <v>C47074146078</v>
      </c>
      <c r="B8" s="306" t="s">
        <v>394</v>
      </c>
      <c r="C8" s="402" t="e">
        <f>VLOOKUP(B8,'BR''S'!B:G,6,0)</f>
        <v>#N/A</v>
      </c>
      <c r="D8" s="410" t="e">
        <f>VLOOKUP(B8,'BR''S'!B:D,3,0)</f>
        <v>#N/A</v>
      </c>
      <c r="E8" s="404">
        <f>SUMIF(HORÁRIO!$A$5:$A$13,FADEL!$A8,HORÁRIO!$L$5:$L$13)</f>
        <v>0</v>
      </c>
      <c r="F8" s="404"/>
      <c r="G8" s="411">
        <f t="shared" si="1"/>
        <v>46078</v>
      </c>
      <c r="H8" s="412">
        <f ca="1">SUMIF(PUXADA!A:P,FADEL!A8,PUXADA!P:P)</f>
        <v>0</v>
      </c>
      <c r="I8" s="413">
        <f ca="1">SUMIF(PUXADA!A:P,FADEL!A8,PUXADA!G:G)</f>
        <v>0</v>
      </c>
      <c r="J8" s="414">
        <f>SUMIF(HORÁRIO!$A:$A,FADEL!$A8,HORÁRIO!Q:Q)</f>
        <v>0</v>
      </c>
      <c r="K8" s="414">
        <f>SUMIF(HORÁRIO!$A:$A,FADEL!$A8,HORÁRIO!R:R)</f>
        <v>0</v>
      </c>
      <c r="L8" s="414">
        <f>SUMIF(HORÁRIO!$A:$A,FADEL!$A8,HORÁRIO!S:S)+SUMIF(HORÁRIO!$A:$A,FADEL!$A8,HORÁRIO!T:T)</f>
        <v>0</v>
      </c>
      <c r="M8" s="414">
        <f>SUMIF(HORÁRIO!$A:$A,FADEL!$A8,HORÁRIO!AD:AD)</f>
        <v>0</v>
      </c>
      <c r="N8" s="414">
        <f>SUMIF(HORÁRIO!$A:$A,FADEL!$A8,HORÁRIO!AE:AE)</f>
        <v>0</v>
      </c>
      <c r="O8" s="414">
        <f>SUMIF(HORÁRIO!$A$5:$A$13,FADEL!$A8,HORÁRIO!$O$5:$O$13)</f>
        <v>0</v>
      </c>
      <c r="P8" s="415" t="str">
        <f>IFERROR(VLOOKUP(A8,HORÁRIO!A:AE,15,0),"")</f>
        <v/>
      </c>
    </row>
    <row r="9" spans="1:23" s="306" customFormat="1" ht="15.75" hidden="1" customHeight="1" x14ac:dyDescent="0.25">
      <c r="A9" s="401" t="str">
        <f t="shared" si="0"/>
        <v>C47074446078</v>
      </c>
      <c r="B9" s="306" t="s">
        <v>395</v>
      </c>
      <c r="C9" s="402" t="e">
        <f>VLOOKUP(B9,'BR''S'!B:G,6,0)</f>
        <v>#N/A</v>
      </c>
      <c r="D9" s="410" t="e">
        <f>VLOOKUP(B9,'BR''S'!B:D,3,0)</f>
        <v>#N/A</v>
      </c>
      <c r="E9" s="404">
        <f>SUMIF(HORÁRIO!$A$5:$A$13,FADEL!$A9,HORÁRIO!$L$5:$L$13)</f>
        <v>0</v>
      </c>
      <c r="F9" s="404"/>
      <c r="G9" s="411">
        <f t="shared" si="1"/>
        <v>46078</v>
      </c>
      <c r="H9" s="412">
        <f ca="1">SUMIF(PUXADA!A:P,FADEL!A9,PUXADA!P:P)</f>
        <v>0</v>
      </c>
      <c r="I9" s="413">
        <f ca="1">SUMIF(PUXADA!A:P,FADEL!A9,PUXADA!G:G)</f>
        <v>0</v>
      </c>
      <c r="J9" s="414">
        <f>SUMIF(HORÁRIO!$A:$A,FADEL!$A9,HORÁRIO!Q:Q)</f>
        <v>0</v>
      </c>
      <c r="K9" s="414">
        <f>SUMIF(HORÁRIO!$A:$A,FADEL!$A9,HORÁRIO!R:R)</f>
        <v>0</v>
      </c>
      <c r="L9" s="414">
        <f>SUMIF(HORÁRIO!$A:$A,FADEL!$A9,HORÁRIO!S:S)+SUMIF(HORÁRIO!$A:$A,FADEL!$A9,HORÁRIO!T:T)</f>
        <v>0</v>
      </c>
      <c r="M9" s="414">
        <f>SUMIF(HORÁRIO!$A:$A,FADEL!$A9,HORÁRIO!AD:AD)</f>
        <v>0</v>
      </c>
      <c r="N9" s="414">
        <f>SUMIF(HORÁRIO!$A:$A,FADEL!$A9,HORÁRIO!AE:AE)</f>
        <v>0</v>
      </c>
      <c r="O9" s="414">
        <f>SUMIF(HORÁRIO!$A$5:$A$13,FADEL!$A9,HORÁRIO!$O$5:$O$13)</f>
        <v>0</v>
      </c>
      <c r="P9" s="415" t="str">
        <f>IFERROR(VLOOKUP(A9,HORÁRIO!A:AE,15,0),"")</f>
        <v/>
      </c>
    </row>
    <row r="10" spans="1:23" s="306" customFormat="1" ht="15.75" customHeight="1" x14ac:dyDescent="0.25">
      <c r="A10" s="401" t="str">
        <f t="shared" si="0"/>
        <v>C47074646078</v>
      </c>
      <c r="B10" s="306" t="s">
        <v>396</v>
      </c>
      <c r="C10" s="402" t="e">
        <f>VLOOKUP(B10,'BR''S'!B:G,6,0)</f>
        <v>#N/A</v>
      </c>
      <c r="D10" s="410" t="e">
        <f>VLOOKUP(B10,'BR''S'!B:D,3,0)</f>
        <v>#N/A</v>
      </c>
      <c r="E10" s="404">
        <f>SUMIF(HORÁRIO!$A$5:$A$13,FADEL!$A10,HORÁRIO!$L$5:$L$13)</f>
        <v>0</v>
      </c>
      <c r="F10" s="404"/>
      <c r="G10" s="411">
        <f t="shared" si="1"/>
        <v>46078</v>
      </c>
      <c r="H10" s="412">
        <f ca="1">SUMIF(PUXADA!A:P,FADEL!A10,PUXADA!P:P)</f>
        <v>0</v>
      </c>
      <c r="I10" s="413">
        <f ca="1">SUMIF(PUXADA!A:P,FADEL!A10,PUXADA!G:G)</f>
        <v>0</v>
      </c>
      <c r="J10" s="414">
        <f>SUMIF(HORÁRIO!$A:$A,FADEL!$A10,HORÁRIO!Q:Q)</f>
        <v>0</v>
      </c>
      <c r="K10" s="414">
        <f>SUMIF(HORÁRIO!$A:$A,FADEL!$A10,HORÁRIO!R:R)</f>
        <v>0</v>
      </c>
      <c r="L10" s="414">
        <f>SUMIF(HORÁRIO!$A:$A,FADEL!$A10,HORÁRIO!S:S)+SUMIF(HORÁRIO!$A:$A,FADEL!$A10,HORÁRIO!T:T)</f>
        <v>0</v>
      </c>
      <c r="M10" s="414">
        <f>SUMIF(HORÁRIO!$A:$A,FADEL!$A10,HORÁRIO!AD:AD)</f>
        <v>0</v>
      </c>
      <c r="N10" s="414">
        <f>SUMIF(HORÁRIO!$A:$A,FADEL!$A10,HORÁRIO!AE:AE)</f>
        <v>0</v>
      </c>
      <c r="O10" s="414">
        <f>SUMIF(HORÁRIO!$A$5:$A$13,FADEL!$A10,HORÁRIO!$O$5:$O$13)</f>
        <v>0</v>
      </c>
      <c r="P10" s="415" t="str">
        <f>IFERROR(VLOOKUP(A10,HORÁRIO!A:AE,15,0),"")</f>
        <v/>
      </c>
    </row>
    <row r="11" spans="1:23" s="306" customFormat="1" ht="15.75" customHeight="1" x14ac:dyDescent="0.25">
      <c r="A11" s="401" t="str">
        <f t="shared" si="0"/>
        <v>C47074946078</v>
      </c>
      <c r="B11" s="306" t="s">
        <v>397</v>
      </c>
      <c r="C11" s="402" t="e">
        <f>VLOOKUP(B11,'BR''S'!B:G,6,0)</f>
        <v>#N/A</v>
      </c>
      <c r="D11" s="410" t="e">
        <f>VLOOKUP(B11,'BR''S'!B:D,3,0)</f>
        <v>#N/A</v>
      </c>
      <c r="E11" s="404">
        <f>SUMIF(HORÁRIO!$A$5:$A$13,FADEL!$A11,HORÁRIO!$L$5:$L$13)</f>
        <v>0</v>
      </c>
      <c r="F11" s="404"/>
      <c r="G11" s="411">
        <f t="shared" si="1"/>
        <v>46078</v>
      </c>
      <c r="H11" s="412">
        <f ca="1">SUMIF(PUXADA!A:P,FADEL!A11,PUXADA!P:P)</f>
        <v>0</v>
      </c>
      <c r="I11" s="413">
        <f ca="1">SUMIF(PUXADA!A:P,FADEL!A11,PUXADA!G:G)</f>
        <v>0</v>
      </c>
      <c r="J11" s="414">
        <f>SUMIF(HORÁRIO!$A:$A,FADEL!$A11,HORÁRIO!Q:Q)</f>
        <v>0</v>
      </c>
      <c r="K11" s="414">
        <f>SUMIF(HORÁRIO!$A:$A,FADEL!$A11,HORÁRIO!R:R)</f>
        <v>0</v>
      </c>
      <c r="L11" s="414">
        <f>SUMIF(HORÁRIO!$A:$A,FADEL!$A11,HORÁRIO!S:S)+SUMIF(HORÁRIO!$A:$A,FADEL!$A11,HORÁRIO!T:T)</f>
        <v>0</v>
      </c>
      <c r="M11" s="414">
        <f>SUMIF(HORÁRIO!$A:$A,FADEL!$A11,HORÁRIO!AD:AD)</f>
        <v>0</v>
      </c>
      <c r="N11" s="414">
        <f>SUMIF(HORÁRIO!$A:$A,FADEL!$A11,HORÁRIO!AE:AE)</f>
        <v>0</v>
      </c>
      <c r="O11" s="414">
        <f>SUMIF(HORÁRIO!$A$5:$A$13,FADEL!$A11,HORÁRIO!$O$5:$O$13)</f>
        <v>0</v>
      </c>
      <c r="P11" s="415" t="str">
        <f>IFERROR(VLOOKUP(A11,HORÁRIO!A:AE,15,0),"")</f>
        <v/>
      </c>
    </row>
    <row r="12" spans="1:23" s="306" customFormat="1" ht="16.5" hidden="1" customHeight="1" x14ac:dyDescent="0.25">
      <c r="A12" s="401" t="str">
        <f t="shared" si="0"/>
        <v>C47075046078</v>
      </c>
      <c r="B12" s="306" t="s">
        <v>398</v>
      </c>
      <c r="C12" s="402" t="e">
        <f>VLOOKUP(B12,'BR''S'!B:G,6,0)</f>
        <v>#N/A</v>
      </c>
      <c r="D12" s="410" t="e">
        <f>VLOOKUP(B12,'BR''S'!B:D,3,0)</f>
        <v>#N/A</v>
      </c>
      <c r="E12" s="404">
        <f>SUMIF(HORÁRIO!$A$5:$A$13,FADEL!$A12,HORÁRIO!$L$5:$L$13)</f>
        <v>0</v>
      </c>
      <c r="F12" s="404"/>
      <c r="G12" s="411">
        <f t="shared" si="1"/>
        <v>46078</v>
      </c>
      <c r="H12" s="412">
        <f ca="1">SUMIF(PUXADA!A:P,FADEL!A12,PUXADA!P:P)</f>
        <v>0</v>
      </c>
      <c r="I12" s="413">
        <f ca="1">SUMIF(PUXADA!A:P,FADEL!A12,PUXADA!G:G)</f>
        <v>0</v>
      </c>
      <c r="J12" s="414">
        <f>SUMIF(HORÁRIO!$A:$A,FADEL!$A12,HORÁRIO!Q:Q)</f>
        <v>0</v>
      </c>
      <c r="K12" s="414">
        <f>SUMIF(HORÁRIO!$A:$A,FADEL!$A12,HORÁRIO!R:R)</f>
        <v>0</v>
      </c>
      <c r="L12" s="414">
        <f>SUMIF(HORÁRIO!$A:$A,FADEL!$A12,HORÁRIO!S:S)+SUMIF(HORÁRIO!$A:$A,FADEL!$A12,HORÁRIO!T:T)</f>
        <v>0</v>
      </c>
      <c r="M12" s="414">
        <f>SUMIF(HORÁRIO!$A:$A,FADEL!$A12,HORÁRIO!AD:AD)</f>
        <v>0</v>
      </c>
      <c r="N12" s="414">
        <f>SUMIF(HORÁRIO!$A:$A,FADEL!$A12,HORÁRIO!AE:AE)</f>
        <v>0</v>
      </c>
      <c r="O12" s="414">
        <f>SUMIF(HORÁRIO!$A$5:$A$13,FADEL!$A12,HORÁRIO!$O$5:$O$13)</f>
        <v>0</v>
      </c>
      <c r="P12" s="415" t="str">
        <f>IFERROR(VLOOKUP(A12,HORÁRIO!A:AE,15,0),"")</f>
        <v/>
      </c>
    </row>
    <row r="13" spans="1:23" s="306" customFormat="1" ht="15.75" customHeight="1" x14ac:dyDescent="0.25">
      <c r="A13" s="401" t="str">
        <f t="shared" si="0"/>
        <v>C47083146078</v>
      </c>
      <c r="B13" s="306" t="s">
        <v>399</v>
      </c>
      <c r="C13" s="402" t="e">
        <f>VLOOKUP(B13,'BR''S'!B:G,6,0)</f>
        <v>#N/A</v>
      </c>
      <c r="D13" s="410" t="e">
        <f>VLOOKUP(B13,'BR''S'!B:D,3,0)</f>
        <v>#N/A</v>
      </c>
      <c r="E13" s="404">
        <f>SUMIF(HORÁRIO!$A$5:$A$13,FADEL!$A13,HORÁRIO!$L$5:$L$13)</f>
        <v>0</v>
      </c>
      <c r="F13" s="404"/>
      <c r="G13" s="411">
        <f t="shared" si="1"/>
        <v>46078</v>
      </c>
      <c r="H13" s="412">
        <f ca="1">SUMIF(PUXADA!A:P,FADEL!A13,PUXADA!P:P)</f>
        <v>0</v>
      </c>
      <c r="I13" s="413">
        <f ca="1">SUMIF(PUXADA!A:P,FADEL!A13,PUXADA!G:G)</f>
        <v>0</v>
      </c>
      <c r="J13" s="414">
        <f>SUMIF(HORÁRIO!$A:$A,FADEL!$A13,HORÁRIO!Q:Q)</f>
        <v>0</v>
      </c>
      <c r="K13" s="414">
        <f>SUMIF(HORÁRIO!$A:$A,FADEL!$A13,HORÁRIO!R:R)</f>
        <v>0</v>
      </c>
      <c r="L13" s="414">
        <f>SUMIF(HORÁRIO!$A:$A,FADEL!$A13,HORÁRIO!S:S)+SUMIF(HORÁRIO!$A:$A,FADEL!$A13,HORÁRIO!T:T)</f>
        <v>0</v>
      </c>
      <c r="M13" s="414">
        <f>SUMIF(HORÁRIO!$A:$A,FADEL!$A13,HORÁRIO!AD:AD)</f>
        <v>0</v>
      </c>
      <c r="N13" s="414">
        <f>SUMIF(HORÁRIO!$A:$A,FADEL!$A13,HORÁRIO!AE:AE)</f>
        <v>0</v>
      </c>
      <c r="O13" s="414">
        <f>SUMIF(HORÁRIO!$A$5:$A$13,FADEL!$A13,HORÁRIO!$O$5:$O$13)</f>
        <v>0</v>
      </c>
      <c r="P13" s="415" t="str">
        <f>IFERROR(VLOOKUP(A13,HORÁRIO!A:AE,15,0),"")</f>
        <v/>
      </c>
    </row>
    <row r="14" spans="1:23" s="306" customFormat="1" ht="15.75" hidden="1" customHeight="1" x14ac:dyDescent="0.25">
      <c r="A14" s="401" t="str">
        <f t="shared" si="0"/>
        <v>C47086646078</v>
      </c>
      <c r="B14" s="306" t="s">
        <v>400</v>
      </c>
      <c r="C14" s="402" t="e">
        <f>VLOOKUP(B14,'BR''S'!B:G,6,0)</f>
        <v>#N/A</v>
      </c>
      <c r="D14" s="410" t="e">
        <f>VLOOKUP(B14,'BR''S'!B:D,3,0)</f>
        <v>#N/A</v>
      </c>
      <c r="E14" s="404">
        <f>SUMIF(HORÁRIO!$A$5:$A$13,FADEL!$A14,HORÁRIO!$L$5:$L$13)</f>
        <v>0</v>
      </c>
      <c r="F14" s="404"/>
      <c r="G14" s="411">
        <f t="shared" si="1"/>
        <v>46078</v>
      </c>
      <c r="H14" s="412">
        <f ca="1">SUMIF(PUXADA!A:P,FADEL!A14,PUXADA!P:P)</f>
        <v>0</v>
      </c>
      <c r="I14" s="413">
        <f ca="1">SUMIF(PUXADA!A:P,FADEL!A14,PUXADA!G:G)</f>
        <v>0</v>
      </c>
      <c r="J14" s="414">
        <f>SUMIF(HORÁRIO!$A:$A,FADEL!$A14,HORÁRIO!Q:Q)</f>
        <v>0</v>
      </c>
      <c r="K14" s="414">
        <f>SUMIF(HORÁRIO!$A:$A,FADEL!$A14,HORÁRIO!R:R)</f>
        <v>0</v>
      </c>
      <c r="L14" s="414">
        <f>SUMIF(HORÁRIO!$A:$A,FADEL!$A14,HORÁRIO!S:S)+SUMIF(HORÁRIO!$A:$A,FADEL!$A14,HORÁRIO!T:T)</f>
        <v>0</v>
      </c>
      <c r="M14" s="414">
        <f>SUMIF(HORÁRIO!$A:$A,FADEL!$A14,HORÁRIO!AD:AD)</f>
        <v>0</v>
      </c>
      <c r="N14" s="414">
        <f>SUMIF(HORÁRIO!$A:$A,FADEL!$A14,HORÁRIO!AE:AE)</f>
        <v>0</v>
      </c>
      <c r="O14" s="414">
        <f>SUMIF(HORÁRIO!$A$5:$A$13,FADEL!$A14,HORÁRIO!$O$5:$O$13)</f>
        <v>0</v>
      </c>
      <c r="P14" s="415" t="str">
        <f>IFERROR(VLOOKUP(A14,HORÁRIO!A:AE,15,0),"")</f>
        <v/>
      </c>
    </row>
    <row r="15" spans="1:23" s="306" customFormat="1" ht="15.75" customHeight="1" x14ac:dyDescent="0.25">
      <c r="A15" s="401" t="str">
        <f t="shared" si="0"/>
        <v>C47090146078</v>
      </c>
      <c r="B15" s="306" t="s">
        <v>401</v>
      </c>
      <c r="C15" s="402" t="e">
        <f>VLOOKUP(B15,'BR''S'!B:G,6,0)</f>
        <v>#N/A</v>
      </c>
      <c r="D15" s="410" t="e">
        <f>VLOOKUP(B15,'BR''S'!B:D,3,0)</f>
        <v>#N/A</v>
      </c>
      <c r="E15" s="404">
        <f>SUMIF(HORÁRIO!$A$5:$A$13,FADEL!$A15,HORÁRIO!$L$5:$L$13)</f>
        <v>0</v>
      </c>
      <c r="F15" s="404"/>
      <c r="G15" s="411">
        <f t="shared" si="1"/>
        <v>46078</v>
      </c>
      <c r="H15" s="412">
        <f ca="1">SUMIF(PUXADA!A:P,FADEL!A15,PUXADA!P:P)</f>
        <v>0</v>
      </c>
      <c r="I15" s="413">
        <f ca="1">SUMIF(PUXADA!A:P,FADEL!A15,PUXADA!G:G)</f>
        <v>0</v>
      </c>
      <c r="J15" s="414">
        <f>SUMIF(HORÁRIO!$A:$A,FADEL!$A15,HORÁRIO!Q:Q)</f>
        <v>0</v>
      </c>
      <c r="K15" s="414">
        <f>SUMIF(HORÁRIO!$A:$A,FADEL!$A15,HORÁRIO!R:R)</f>
        <v>0</v>
      </c>
      <c r="L15" s="414">
        <f>SUMIF(HORÁRIO!$A:$A,FADEL!$A15,HORÁRIO!S:S)+SUMIF(HORÁRIO!$A:$A,FADEL!$A15,HORÁRIO!T:T)</f>
        <v>0</v>
      </c>
      <c r="M15" s="414">
        <f>SUMIF(HORÁRIO!$A:$A,FADEL!$A15,HORÁRIO!AD:AD)</f>
        <v>0</v>
      </c>
      <c r="N15" s="414">
        <f>SUMIF(HORÁRIO!$A:$A,FADEL!$A15,HORÁRIO!AE:AE)</f>
        <v>0</v>
      </c>
      <c r="O15" s="414">
        <f>SUMIF(HORÁRIO!$A$5:$A$13,FADEL!$A15,HORÁRIO!$O$5:$O$13)</f>
        <v>0</v>
      </c>
      <c r="P15" s="415" t="str">
        <f>IFERROR(VLOOKUP(A15,HORÁRIO!A:AE,15,0),"")</f>
        <v/>
      </c>
    </row>
    <row r="16" spans="1:23" s="306" customFormat="1" ht="15.75" customHeight="1" x14ac:dyDescent="0.25">
      <c r="A16" s="401" t="str">
        <f t="shared" si="0"/>
        <v>C47090346078</v>
      </c>
      <c r="B16" s="306" t="s">
        <v>402</v>
      </c>
      <c r="C16" s="402" t="e">
        <f>VLOOKUP(B16,'BR''S'!B:G,6,0)</f>
        <v>#N/A</v>
      </c>
      <c r="D16" s="410" t="e">
        <f>VLOOKUP(B16,'BR''S'!B:D,3,0)</f>
        <v>#N/A</v>
      </c>
      <c r="E16" s="404">
        <f>SUMIF(HORÁRIO!$A$5:$A$13,FADEL!$A16,HORÁRIO!$L$5:$L$13)</f>
        <v>0</v>
      </c>
      <c r="F16" s="404"/>
      <c r="G16" s="411">
        <f t="shared" si="1"/>
        <v>46078</v>
      </c>
      <c r="H16" s="412">
        <f ca="1">SUMIF(PUXADA!A:P,FADEL!A16,PUXADA!P:P)</f>
        <v>0</v>
      </c>
      <c r="I16" s="413">
        <f ca="1">SUMIF(PUXADA!A:P,FADEL!A16,PUXADA!G:G)</f>
        <v>0</v>
      </c>
      <c r="J16" s="414">
        <f>SUMIF(HORÁRIO!$A:$A,FADEL!$A16,HORÁRIO!Q:Q)</f>
        <v>0</v>
      </c>
      <c r="K16" s="414">
        <f>SUMIF(HORÁRIO!$A:$A,FADEL!$A16,HORÁRIO!R:R)</f>
        <v>0</v>
      </c>
      <c r="L16" s="414">
        <f>SUMIF(HORÁRIO!$A:$A,FADEL!$A16,HORÁRIO!S:S)+SUMIF(HORÁRIO!$A:$A,FADEL!$A16,HORÁRIO!T:T)</f>
        <v>0</v>
      </c>
      <c r="M16" s="414">
        <f>SUMIF(HORÁRIO!$A:$A,FADEL!$A16,HORÁRIO!AD:AD)</f>
        <v>0</v>
      </c>
      <c r="N16" s="414">
        <f>SUMIF(HORÁRIO!$A:$A,FADEL!$A16,HORÁRIO!AE:AE)</f>
        <v>0</v>
      </c>
      <c r="O16" s="414">
        <f>SUMIF(HORÁRIO!$A$5:$A$13,FADEL!$A16,HORÁRIO!$O$5:$O$13)</f>
        <v>0</v>
      </c>
      <c r="P16" s="415" t="str">
        <f>IFERROR(VLOOKUP(A16,HORÁRIO!A:AE,15,0),"")</f>
        <v/>
      </c>
    </row>
    <row r="17" spans="1:16" s="306" customFormat="1" ht="15.75" customHeight="1" x14ac:dyDescent="0.25">
      <c r="A17" s="401" t="str">
        <f t="shared" si="0"/>
        <v>C47090546078</v>
      </c>
      <c r="B17" s="306" t="s">
        <v>403</v>
      </c>
      <c r="C17" s="402" t="e">
        <f>VLOOKUP(B17,'BR''S'!B:G,6,0)</f>
        <v>#N/A</v>
      </c>
      <c r="D17" s="410" t="e">
        <f>VLOOKUP(B17,'BR''S'!B:D,3,0)</f>
        <v>#N/A</v>
      </c>
      <c r="E17" s="404">
        <f>SUMIF(HORÁRIO!$A$5:$A$13,FADEL!$A17,HORÁRIO!$L$5:$L$13)</f>
        <v>0</v>
      </c>
      <c r="F17" s="404"/>
      <c r="G17" s="411">
        <f t="shared" si="1"/>
        <v>46078</v>
      </c>
      <c r="H17" s="412">
        <f ca="1">SUMIF(PUXADA!A:P,FADEL!A17,PUXADA!P:P)</f>
        <v>0</v>
      </c>
      <c r="I17" s="413">
        <f ca="1">SUMIF(PUXADA!A:P,FADEL!A17,PUXADA!G:G)</f>
        <v>0</v>
      </c>
      <c r="J17" s="414">
        <f>SUMIF(HORÁRIO!$A:$A,FADEL!$A17,HORÁRIO!Q:Q)</f>
        <v>0</v>
      </c>
      <c r="K17" s="414">
        <f>SUMIF(HORÁRIO!$A:$A,FADEL!$A17,HORÁRIO!R:R)</f>
        <v>0</v>
      </c>
      <c r="L17" s="414">
        <f>SUMIF(HORÁRIO!$A:$A,FADEL!$A17,HORÁRIO!S:S)+SUMIF(HORÁRIO!$A:$A,FADEL!$A17,HORÁRIO!T:T)</f>
        <v>0</v>
      </c>
      <c r="M17" s="414">
        <f>SUMIF(HORÁRIO!$A:$A,FADEL!$A17,HORÁRIO!AD:AD)</f>
        <v>0</v>
      </c>
      <c r="N17" s="414">
        <f>SUMIF(HORÁRIO!$A:$A,FADEL!$A17,HORÁRIO!AE:AE)</f>
        <v>0</v>
      </c>
      <c r="O17" s="414">
        <f>SUMIF(HORÁRIO!$A$5:$A$13,FADEL!$A17,HORÁRIO!$O$5:$O$13)</f>
        <v>0</v>
      </c>
      <c r="P17" s="415" t="str">
        <f>IFERROR(VLOOKUP(A17,HORÁRIO!A:AE,15,0),"")</f>
        <v/>
      </c>
    </row>
    <row r="18" spans="1:16" s="306" customFormat="1" ht="14.25" customHeight="1" x14ac:dyDescent="0.25">
      <c r="A18" s="401" t="str">
        <f t="shared" si="0"/>
        <v>C47090646078</v>
      </c>
      <c r="B18" s="306" t="s">
        <v>404</v>
      </c>
      <c r="C18" s="402" t="e">
        <f>VLOOKUP(B18,'BR''S'!B:G,6,0)</f>
        <v>#N/A</v>
      </c>
      <c r="D18" s="410" t="e">
        <f>VLOOKUP(B18,'BR''S'!B:D,3,0)</f>
        <v>#N/A</v>
      </c>
      <c r="E18" s="404">
        <f>SUMIF(HORÁRIO!$A$5:$A$13,FADEL!$A18,HORÁRIO!$L$5:$L$13)</f>
        <v>0</v>
      </c>
      <c r="F18" s="404"/>
      <c r="G18" s="411">
        <f t="shared" si="1"/>
        <v>46078</v>
      </c>
      <c r="H18" s="412">
        <f ca="1">SUMIF(PUXADA!A:P,FADEL!A18,PUXADA!P:P)</f>
        <v>0</v>
      </c>
      <c r="I18" s="413">
        <f ca="1">SUMIF(PUXADA!A:P,FADEL!A18,PUXADA!G:G)</f>
        <v>0</v>
      </c>
      <c r="J18" s="414">
        <f>SUMIF(HORÁRIO!$A:$A,FADEL!$A18,HORÁRIO!Q:Q)</f>
        <v>0</v>
      </c>
      <c r="K18" s="414">
        <f>SUMIF(HORÁRIO!$A:$A,FADEL!$A18,HORÁRIO!R:R)</f>
        <v>0</v>
      </c>
      <c r="L18" s="414">
        <f>SUMIF(HORÁRIO!$A:$A,FADEL!$A18,HORÁRIO!S:S)+SUMIF(HORÁRIO!$A:$A,FADEL!$A18,HORÁRIO!T:T)</f>
        <v>0</v>
      </c>
      <c r="M18" s="414">
        <f>SUMIF(HORÁRIO!$A:$A,FADEL!$A18,HORÁRIO!AD:AD)</f>
        <v>0</v>
      </c>
      <c r="N18" s="414">
        <f>SUMIF(HORÁRIO!$A:$A,FADEL!$A18,HORÁRIO!AE:AE)</f>
        <v>0</v>
      </c>
      <c r="O18" s="414">
        <f>SUMIF(HORÁRIO!$A$5:$A$13,FADEL!$A18,HORÁRIO!$O$5:$O$13)</f>
        <v>0</v>
      </c>
      <c r="P18" s="415" t="str">
        <f>IFERROR(VLOOKUP(A18,HORÁRIO!A:AE,15,0),"")</f>
        <v/>
      </c>
    </row>
    <row r="19" spans="1:16" s="306" customFormat="1" ht="15.75" customHeight="1" x14ac:dyDescent="0.25">
      <c r="A19" s="401" t="str">
        <f t="shared" si="0"/>
        <v>C47091146078</v>
      </c>
      <c r="B19" s="306" t="s">
        <v>405</v>
      </c>
      <c r="C19" s="402" t="e">
        <f>VLOOKUP(B19,'BR''S'!B:G,6,0)</f>
        <v>#N/A</v>
      </c>
      <c r="D19" s="410" t="e">
        <f>VLOOKUP(B19,'BR''S'!B:D,3,0)</f>
        <v>#N/A</v>
      </c>
      <c r="E19" s="404">
        <f>SUMIF(HORÁRIO!$A$5:$A$13,FADEL!$A19,HORÁRIO!$L$5:$L$13)</f>
        <v>0</v>
      </c>
      <c r="F19" s="404"/>
      <c r="G19" s="411">
        <f t="shared" si="1"/>
        <v>46078</v>
      </c>
      <c r="H19" s="412">
        <f ca="1">SUMIF(PUXADA!A:P,FADEL!A19,PUXADA!P:P)</f>
        <v>0</v>
      </c>
      <c r="I19" s="413">
        <f ca="1">SUMIF(PUXADA!A:P,FADEL!A19,PUXADA!G:G)</f>
        <v>0</v>
      </c>
      <c r="J19" s="414">
        <f>SUMIF(HORÁRIO!$A:$A,FADEL!$A19,HORÁRIO!Q:Q)</f>
        <v>0</v>
      </c>
      <c r="K19" s="414">
        <f>SUMIF(HORÁRIO!$A:$A,FADEL!$A19,HORÁRIO!R:R)</f>
        <v>0</v>
      </c>
      <c r="L19" s="414">
        <f>SUMIF(HORÁRIO!$A:$A,FADEL!$A19,HORÁRIO!S:S)+SUMIF(HORÁRIO!$A:$A,FADEL!$A19,HORÁRIO!T:T)</f>
        <v>0</v>
      </c>
      <c r="M19" s="414">
        <f>SUMIF(HORÁRIO!$A:$A,FADEL!$A19,HORÁRIO!AD:AD)</f>
        <v>0</v>
      </c>
      <c r="N19" s="414">
        <f>SUMIF(HORÁRIO!$A:$A,FADEL!$A19,HORÁRIO!AE:AE)</f>
        <v>0</v>
      </c>
      <c r="O19" s="414">
        <f>SUMIF(HORÁRIO!$A$5:$A$13,FADEL!$A19,HORÁRIO!$O$5:$O$13)</f>
        <v>0</v>
      </c>
      <c r="P19" s="415" t="str">
        <f>IFERROR(VLOOKUP(A19,HORÁRIO!A:AE,15,0),"")</f>
        <v/>
      </c>
    </row>
    <row r="20" spans="1:16" s="306" customFormat="1" ht="15.75" customHeight="1" x14ac:dyDescent="0.25">
      <c r="A20" s="401" t="str">
        <f t="shared" si="0"/>
        <v>C47000346078</v>
      </c>
      <c r="B20" s="306" t="s">
        <v>406</v>
      </c>
      <c r="C20" s="402" t="e">
        <f>VLOOKUP(B20,'BR''S'!B:G,6,0)</f>
        <v>#N/A</v>
      </c>
      <c r="D20" s="410" t="e">
        <f>VLOOKUP(B20,'BR''S'!B:D,3,0)</f>
        <v>#N/A</v>
      </c>
      <c r="E20" s="404">
        <f>SUMIF(HORÁRIO!$A$5:$A$13,FADEL!$A20,HORÁRIO!$L$5:$L$13)</f>
        <v>0</v>
      </c>
      <c r="F20" s="404"/>
      <c r="G20" s="411">
        <f t="shared" si="1"/>
        <v>46078</v>
      </c>
      <c r="H20" s="412">
        <f ca="1">SUMIF(PUXADA!A:P,FADEL!A20,PUXADA!P:P)</f>
        <v>0</v>
      </c>
      <c r="I20" s="413">
        <f ca="1">SUMIF(PUXADA!A:P,FADEL!A20,PUXADA!G:G)</f>
        <v>0</v>
      </c>
      <c r="J20" s="414">
        <f>SUMIF(HORÁRIO!$A:$A,FADEL!$A20,HORÁRIO!Q:Q)</f>
        <v>0</v>
      </c>
      <c r="K20" s="414">
        <f>SUMIF(HORÁRIO!$A:$A,FADEL!$A20,HORÁRIO!R:R)</f>
        <v>0</v>
      </c>
      <c r="L20" s="414">
        <f>SUMIF(HORÁRIO!$A:$A,FADEL!$A20,HORÁRIO!S:S)+SUMIF(HORÁRIO!$A:$A,FADEL!$A20,HORÁRIO!T:T)</f>
        <v>0</v>
      </c>
      <c r="M20" s="414">
        <f>SUMIF(HORÁRIO!$A:$A,FADEL!$A20,HORÁRIO!AD:AD)</f>
        <v>0</v>
      </c>
      <c r="N20" s="414">
        <f>SUMIF(HORÁRIO!$A:$A,FADEL!$A20,HORÁRIO!AE:AE)</f>
        <v>0</v>
      </c>
      <c r="O20" s="414">
        <f>SUMIF(HORÁRIO!$A$5:$A$13,FADEL!$A20,HORÁRIO!$O$5:$O$13)</f>
        <v>0</v>
      </c>
      <c r="P20" s="415" t="str">
        <f>IFERROR(VLOOKUP(A20,HORÁRIO!A:AE,15,0),"")</f>
        <v/>
      </c>
    </row>
    <row r="21" spans="1:16" s="306" customFormat="1" ht="15.75" customHeight="1" x14ac:dyDescent="0.25">
      <c r="A21" s="401" t="str">
        <f t="shared" si="0"/>
        <v>C47001046078</v>
      </c>
      <c r="B21" s="306" t="s">
        <v>407</v>
      </c>
      <c r="C21" s="402" t="e">
        <f>VLOOKUP(B21,'BR''S'!B:G,6,0)</f>
        <v>#N/A</v>
      </c>
      <c r="D21" s="410" t="e">
        <f>VLOOKUP(B21,'BR''S'!B:D,3,0)</f>
        <v>#N/A</v>
      </c>
      <c r="E21" s="404">
        <f>SUMIF(HORÁRIO!$A$5:$A$13,FADEL!$A21,HORÁRIO!$L$5:$L$13)</f>
        <v>0</v>
      </c>
      <c r="F21" s="404"/>
      <c r="G21" s="411">
        <f t="shared" si="1"/>
        <v>46078</v>
      </c>
      <c r="H21" s="412">
        <f ca="1">SUMIF(PUXADA!A:P,FADEL!A21,PUXADA!P:P)</f>
        <v>0</v>
      </c>
      <c r="I21" s="413">
        <f ca="1">SUMIF(PUXADA!A:P,FADEL!A21,PUXADA!G:G)</f>
        <v>0</v>
      </c>
      <c r="J21" s="414">
        <f>SUMIF(HORÁRIO!$A:$A,FADEL!$A21,HORÁRIO!Q:Q)</f>
        <v>0</v>
      </c>
      <c r="K21" s="414">
        <f>SUMIF(HORÁRIO!$A:$A,FADEL!$A21,HORÁRIO!R:R)</f>
        <v>0</v>
      </c>
      <c r="L21" s="414">
        <f>SUMIF(HORÁRIO!$A:$A,FADEL!$A21,HORÁRIO!S:S)+SUMIF(HORÁRIO!$A:$A,FADEL!$A21,HORÁRIO!T:T)</f>
        <v>0</v>
      </c>
      <c r="M21" s="414">
        <f>SUMIF(HORÁRIO!$A:$A,FADEL!$A21,HORÁRIO!AD:AD)</f>
        <v>0</v>
      </c>
      <c r="N21" s="414">
        <f>SUMIF(HORÁRIO!$A:$A,FADEL!$A21,HORÁRIO!AE:AE)</f>
        <v>0</v>
      </c>
      <c r="O21" s="414">
        <f>SUMIF(HORÁRIO!$A$5:$A$13,FADEL!$A21,HORÁRIO!$O$5:$O$13)</f>
        <v>0</v>
      </c>
      <c r="P21" s="415" t="str">
        <f>IFERROR(VLOOKUP(A21,HORÁRIO!A:AE,15,0),"")</f>
        <v/>
      </c>
    </row>
    <row r="22" spans="1:16" s="306" customFormat="1" ht="15.75" customHeight="1" x14ac:dyDescent="0.25">
      <c r="A22" s="401" t="str">
        <f t="shared" si="0"/>
        <v>C47001446078</v>
      </c>
      <c r="B22" s="306" t="s">
        <v>408</v>
      </c>
      <c r="C22" s="402" t="e">
        <f>VLOOKUP(B22,'BR''S'!B:G,6,0)</f>
        <v>#N/A</v>
      </c>
      <c r="D22" s="410" t="e">
        <f>VLOOKUP(B22,'BR''S'!B:D,3,0)</f>
        <v>#N/A</v>
      </c>
      <c r="E22" s="404">
        <f>SUMIF(HORÁRIO!$A$5:$A$13,FADEL!$A22,HORÁRIO!$L$5:$L$13)</f>
        <v>0</v>
      </c>
      <c r="F22" s="404"/>
      <c r="G22" s="411">
        <f t="shared" si="1"/>
        <v>46078</v>
      </c>
      <c r="H22" s="412">
        <f ca="1">SUMIF(PUXADA!A:P,FADEL!A22,PUXADA!P:P)</f>
        <v>0</v>
      </c>
      <c r="I22" s="413">
        <f ca="1">SUMIF(PUXADA!A:P,FADEL!A22,PUXADA!G:G)</f>
        <v>0</v>
      </c>
      <c r="J22" s="414">
        <f>SUMIF(HORÁRIO!$A:$A,FADEL!$A22,HORÁRIO!Q:Q)</f>
        <v>0</v>
      </c>
      <c r="K22" s="414">
        <f>SUMIF(HORÁRIO!$A:$A,FADEL!$A22,HORÁRIO!R:R)</f>
        <v>0</v>
      </c>
      <c r="L22" s="414">
        <f>SUMIF(HORÁRIO!$A:$A,FADEL!$A22,HORÁRIO!S:S)+SUMIF(HORÁRIO!$A:$A,FADEL!$A22,HORÁRIO!T:T)</f>
        <v>0</v>
      </c>
      <c r="M22" s="414">
        <f>SUMIF(HORÁRIO!$A:$A,FADEL!$A22,HORÁRIO!AD:AD)</f>
        <v>0</v>
      </c>
      <c r="N22" s="414">
        <f>SUMIF(HORÁRIO!$A:$A,FADEL!$A22,HORÁRIO!AE:AE)</f>
        <v>0</v>
      </c>
      <c r="O22" s="414">
        <f>SUMIF(HORÁRIO!$A$5:$A$13,FADEL!$A22,HORÁRIO!$O$5:$O$13)</f>
        <v>0</v>
      </c>
      <c r="P22" s="415" t="str">
        <f>IFERROR(VLOOKUP(A22,HORÁRIO!A:AE,15,0),"")</f>
        <v/>
      </c>
    </row>
    <row r="23" spans="1:16" s="306" customFormat="1" ht="15.75" customHeight="1" x14ac:dyDescent="0.25">
      <c r="A23" s="401" t="str">
        <f t="shared" si="0"/>
        <v>C47002146078</v>
      </c>
      <c r="B23" s="306" t="s">
        <v>409</v>
      </c>
      <c r="C23" s="402" t="e">
        <f>VLOOKUP(B23,'BR''S'!B:G,6,0)</f>
        <v>#N/A</v>
      </c>
      <c r="D23" s="410" t="e">
        <f>VLOOKUP(B23,'BR''S'!B:D,3,0)</f>
        <v>#N/A</v>
      </c>
      <c r="E23" s="404">
        <f>SUMIF(HORÁRIO!$A$5:$A$13,FADEL!$A23,HORÁRIO!$L$5:$L$13)</f>
        <v>0</v>
      </c>
      <c r="F23" s="404"/>
      <c r="G23" s="411">
        <f t="shared" si="1"/>
        <v>46078</v>
      </c>
      <c r="H23" s="412">
        <f ca="1">SUMIF(PUXADA!A:P,FADEL!A23,PUXADA!P:P)</f>
        <v>0</v>
      </c>
      <c r="I23" s="413">
        <f ca="1">SUMIF(PUXADA!A:P,FADEL!A23,PUXADA!G:G)</f>
        <v>0</v>
      </c>
      <c r="J23" s="414">
        <f>SUMIF(HORÁRIO!$A:$A,FADEL!$A23,HORÁRIO!Q:Q)</f>
        <v>0</v>
      </c>
      <c r="K23" s="414">
        <f>SUMIF(HORÁRIO!$A:$A,FADEL!$A23,HORÁRIO!R:R)</f>
        <v>0</v>
      </c>
      <c r="L23" s="414">
        <f>SUMIF(HORÁRIO!$A:$A,FADEL!$A23,HORÁRIO!S:S)+SUMIF(HORÁRIO!$A:$A,FADEL!$A23,HORÁRIO!T:T)</f>
        <v>0</v>
      </c>
      <c r="M23" s="414">
        <f>SUMIF(HORÁRIO!$A:$A,FADEL!$A23,HORÁRIO!AD:AD)</f>
        <v>0</v>
      </c>
      <c r="N23" s="414">
        <f>SUMIF(HORÁRIO!$A:$A,FADEL!$A23,HORÁRIO!AE:AE)</f>
        <v>0</v>
      </c>
      <c r="O23" s="414">
        <f>SUMIF(HORÁRIO!$A$5:$A$13,FADEL!$A23,HORÁRIO!$O$5:$O$13)</f>
        <v>0</v>
      </c>
      <c r="P23" s="415" t="str">
        <f>IFERROR(VLOOKUP(A23,HORÁRIO!A:AE,15,0),"")</f>
        <v/>
      </c>
    </row>
    <row r="24" spans="1:16" s="306" customFormat="1" ht="15" hidden="1" x14ac:dyDescent="0.25">
      <c r="A24" s="401" t="str">
        <f t="shared" si="0"/>
        <v>C47002346078</v>
      </c>
      <c r="B24" s="306" t="s">
        <v>410</v>
      </c>
      <c r="C24" s="402" t="e">
        <f>VLOOKUP(B24,'BR''S'!B:G,6,0)</f>
        <v>#N/A</v>
      </c>
      <c r="D24" s="410" t="e">
        <f>VLOOKUP(B24,'BR''S'!B:D,3,0)</f>
        <v>#N/A</v>
      </c>
      <c r="E24" s="404">
        <f>SUMIF(HORÁRIO!$A$5:$A$13,FADEL!$A24,HORÁRIO!$L$5:$L$13)</f>
        <v>0</v>
      </c>
      <c r="F24" s="404"/>
      <c r="G24" s="411">
        <f t="shared" si="1"/>
        <v>46078</v>
      </c>
      <c r="H24" s="412">
        <f ca="1">SUMIF(PUXADA!A:P,FADEL!A24,PUXADA!P:P)</f>
        <v>0</v>
      </c>
      <c r="I24" s="413">
        <f ca="1">SUMIF(PUXADA!A:P,FADEL!A24,PUXADA!G:G)</f>
        <v>0</v>
      </c>
      <c r="J24" s="414">
        <f>SUMIF(HORÁRIO!$A:$A,FADEL!$A24,HORÁRIO!Q:Q)</f>
        <v>0</v>
      </c>
      <c r="K24" s="414">
        <f>SUMIF(HORÁRIO!$A:$A,FADEL!$A24,HORÁRIO!R:R)</f>
        <v>0</v>
      </c>
      <c r="L24" s="414">
        <f>SUMIF(HORÁRIO!$A:$A,FADEL!$A24,HORÁRIO!S:S)+SUMIF(HORÁRIO!$A:$A,FADEL!$A24,HORÁRIO!T:T)</f>
        <v>0</v>
      </c>
      <c r="M24" s="414">
        <f>SUMIF(HORÁRIO!$A:$A,FADEL!$A24,HORÁRIO!AD:AD)</f>
        <v>0</v>
      </c>
      <c r="N24" s="414">
        <f>SUMIF(HORÁRIO!$A:$A,FADEL!$A24,HORÁRIO!AE:AE)</f>
        <v>0</v>
      </c>
      <c r="O24" s="414">
        <f>SUMIF(HORÁRIO!$A$5:$A$13,FADEL!$A24,HORÁRIO!$O$5:$O$13)</f>
        <v>0</v>
      </c>
      <c r="P24" s="415" t="str">
        <f>IFERROR(VLOOKUP(A24,HORÁRIO!A:AE,15,0),"")</f>
        <v/>
      </c>
    </row>
    <row r="25" spans="1:16" s="306" customFormat="1" ht="15.75" hidden="1" customHeight="1" x14ac:dyDescent="0.25">
      <c r="A25" s="401" t="str">
        <f t="shared" si="0"/>
        <v>C47002546078</v>
      </c>
      <c r="B25" s="306" t="s">
        <v>411</v>
      </c>
      <c r="C25" s="402" t="e">
        <f>VLOOKUP(B25,'BR''S'!B:G,6,0)</f>
        <v>#N/A</v>
      </c>
      <c r="D25" s="410" t="e">
        <f>VLOOKUP(B25,'BR''S'!B:D,3,0)</f>
        <v>#N/A</v>
      </c>
      <c r="E25" s="404">
        <f>SUMIF(HORÁRIO!$A$5:$A$13,FADEL!$A25,HORÁRIO!$L$5:$L$13)</f>
        <v>0</v>
      </c>
      <c r="F25" s="404"/>
      <c r="G25" s="411">
        <f t="shared" si="1"/>
        <v>46078</v>
      </c>
      <c r="H25" s="412">
        <f ca="1">SUMIF(PUXADA!A:P,FADEL!A25,PUXADA!P:P)</f>
        <v>0</v>
      </c>
      <c r="I25" s="413">
        <f ca="1">SUMIF(PUXADA!A:P,FADEL!A25,PUXADA!G:G)</f>
        <v>0</v>
      </c>
      <c r="J25" s="414">
        <f>SUMIF(HORÁRIO!$A:$A,FADEL!$A25,HORÁRIO!Q:Q)</f>
        <v>0</v>
      </c>
      <c r="K25" s="414">
        <f>SUMIF(HORÁRIO!$A:$A,FADEL!$A25,HORÁRIO!R:R)</f>
        <v>0</v>
      </c>
      <c r="L25" s="414">
        <f>SUMIF(HORÁRIO!$A:$A,FADEL!$A25,HORÁRIO!S:S)+SUMIF(HORÁRIO!$A:$A,FADEL!$A25,HORÁRIO!T:T)</f>
        <v>0</v>
      </c>
      <c r="M25" s="414">
        <f>SUMIF(HORÁRIO!$A:$A,FADEL!$A25,HORÁRIO!AD:AD)</f>
        <v>0</v>
      </c>
      <c r="N25" s="414">
        <f>SUMIF(HORÁRIO!$A:$A,FADEL!$A25,HORÁRIO!AE:AE)</f>
        <v>0</v>
      </c>
      <c r="O25" s="414">
        <f>SUMIF(HORÁRIO!$A$5:$A$13,FADEL!$A25,HORÁRIO!$O$5:$O$13)</f>
        <v>0</v>
      </c>
      <c r="P25" s="415" t="str">
        <f>IFERROR(VLOOKUP(A25,HORÁRIO!A:AE,15,0),"")</f>
        <v/>
      </c>
    </row>
    <row r="26" spans="1:16" s="306" customFormat="1" ht="15.75" customHeight="1" x14ac:dyDescent="0.25">
      <c r="A26" s="401" t="str">
        <f t="shared" si="0"/>
        <v>C47002646078</v>
      </c>
      <c r="B26" s="306" t="s">
        <v>412</v>
      </c>
      <c r="C26" s="402" t="e">
        <f>VLOOKUP(B26,'BR''S'!B:G,6,0)</f>
        <v>#N/A</v>
      </c>
      <c r="D26" s="410" t="e">
        <f>VLOOKUP(B26,'BR''S'!B:D,3,0)</f>
        <v>#N/A</v>
      </c>
      <c r="E26" s="404">
        <f>SUMIF(HORÁRIO!$A$5:$A$13,FADEL!$A26,HORÁRIO!$L$5:$L$13)</f>
        <v>0</v>
      </c>
      <c r="F26" s="404"/>
      <c r="G26" s="411">
        <f t="shared" si="1"/>
        <v>46078</v>
      </c>
      <c r="H26" s="412">
        <f ca="1">SUMIF(PUXADA!A:P,FADEL!A26,PUXADA!P:P)</f>
        <v>0</v>
      </c>
      <c r="I26" s="413">
        <f ca="1">SUMIF(PUXADA!A:P,FADEL!A26,PUXADA!G:G)</f>
        <v>0</v>
      </c>
      <c r="J26" s="414">
        <f>SUMIF(HORÁRIO!$A:$A,FADEL!$A26,HORÁRIO!Q:Q)</f>
        <v>0</v>
      </c>
      <c r="K26" s="414">
        <f>SUMIF(HORÁRIO!$A:$A,FADEL!$A26,HORÁRIO!R:R)</f>
        <v>0</v>
      </c>
      <c r="L26" s="414">
        <f>SUMIF(HORÁRIO!$A:$A,FADEL!$A26,HORÁRIO!S:S)+SUMIF(HORÁRIO!$A:$A,FADEL!$A26,HORÁRIO!T:T)</f>
        <v>0</v>
      </c>
      <c r="M26" s="414">
        <f>SUMIF(HORÁRIO!$A:$A,FADEL!$A26,HORÁRIO!AD:AD)</f>
        <v>0</v>
      </c>
      <c r="N26" s="414">
        <f>SUMIF(HORÁRIO!$A:$A,FADEL!$A26,HORÁRIO!AE:AE)</f>
        <v>0</v>
      </c>
      <c r="O26" s="414">
        <f>SUMIF(HORÁRIO!$A$5:$A$13,FADEL!$A26,HORÁRIO!$O$5:$O$13)</f>
        <v>0</v>
      </c>
      <c r="P26" s="415" t="str">
        <f>IFERROR(VLOOKUP(A26,HORÁRIO!A:AE,15,0),"")</f>
        <v/>
      </c>
    </row>
    <row r="27" spans="1:16" s="306" customFormat="1" ht="15.75" hidden="1" customHeight="1" x14ac:dyDescent="0.25">
      <c r="A27" s="401" t="str">
        <f t="shared" si="0"/>
        <v>C47002746078</v>
      </c>
      <c r="B27" s="306" t="s">
        <v>413</v>
      </c>
      <c r="C27" s="402" t="e">
        <f>VLOOKUP(B27,'BR''S'!B:G,6,0)</f>
        <v>#N/A</v>
      </c>
      <c r="D27" s="410" t="e">
        <f>VLOOKUP(B27,'BR''S'!B:D,3,0)</f>
        <v>#N/A</v>
      </c>
      <c r="E27" s="404">
        <f>SUMIF(HORÁRIO!$A$5:$A$13,FADEL!$A27,HORÁRIO!$L$5:$L$13)</f>
        <v>0</v>
      </c>
      <c r="F27" s="404"/>
      <c r="G27" s="411">
        <f t="shared" si="1"/>
        <v>46078</v>
      </c>
      <c r="H27" s="412">
        <f ca="1">SUMIF(PUXADA!A:P,FADEL!A27,PUXADA!P:P)</f>
        <v>0</v>
      </c>
      <c r="I27" s="413">
        <f ca="1">SUMIF(PUXADA!A:P,FADEL!A27,PUXADA!G:G)</f>
        <v>0</v>
      </c>
      <c r="J27" s="414">
        <f>SUMIF(HORÁRIO!$A:$A,FADEL!$A27,HORÁRIO!Q:Q)</f>
        <v>0</v>
      </c>
      <c r="K27" s="414">
        <f>SUMIF(HORÁRIO!$A:$A,FADEL!$A27,HORÁRIO!R:R)</f>
        <v>0</v>
      </c>
      <c r="L27" s="414">
        <f>SUMIF(HORÁRIO!$A:$A,FADEL!$A27,HORÁRIO!S:S)+SUMIF(HORÁRIO!$A:$A,FADEL!$A27,HORÁRIO!T:T)</f>
        <v>0</v>
      </c>
      <c r="M27" s="414">
        <f>SUMIF(HORÁRIO!$A:$A,FADEL!$A27,HORÁRIO!AD:AD)</f>
        <v>0</v>
      </c>
      <c r="N27" s="414">
        <f>SUMIF(HORÁRIO!$A:$A,FADEL!$A27,HORÁRIO!AE:AE)</f>
        <v>0</v>
      </c>
      <c r="O27" s="414">
        <f>SUMIF(HORÁRIO!$A$5:$A$13,FADEL!$A27,HORÁRIO!$O$5:$O$13)</f>
        <v>0</v>
      </c>
      <c r="P27" s="415" t="str">
        <f>IFERROR(VLOOKUP(A27,HORÁRIO!A:AE,15,0),"")</f>
        <v/>
      </c>
    </row>
    <row r="28" spans="1:16" s="306" customFormat="1" ht="15.75" hidden="1" customHeight="1" x14ac:dyDescent="0.25">
      <c r="A28" s="401" t="str">
        <f t="shared" si="0"/>
        <v>C47002846078</v>
      </c>
      <c r="B28" s="306" t="s">
        <v>414</v>
      </c>
      <c r="C28" s="402" t="e">
        <f>VLOOKUP(B28,'BR''S'!B:G,6,0)</f>
        <v>#N/A</v>
      </c>
      <c r="D28" s="410" t="e">
        <f>VLOOKUP(B28,'BR''S'!B:D,3,0)</f>
        <v>#N/A</v>
      </c>
      <c r="E28" s="404">
        <f>SUMIF(HORÁRIO!$A$5:$A$13,FADEL!$A28,HORÁRIO!$L$5:$L$13)</f>
        <v>0</v>
      </c>
      <c r="F28" s="404"/>
      <c r="G28" s="411">
        <f t="shared" si="1"/>
        <v>46078</v>
      </c>
      <c r="H28" s="412">
        <f ca="1">SUMIF(PUXADA!A:P,FADEL!A28,PUXADA!P:P)</f>
        <v>0</v>
      </c>
      <c r="I28" s="413">
        <f ca="1">SUMIF(PUXADA!A:P,FADEL!A28,PUXADA!G:G)</f>
        <v>0</v>
      </c>
      <c r="J28" s="414">
        <f>SUMIF(HORÁRIO!$A:$A,FADEL!$A28,HORÁRIO!Q:Q)</f>
        <v>0</v>
      </c>
      <c r="K28" s="414">
        <f>SUMIF(HORÁRIO!$A:$A,FADEL!$A28,HORÁRIO!R:R)</f>
        <v>0</v>
      </c>
      <c r="L28" s="414">
        <f>SUMIF(HORÁRIO!$A:$A,FADEL!$A28,HORÁRIO!S:S)+SUMIF(HORÁRIO!$A:$A,FADEL!$A28,HORÁRIO!T:T)</f>
        <v>0</v>
      </c>
      <c r="M28" s="414">
        <f>SUMIF(HORÁRIO!$A:$A,FADEL!$A28,HORÁRIO!AD:AD)</f>
        <v>0</v>
      </c>
      <c r="N28" s="414">
        <f>SUMIF(HORÁRIO!$A:$A,FADEL!$A28,HORÁRIO!AE:AE)</f>
        <v>0</v>
      </c>
      <c r="O28" s="414">
        <f>SUMIF(HORÁRIO!$A$5:$A$13,FADEL!$A28,HORÁRIO!$O$5:$O$13)</f>
        <v>0</v>
      </c>
      <c r="P28" s="415" t="str">
        <f>IFERROR(VLOOKUP(A28,HORÁRIO!A:AE,15,0),"")</f>
        <v/>
      </c>
    </row>
    <row r="29" spans="1:16" s="306" customFormat="1" ht="15.75" hidden="1" customHeight="1" x14ac:dyDescent="0.25">
      <c r="A29" s="401" t="str">
        <f t="shared" si="0"/>
        <v>C47003346078</v>
      </c>
      <c r="B29" s="306" t="s">
        <v>415</v>
      </c>
      <c r="C29" s="402" t="e">
        <f>VLOOKUP(B29,'BR''S'!B:G,6,0)</f>
        <v>#N/A</v>
      </c>
      <c r="D29" s="410" t="e">
        <f>VLOOKUP(B29,'BR''S'!B:D,3,0)</f>
        <v>#N/A</v>
      </c>
      <c r="E29" s="404">
        <f>SUMIF(HORÁRIO!$A$5:$A$13,FADEL!$A29,HORÁRIO!$L$5:$L$13)</f>
        <v>0</v>
      </c>
      <c r="F29" s="404"/>
      <c r="G29" s="411">
        <f t="shared" si="1"/>
        <v>46078</v>
      </c>
      <c r="H29" s="412">
        <f ca="1">SUMIF(PUXADA!A:P,FADEL!A29,PUXADA!P:P)</f>
        <v>0</v>
      </c>
      <c r="I29" s="413">
        <f ca="1">SUMIF(PUXADA!A:P,FADEL!A29,PUXADA!G:G)</f>
        <v>0</v>
      </c>
      <c r="J29" s="414">
        <f>SUMIF(HORÁRIO!$A:$A,FADEL!$A29,HORÁRIO!Q:Q)</f>
        <v>0</v>
      </c>
      <c r="K29" s="414">
        <f>SUMIF(HORÁRIO!$A:$A,FADEL!$A29,HORÁRIO!R:R)</f>
        <v>0</v>
      </c>
      <c r="L29" s="414">
        <f>SUMIF(HORÁRIO!$A:$A,FADEL!$A29,HORÁRIO!S:S)+SUMIF(HORÁRIO!$A:$A,FADEL!$A29,HORÁRIO!T:T)</f>
        <v>0</v>
      </c>
      <c r="M29" s="414">
        <f>SUMIF(HORÁRIO!$A:$A,FADEL!$A29,HORÁRIO!AD:AD)</f>
        <v>0</v>
      </c>
      <c r="N29" s="414">
        <f>SUMIF(HORÁRIO!$A:$A,FADEL!$A29,HORÁRIO!AE:AE)</f>
        <v>0</v>
      </c>
      <c r="O29" s="414">
        <f>SUMIF(HORÁRIO!$A$5:$A$13,FADEL!$A29,HORÁRIO!$O$5:$O$13)</f>
        <v>0</v>
      </c>
      <c r="P29" s="415" t="str">
        <f>IFERROR(VLOOKUP(A29,HORÁRIO!A:AE,15,0),"")</f>
        <v/>
      </c>
    </row>
    <row r="30" spans="1:16" s="306" customFormat="1" ht="15.75" hidden="1" customHeight="1" x14ac:dyDescent="0.25">
      <c r="A30" s="401" t="str">
        <f t="shared" si="0"/>
        <v>C47010146078</v>
      </c>
      <c r="B30" s="306" t="s">
        <v>416</v>
      </c>
      <c r="C30" s="402" t="e">
        <f>VLOOKUP(B30,'BR''S'!B:G,6,0)</f>
        <v>#N/A</v>
      </c>
      <c r="D30" s="410" t="e">
        <f>VLOOKUP(B30,'BR''S'!B:D,3,0)</f>
        <v>#N/A</v>
      </c>
      <c r="E30" s="404">
        <f>SUMIF(HORÁRIO!$A$5:$A$13,FADEL!$A30,HORÁRIO!$L$5:$L$13)</f>
        <v>0</v>
      </c>
      <c r="F30" s="404"/>
      <c r="G30" s="411">
        <f t="shared" si="1"/>
        <v>46078</v>
      </c>
      <c r="H30" s="412">
        <f ca="1">SUMIF(PUXADA!A:P,FADEL!A30,PUXADA!P:P)</f>
        <v>0</v>
      </c>
      <c r="I30" s="413">
        <f ca="1">SUMIF(PUXADA!A:P,FADEL!A30,PUXADA!G:G)</f>
        <v>0</v>
      </c>
      <c r="J30" s="414">
        <f>SUMIF(HORÁRIO!$A:$A,FADEL!$A30,HORÁRIO!Q:Q)</f>
        <v>0</v>
      </c>
      <c r="K30" s="414">
        <f>SUMIF(HORÁRIO!$A:$A,FADEL!$A30,HORÁRIO!R:R)</f>
        <v>0</v>
      </c>
      <c r="L30" s="414">
        <f>SUMIF(HORÁRIO!$A:$A,FADEL!$A30,HORÁRIO!S:S)+SUMIF(HORÁRIO!$A:$A,FADEL!$A30,HORÁRIO!T:T)</f>
        <v>0</v>
      </c>
      <c r="M30" s="414">
        <f>SUMIF(HORÁRIO!$A:$A,FADEL!$A30,HORÁRIO!AD:AD)</f>
        <v>0</v>
      </c>
      <c r="N30" s="414">
        <f>SUMIF(HORÁRIO!$A:$A,FADEL!$A30,HORÁRIO!AE:AE)</f>
        <v>0</v>
      </c>
      <c r="O30" s="414">
        <f>SUMIF(HORÁRIO!$A$5:$A$13,FADEL!$A30,HORÁRIO!$O$5:$O$13)</f>
        <v>0</v>
      </c>
      <c r="P30" s="415" t="str">
        <f>IFERROR(VLOOKUP(A30,HORÁRIO!A:AE,15,0),"")</f>
        <v/>
      </c>
    </row>
    <row r="31" spans="1:16" s="306" customFormat="1" ht="15.75" hidden="1" customHeight="1" x14ac:dyDescent="0.25">
      <c r="A31" s="401" t="str">
        <f t="shared" si="0"/>
        <v>C47010246078</v>
      </c>
      <c r="B31" s="306" t="s">
        <v>417</v>
      </c>
      <c r="C31" s="402" t="e">
        <f>VLOOKUP(B31,'BR''S'!B:G,6,0)</f>
        <v>#N/A</v>
      </c>
      <c r="D31" s="410" t="e">
        <f>VLOOKUP(B31,'BR''S'!B:D,3,0)</f>
        <v>#N/A</v>
      </c>
      <c r="E31" s="404">
        <f>SUMIF(HORÁRIO!$A$5:$A$13,FADEL!$A31,HORÁRIO!$L$5:$L$13)</f>
        <v>0</v>
      </c>
      <c r="F31" s="404"/>
      <c r="G31" s="411">
        <f t="shared" si="1"/>
        <v>46078</v>
      </c>
      <c r="H31" s="412">
        <f ca="1">SUMIF(PUXADA!A:P,FADEL!A31,PUXADA!P:P)</f>
        <v>0</v>
      </c>
      <c r="I31" s="413">
        <f ca="1">SUMIF(PUXADA!A:P,FADEL!A31,PUXADA!G:G)</f>
        <v>0</v>
      </c>
      <c r="J31" s="414">
        <f>SUMIF(HORÁRIO!$A:$A,FADEL!$A31,HORÁRIO!Q:Q)</f>
        <v>0</v>
      </c>
      <c r="K31" s="414">
        <f>SUMIF(HORÁRIO!$A:$A,FADEL!$A31,HORÁRIO!R:R)</f>
        <v>0</v>
      </c>
      <c r="L31" s="414">
        <f>SUMIF(HORÁRIO!$A:$A,FADEL!$A31,HORÁRIO!S:S)+SUMIF(HORÁRIO!$A:$A,FADEL!$A31,HORÁRIO!T:T)</f>
        <v>0</v>
      </c>
      <c r="M31" s="414">
        <f>SUMIF(HORÁRIO!$A:$A,FADEL!$A31,HORÁRIO!AD:AD)</f>
        <v>0</v>
      </c>
      <c r="N31" s="414">
        <f>SUMIF(HORÁRIO!$A:$A,FADEL!$A31,HORÁRIO!AE:AE)</f>
        <v>0</v>
      </c>
      <c r="O31" s="414">
        <f>SUMIF(HORÁRIO!$A$5:$A$13,FADEL!$A31,HORÁRIO!$O$5:$O$13)</f>
        <v>0</v>
      </c>
      <c r="P31" s="415" t="str">
        <f>IFERROR(VLOOKUP(A31,HORÁRIO!A:AE,15,0),"")</f>
        <v/>
      </c>
    </row>
    <row r="32" spans="1:16" s="306" customFormat="1" ht="15.75" hidden="1" customHeight="1" x14ac:dyDescent="0.25">
      <c r="A32" s="401" t="str">
        <f t="shared" si="0"/>
        <v>C47073746078</v>
      </c>
      <c r="B32" s="306" t="s">
        <v>418</v>
      </c>
      <c r="C32" s="402" t="e">
        <f>VLOOKUP(B32,'BR''S'!B:G,6,0)</f>
        <v>#N/A</v>
      </c>
      <c r="D32" s="410" t="e">
        <f>VLOOKUP(B32,'BR''S'!B:D,3,0)</f>
        <v>#N/A</v>
      </c>
      <c r="E32" s="404">
        <f>SUMIF(HORÁRIO!$A$5:$A$13,FADEL!$A32,HORÁRIO!$L$5:$L$13)</f>
        <v>0</v>
      </c>
      <c r="F32" s="404"/>
      <c r="G32" s="411">
        <f t="shared" si="1"/>
        <v>46078</v>
      </c>
      <c r="H32" s="412">
        <f ca="1">SUMIF(PUXADA!A:P,FADEL!A32,PUXADA!P:P)</f>
        <v>0</v>
      </c>
      <c r="I32" s="413">
        <f ca="1">SUMIF(PUXADA!A:P,FADEL!A32,PUXADA!G:G)</f>
        <v>0</v>
      </c>
      <c r="J32" s="414">
        <f>SUMIF(HORÁRIO!$A:$A,FADEL!$A32,HORÁRIO!Q:Q)</f>
        <v>0</v>
      </c>
      <c r="K32" s="414">
        <f>SUMIF(HORÁRIO!$A:$A,FADEL!$A32,HORÁRIO!R:R)</f>
        <v>0</v>
      </c>
      <c r="L32" s="414">
        <f>SUMIF(HORÁRIO!$A:$A,FADEL!$A32,HORÁRIO!S:S)+SUMIF(HORÁRIO!$A:$A,FADEL!$A32,HORÁRIO!T:T)</f>
        <v>0</v>
      </c>
      <c r="M32" s="414">
        <f>SUMIF(HORÁRIO!$A:$A,FADEL!$A32,HORÁRIO!AD:AD)</f>
        <v>0</v>
      </c>
      <c r="N32" s="414">
        <f>SUMIF(HORÁRIO!$A:$A,FADEL!$A32,HORÁRIO!AE:AE)</f>
        <v>0</v>
      </c>
      <c r="O32" s="414">
        <f>SUMIF(HORÁRIO!$A$5:$A$13,FADEL!$A32,HORÁRIO!$O$5:$O$13)</f>
        <v>0</v>
      </c>
      <c r="P32" s="415" t="str">
        <f>IFERROR(VLOOKUP(A32,HORÁRIO!A:AE,15,0),"")</f>
        <v/>
      </c>
    </row>
    <row r="33" spans="1:16" s="306" customFormat="1" ht="15.75" hidden="1" customHeight="1" x14ac:dyDescent="0.25">
      <c r="A33" s="401" t="str">
        <f t="shared" si="0"/>
        <v>C47074246078</v>
      </c>
      <c r="B33" s="306" t="s">
        <v>419</v>
      </c>
      <c r="C33" s="402" t="e">
        <f>VLOOKUP(B33,'BR''S'!B:G,6,0)</f>
        <v>#N/A</v>
      </c>
      <c r="D33" s="410" t="e">
        <f>VLOOKUP(B33,'BR''S'!B:D,3,0)</f>
        <v>#N/A</v>
      </c>
      <c r="E33" s="404">
        <f>SUMIF(HORÁRIO!$A$5:$A$13,FADEL!$A33,HORÁRIO!$L$5:$L$13)</f>
        <v>0</v>
      </c>
      <c r="F33" s="404"/>
      <c r="G33" s="411">
        <f t="shared" si="1"/>
        <v>46078</v>
      </c>
      <c r="H33" s="412">
        <f ca="1">SUMIF(PUXADA!A:P,FADEL!A33,PUXADA!P:P)</f>
        <v>0</v>
      </c>
      <c r="I33" s="413">
        <f ca="1">SUMIF(PUXADA!A:P,FADEL!A33,PUXADA!G:G)</f>
        <v>0</v>
      </c>
      <c r="J33" s="414">
        <f>SUMIF(HORÁRIO!$A:$A,FADEL!$A33,HORÁRIO!Q:Q)</f>
        <v>0</v>
      </c>
      <c r="K33" s="414">
        <f>SUMIF(HORÁRIO!$A:$A,FADEL!$A33,HORÁRIO!R:R)</f>
        <v>0</v>
      </c>
      <c r="L33" s="414">
        <f>SUMIF(HORÁRIO!$A:$A,FADEL!$A33,HORÁRIO!S:S)+SUMIF(HORÁRIO!$A:$A,FADEL!$A33,HORÁRIO!T:T)</f>
        <v>0</v>
      </c>
      <c r="M33" s="414">
        <f>SUMIF(HORÁRIO!$A:$A,FADEL!$A33,HORÁRIO!AD:AD)</f>
        <v>0</v>
      </c>
      <c r="N33" s="414">
        <f>SUMIF(HORÁRIO!$A:$A,FADEL!$A33,HORÁRIO!AE:AE)</f>
        <v>0</v>
      </c>
      <c r="O33" s="414">
        <f>SUMIF(HORÁRIO!$A$5:$A$13,FADEL!$A33,HORÁRIO!$O$5:$O$13)</f>
        <v>0</v>
      </c>
      <c r="P33" s="415" t="str">
        <f>IFERROR(VLOOKUP(A33,HORÁRIO!A:AE,15,0),"")</f>
        <v/>
      </c>
    </row>
    <row r="34" spans="1:16" s="306" customFormat="1" ht="15.75" hidden="1" customHeight="1" x14ac:dyDescent="0.25">
      <c r="A34" s="401" t="str">
        <f t="shared" si="0"/>
        <v>C47074346078</v>
      </c>
      <c r="B34" s="306" t="s">
        <v>420</v>
      </c>
      <c r="C34" s="402" t="e">
        <f>VLOOKUP(B34,'BR''S'!B:G,6,0)</f>
        <v>#N/A</v>
      </c>
      <c r="D34" s="410" t="e">
        <f>VLOOKUP(B34,'BR''S'!B:D,3,0)</f>
        <v>#N/A</v>
      </c>
      <c r="E34" s="404">
        <f>SUMIF(HORÁRIO!$A$5:$A$13,FADEL!$A34,HORÁRIO!$L$5:$L$13)</f>
        <v>0</v>
      </c>
      <c r="F34" s="404"/>
      <c r="G34" s="411">
        <f t="shared" si="1"/>
        <v>46078</v>
      </c>
      <c r="H34" s="412">
        <f ca="1">SUMIF(PUXADA!A:P,FADEL!A34,PUXADA!P:P)</f>
        <v>0</v>
      </c>
      <c r="I34" s="413">
        <f ca="1">SUMIF(PUXADA!A:P,FADEL!A34,PUXADA!G:G)</f>
        <v>0</v>
      </c>
      <c r="J34" s="414">
        <f>SUMIF(HORÁRIO!$A:$A,FADEL!$A34,HORÁRIO!Q:Q)</f>
        <v>0</v>
      </c>
      <c r="K34" s="414">
        <f>SUMIF(HORÁRIO!$A:$A,FADEL!$A34,HORÁRIO!R:R)</f>
        <v>0</v>
      </c>
      <c r="L34" s="414">
        <f>SUMIF(HORÁRIO!$A:$A,FADEL!$A34,HORÁRIO!S:S)+SUMIF(HORÁRIO!$A:$A,FADEL!$A34,HORÁRIO!T:T)</f>
        <v>0</v>
      </c>
      <c r="M34" s="414">
        <f>SUMIF(HORÁRIO!$A:$A,FADEL!$A34,HORÁRIO!AD:AD)</f>
        <v>0</v>
      </c>
      <c r="N34" s="414">
        <f>SUMIF(HORÁRIO!$A:$A,FADEL!$A34,HORÁRIO!AE:AE)</f>
        <v>0</v>
      </c>
      <c r="O34" s="414">
        <f>SUMIF(HORÁRIO!$A$5:$A$13,FADEL!$A34,HORÁRIO!$O$5:$O$13)</f>
        <v>0</v>
      </c>
      <c r="P34" s="415" t="str">
        <f>IFERROR(VLOOKUP(A34,HORÁRIO!A:AE,15,0),"")</f>
        <v/>
      </c>
    </row>
    <row r="35" spans="1:16" s="306" customFormat="1" ht="15.75" customHeight="1" x14ac:dyDescent="0.25">
      <c r="A35" s="401" t="str">
        <f t="shared" si="0"/>
        <v>C47074546078</v>
      </c>
      <c r="B35" s="306" t="s">
        <v>421</v>
      </c>
      <c r="C35" s="402" t="e">
        <f>VLOOKUP(B35,'BR''S'!B:G,6,0)</f>
        <v>#N/A</v>
      </c>
      <c r="D35" s="410" t="e">
        <f>VLOOKUP(B35,'BR''S'!B:D,3,0)</f>
        <v>#N/A</v>
      </c>
      <c r="E35" s="404">
        <f>SUMIF(HORÁRIO!$A$5:$A$13,FADEL!$A35,HORÁRIO!$L$5:$L$13)</f>
        <v>0</v>
      </c>
      <c r="F35" s="404"/>
      <c r="G35" s="411">
        <f t="shared" si="1"/>
        <v>46078</v>
      </c>
      <c r="H35" s="412">
        <f ca="1">SUMIF(PUXADA!A:P,FADEL!A35,PUXADA!P:P)</f>
        <v>0</v>
      </c>
      <c r="I35" s="413">
        <f ca="1">SUMIF(PUXADA!A:P,FADEL!A35,PUXADA!G:G)</f>
        <v>0</v>
      </c>
      <c r="J35" s="414">
        <f>SUMIF(HORÁRIO!$A:$A,FADEL!$A35,HORÁRIO!Q:Q)</f>
        <v>0</v>
      </c>
      <c r="K35" s="414">
        <f>SUMIF(HORÁRIO!$A:$A,FADEL!$A35,HORÁRIO!R:R)</f>
        <v>0</v>
      </c>
      <c r="L35" s="414">
        <f>SUMIF(HORÁRIO!$A:$A,FADEL!$A35,HORÁRIO!S:S)+SUMIF(HORÁRIO!$A:$A,FADEL!$A35,HORÁRIO!T:T)</f>
        <v>0</v>
      </c>
      <c r="M35" s="414">
        <f>SUMIF(HORÁRIO!$A:$A,FADEL!$A35,HORÁRIO!AD:AD)</f>
        <v>0</v>
      </c>
      <c r="N35" s="414">
        <f>SUMIF(HORÁRIO!$A:$A,FADEL!$A35,HORÁRIO!AE:AE)</f>
        <v>0</v>
      </c>
      <c r="O35" s="414">
        <f>SUMIF(HORÁRIO!$A$5:$A$13,FADEL!$A35,HORÁRIO!$O$5:$O$13)</f>
        <v>0</v>
      </c>
      <c r="P35" s="415" t="str">
        <f>IFERROR(VLOOKUP(A35,HORÁRIO!A:AE,15,0),"")</f>
        <v/>
      </c>
    </row>
    <row r="36" spans="1:16" s="306" customFormat="1" ht="15.75" hidden="1" customHeight="1" x14ac:dyDescent="0.25">
      <c r="A36" s="401" t="str">
        <f t="shared" si="0"/>
        <v>C47086846078</v>
      </c>
      <c r="B36" s="306" t="s">
        <v>422</v>
      </c>
      <c r="C36" s="402" t="e">
        <f>VLOOKUP(B36,'BR''S'!B:G,6,0)</f>
        <v>#N/A</v>
      </c>
      <c r="D36" s="410" t="e">
        <f>VLOOKUP(B36,'BR''S'!B:D,3,0)</f>
        <v>#N/A</v>
      </c>
      <c r="E36" s="404">
        <f>SUMIF(HORÁRIO!$A$5:$A$13,FADEL!$A36,HORÁRIO!$L$5:$L$13)</f>
        <v>0</v>
      </c>
      <c r="F36" s="404"/>
      <c r="G36" s="411">
        <f t="shared" si="1"/>
        <v>46078</v>
      </c>
      <c r="H36" s="412">
        <f ca="1">SUMIF(PUXADA!A:P,FADEL!A36,PUXADA!P:P)</f>
        <v>0</v>
      </c>
      <c r="I36" s="413">
        <f ca="1">SUMIF(PUXADA!A:P,FADEL!A36,PUXADA!G:G)</f>
        <v>0</v>
      </c>
      <c r="J36" s="414">
        <f>SUMIF(HORÁRIO!$A:$A,FADEL!$A36,HORÁRIO!Q:Q)</f>
        <v>0</v>
      </c>
      <c r="K36" s="414">
        <f>SUMIF(HORÁRIO!$A:$A,FADEL!$A36,HORÁRIO!R:R)</f>
        <v>0</v>
      </c>
      <c r="L36" s="414">
        <f>SUMIF(HORÁRIO!$A:$A,FADEL!$A36,HORÁRIO!S:S)+SUMIF(HORÁRIO!$A:$A,FADEL!$A36,HORÁRIO!T:T)</f>
        <v>0</v>
      </c>
      <c r="M36" s="414">
        <f>SUMIF(HORÁRIO!$A:$A,FADEL!$A36,HORÁRIO!AD:AD)</f>
        <v>0</v>
      </c>
      <c r="N36" s="414">
        <f>SUMIF(HORÁRIO!$A:$A,FADEL!$A36,HORÁRIO!AE:AE)</f>
        <v>0</v>
      </c>
      <c r="O36" s="414">
        <f>SUMIF(HORÁRIO!$A$5:$A$13,FADEL!$A36,HORÁRIO!$O$5:$O$13)</f>
        <v>0</v>
      </c>
      <c r="P36" s="415" t="str">
        <f>IFERROR(VLOOKUP(A36,HORÁRIO!A:AE,15,0),"")</f>
        <v/>
      </c>
    </row>
    <row r="37" spans="1:16" s="306" customFormat="1" ht="15.75" hidden="1" customHeight="1" x14ac:dyDescent="0.25">
      <c r="A37" s="401" t="str">
        <f t="shared" si="0"/>
        <v>C47087046078</v>
      </c>
      <c r="B37" s="306" t="s">
        <v>423</v>
      </c>
      <c r="C37" s="402" t="e">
        <f>VLOOKUP(B37,'BR''S'!B:G,6,0)</f>
        <v>#N/A</v>
      </c>
      <c r="D37" s="410" t="e">
        <f>VLOOKUP(B37,'BR''S'!B:D,3,0)</f>
        <v>#N/A</v>
      </c>
      <c r="E37" s="404">
        <f>SUMIF(HORÁRIO!$A$5:$A$13,FADEL!$A37,HORÁRIO!$L$5:$L$13)</f>
        <v>0</v>
      </c>
      <c r="F37" s="404"/>
      <c r="G37" s="411">
        <f t="shared" si="1"/>
        <v>46078</v>
      </c>
      <c r="H37" s="412">
        <f ca="1">SUMIF(PUXADA!A:P,FADEL!A37,PUXADA!P:P)</f>
        <v>0</v>
      </c>
      <c r="I37" s="413">
        <f ca="1">SUMIF(PUXADA!A:P,FADEL!A37,PUXADA!G:G)</f>
        <v>0</v>
      </c>
      <c r="J37" s="414">
        <f>SUMIF(HORÁRIO!$A:$A,FADEL!$A37,HORÁRIO!Q:Q)</f>
        <v>0</v>
      </c>
      <c r="K37" s="414">
        <f>SUMIF(HORÁRIO!$A:$A,FADEL!$A37,HORÁRIO!R:R)</f>
        <v>0</v>
      </c>
      <c r="L37" s="414">
        <f>SUMIF(HORÁRIO!$A:$A,FADEL!$A37,HORÁRIO!S:S)+SUMIF(HORÁRIO!$A:$A,FADEL!$A37,HORÁRIO!T:T)</f>
        <v>0</v>
      </c>
      <c r="M37" s="414">
        <f>SUMIF(HORÁRIO!$A:$A,FADEL!$A37,HORÁRIO!AD:AD)</f>
        <v>0</v>
      </c>
      <c r="N37" s="414">
        <f>SUMIF(HORÁRIO!$A:$A,FADEL!$A37,HORÁRIO!AE:AE)</f>
        <v>0</v>
      </c>
      <c r="O37" s="414">
        <f>SUMIF(HORÁRIO!$A$5:$A$13,FADEL!$A37,HORÁRIO!$O$5:$O$13)</f>
        <v>0</v>
      </c>
      <c r="P37" s="415" t="str">
        <f>IFERROR(VLOOKUP(A37,HORÁRIO!A:AE,15,0),"")</f>
        <v/>
      </c>
    </row>
    <row r="38" spans="1:16" s="306" customFormat="1" ht="15.75" hidden="1" customHeight="1" x14ac:dyDescent="0.25">
      <c r="A38" s="401" t="str">
        <f>CONCATENATE(B38,G38)</f>
        <v>C47090046078</v>
      </c>
      <c r="B38" s="306" t="s">
        <v>424</v>
      </c>
      <c r="C38" s="402" t="e">
        <f>VLOOKUP(B38,'BR''S'!B:G,6,0)</f>
        <v>#N/A</v>
      </c>
      <c r="D38" s="410" t="e">
        <f>VLOOKUP(B38,'BR''S'!B:D,3,0)</f>
        <v>#N/A</v>
      </c>
      <c r="E38" s="404">
        <f>SUMIF(HORÁRIO!$A$5:$A$13,FADEL!$A38,HORÁRIO!$L$5:$L$13)</f>
        <v>0</v>
      </c>
      <c r="F38" s="404"/>
      <c r="G38" s="411">
        <f t="shared" si="1"/>
        <v>46078</v>
      </c>
      <c r="H38" s="412">
        <f ca="1">SUMIF(PUXADA!A:P,FADEL!A38,PUXADA!P:P)</f>
        <v>0</v>
      </c>
      <c r="I38" s="413">
        <f ca="1">SUMIF(PUXADA!A:P,FADEL!A38,PUXADA!G:G)</f>
        <v>0</v>
      </c>
      <c r="J38" s="414">
        <f>SUMIF(HORÁRIO!$A:$A,FADEL!$A38,HORÁRIO!Q:Q)</f>
        <v>0</v>
      </c>
      <c r="K38" s="414">
        <f>SUMIF(HORÁRIO!$A:$A,FADEL!$A38,HORÁRIO!R:R)</f>
        <v>0</v>
      </c>
      <c r="L38" s="414">
        <f>SUMIF(HORÁRIO!$A:$A,FADEL!$A38,HORÁRIO!S:S)+SUMIF(HORÁRIO!$A:$A,FADEL!$A38,HORÁRIO!T:T)</f>
        <v>0</v>
      </c>
      <c r="M38" s="414">
        <f>SUMIF(HORÁRIO!$A:$A,FADEL!$A38,HORÁRIO!AD:AD)</f>
        <v>0</v>
      </c>
      <c r="N38" s="414">
        <f>SUMIF(HORÁRIO!$A:$A,FADEL!$A38,HORÁRIO!AE:AE)</f>
        <v>0</v>
      </c>
      <c r="O38" s="414">
        <f>SUMIF(HORÁRIO!$A$5:$A$13,FADEL!$A38,HORÁRIO!$O$5:$O$13)</f>
        <v>0</v>
      </c>
      <c r="P38" s="415" t="str">
        <f>IFERROR(VLOOKUP(A38,HORÁRIO!A:AE,15,0),"")</f>
        <v/>
      </c>
    </row>
    <row r="39" spans="1:16" s="306" customFormat="1" ht="15.75" customHeight="1" thickBot="1" x14ac:dyDescent="0.3">
      <c r="A39" s="401" t="str">
        <f t="shared" si="0"/>
        <v>C47090246078</v>
      </c>
      <c r="B39" s="306" t="s">
        <v>425</v>
      </c>
      <c r="C39" s="402" t="e">
        <f>VLOOKUP(B39,'BR''S'!B:G,6,0)</f>
        <v>#N/A</v>
      </c>
      <c r="D39" s="410" t="e">
        <f>VLOOKUP(B39,'BR''S'!B:D,3,0)</f>
        <v>#N/A</v>
      </c>
      <c r="E39" s="404">
        <f>SUMIF(HORÁRIO!$A$5:$A$13,FADEL!$A39,HORÁRIO!$L$5:$L$13)</f>
        <v>0</v>
      </c>
      <c r="F39" s="404"/>
      <c r="G39" s="411">
        <f t="shared" si="1"/>
        <v>46078</v>
      </c>
      <c r="H39" s="412">
        <f ca="1">SUMIF(PUXADA!A:P,FADEL!A39,PUXADA!P:P)</f>
        <v>0</v>
      </c>
      <c r="I39" s="413">
        <f ca="1">SUMIF(PUXADA!A:P,FADEL!A39,PUXADA!G:G)</f>
        <v>0</v>
      </c>
      <c r="J39" s="414">
        <f>SUMIF(HORÁRIO!$A:$A,FADEL!$A39,HORÁRIO!Q:Q)</f>
        <v>0</v>
      </c>
      <c r="K39" s="414">
        <f>SUMIF(HORÁRIO!$A:$A,FADEL!$A39,HORÁRIO!R:R)</f>
        <v>0</v>
      </c>
      <c r="L39" s="414">
        <f>SUMIF(HORÁRIO!$A:$A,FADEL!$A39,HORÁRIO!S:S)+SUMIF(HORÁRIO!$A:$A,FADEL!$A39,HORÁRIO!T:T)</f>
        <v>0</v>
      </c>
      <c r="M39" s="414">
        <f>SUMIF(HORÁRIO!$A:$A,FADEL!$A39,HORÁRIO!AD:AD)</f>
        <v>0</v>
      </c>
      <c r="N39" s="414">
        <f>SUMIF(HORÁRIO!$A:$A,FADEL!$A39,HORÁRIO!AE:AE)</f>
        <v>0</v>
      </c>
      <c r="O39" s="414">
        <f>SUMIF(HORÁRIO!$A$5:$A$13,FADEL!$A39,HORÁRIO!$O$5:$O$13)</f>
        <v>0</v>
      </c>
      <c r="P39" s="415" t="str">
        <f>IFERROR(VLOOKUP(A39,HORÁRIO!A:AE,15,0),"")</f>
        <v/>
      </c>
    </row>
    <row r="40" spans="1:16" s="306" customFormat="1" ht="15.75" hidden="1" customHeight="1" thickBot="1" x14ac:dyDescent="0.3">
      <c r="A40" s="401" t="str">
        <f t="shared" si="0"/>
        <v>C47090446078</v>
      </c>
      <c r="B40" s="306" t="s">
        <v>426</v>
      </c>
      <c r="C40" s="402" t="e">
        <f>VLOOKUP(B40,'BR''S'!B:G,6,0)</f>
        <v>#N/A</v>
      </c>
      <c r="D40" s="416" t="e">
        <f>VLOOKUP(B40,'BR''S'!B:D,3,0)</f>
        <v>#N/A</v>
      </c>
      <c r="E40" s="417">
        <f>SUMIF(HORÁRIO!$A$5:$A$13,FADEL!$A40,HORÁRIO!$L$5:$L$13)</f>
        <v>0</v>
      </c>
      <c r="F40" s="417"/>
      <c r="G40" s="418">
        <f t="shared" si="1"/>
        <v>46078</v>
      </c>
      <c r="H40" s="419">
        <f ca="1">SUMIF(PUXADA!A:P,FADEL!A40,PUXADA!P:P)</f>
        <v>0</v>
      </c>
      <c r="I40" s="420">
        <f ca="1">SUMIF(PUXADA!A:P,FADEL!A40,PUXADA!G:G)</f>
        <v>0</v>
      </c>
      <c r="J40" s="421">
        <f>SUMIF(HORÁRIO!$A:$A,FADEL!$A40,HORÁRIO!Q:Q)</f>
        <v>0</v>
      </c>
      <c r="K40" s="421">
        <f>SUMIF(HORÁRIO!$A:$A,FADEL!$A40,HORÁRIO!R:R)</f>
        <v>0</v>
      </c>
      <c r="L40" s="421">
        <f>SUMIF(HORÁRIO!$A:$A,FADEL!$A40,HORÁRIO!S:S)+SUMIF(HORÁRIO!$A:$A,FADEL!$A40,HORÁRIO!T:T)</f>
        <v>0</v>
      </c>
      <c r="M40" s="421">
        <f>SUMIF(HORÁRIO!$A:$A,FADEL!$A40,HORÁRIO!AD:AD)</f>
        <v>0</v>
      </c>
      <c r="N40" s="421">
        <f>SUMIF(HORÁRIO!$A:$A,FADEL!$A40,HORÁRIO!AE:AE)</f>
        <v>0</v>
      </c>
      <c r="O40" s="421">
        <f>SUMIF(HORÁRIO!$A$5:$A$13,FADEL!$A40,HORÁRIO!$O$5:$O$13)</f>
        <v>0</v>
      </c>
      <c r="P40" s="422" t="str">
        <f>IFERROR(VLOOKUP(A40,HORÁRIO!A:AE,15,0),"")</f>
        <v/>
      </c>
    </row>
    <row r="41" spans="1:16" s="306" customFormat="1" ht="15.75" customHeight="1" thickBot="1" x14ac:dyDescent="0.3">
      <c r="A41" s="401"/>
      <c r="C41" s="423"/>
      <c r="D41" s="424" t="s">
        <v>13</v>
      </c>
      <c r="E41" s="425">
        <f>SUM(E5:E20)</f>
        <v>0</v>
      </c>
      <c r="F41" s="425"/>
      <c r="G41" s="426" t="s">
        <v>31</v>
      </c>
      <c r="H41" s="427">
        <f t="shared" ref="H41:O41" ca="1" si="2">SUM(H5:H40)</f>
        <v>0</v>
      </c>
      <c r="I41" s="428">
        <f t="shared" ca="1" si="2"/>
        <v>0</v>
      </c>
      <c r="J41" s="428">
        <f t="shared" si="2"/>
        <v>0</v>
      </c>
      <c r="K41" s="428">
        <f t="shared" si="2"/>
        <v>0</v>
      </c>
      <c r="L41" s="428">
        <f t="shared" si="2"/>
        <v>0</v>
      </c>
      <c r="M41" s="428">
        <f t="shared" si="2"/>
        <v>0</v>
      </c>
      <c r="N41" s="428">
        <f t="shared" si="2"/>
        <v>0</v>
      </c>
      <c r="O41" s="429">
        <f t="shared" si="2"/>
        <v>0</v>
      </c>
      <c r="P41" s="430"/>
    </row>
    <row r="42" spans="1:16" s="306" customFormat="1" ht="16.5" customHeight="1" thickBot="1" x14ac:dyDescent="0.3">
      <c r="A42" s="311"/>
      <c r="C42" s="662" t="s">
        <v>32</v>
      </c>
      <c r="D42" s="663"/>
      <c r="E42" s="662" t="s">
        <v>33</v>
      </c>
      <c r="F42" s="663"/>
      <c r="G42" s="663"/>
      <c r="H42" s="664"/>
      <c r="I42" s="662" t="s">
        <v>34</v>
      </c>
      <c r="J42" s="663"/>
      <c r="K42" s="663"/>
      <c r="L42" s="663"/>
      <c r="M42" s="663"/>
      <c r="N42" s="663"/>
      <c r="O42" s="663"/>
      <c r="P42" s="664"/>
    </row>
    <row r="43" spans="1:16" s="306" customFormat="1" ht="49.5" customHeight="1" thickBot="1" x14ac:dyDescent="0.3">
      <c r="A43" s="311"/>
      <c r="C43" s="665"/>
      <c r="D43" s="666"/>
      <c r="E43" s="667"/>
      <c r="F43" s="668"/>
      <c r="G43" s="668"/>
      <c r="H43" s="669"/>
      <c r="I43" s="667"/>
      <c r="J43" s="668"/>
      <c r="K43" s="668"/>
      <c r="L43" s="668"/>
      <c r="M43" s="668"/>
      <c r="N43" s="668"/>
      <c r="O43" s="668"/>
      <c r="P43" s="669"/>
    </row>
    <row r="55" spans="5:6" x14ac:dyDescent="0.2">
      <c r="E55" s="81"/>
      <c r="F55" s="81"/>
    </row>
    <row r="65526" spans="17:17" ht="15.75" x14ac:dyDescent="0.2">
      <c r="Q65526" s="172"/>
    </row>
  </sheetData>
  <sheetProtection formatCells="0" formatColumns="0" formatRows="0" insertColumns="0" insertRows="0" insertHyperlinks="0" deleteColumns="0" deleteRows="0" sort="0" autoFilter="0" pivotTables="0"/>
  <mergeCells count="12">
    <mergeCell ref="C43:D43"/>
    <mergeCell ref="E42:H42"/>
    <mergeCell ref="I42:P42"/>
    <mergeCell ref="I43:P43"/>
    <mergeCell ref="E43:H43"/>
    <mergeCell ref="N1:P3"/>
    <mergeCell ref="C42:D42"/>
    <mergeCell ref="H1:I1"/>
    <mergeCell ref="J1:M1"/>
    <mergeCell ref="C2:D3"/>
    <mergeCell ref="E2:G3"/>
    <mergeCell ref="C1:G1"/>
  </mergeCells>
  <conditionalFormatting sqref="H5:H40">
    <cfRule type="cellIs" dxfId="0" priority="1" operator="equal">
      <formula>0</formula>
    </cfRule>
  </conditionalFormatting>
  <pageMargins left="0" right="0" top="0" bottom="0" header="0" footer="0"/>
  <pageSetup paperSize="9" scale="84" firstPageNumber="0" orientation="landscape" r:id="rId1"/>
  <headerFooter alignWithMargins="0"/>
  <ignoredErrors>
    <ignoredError sqref="P40 E40 E20:E39 P5:P39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08">
    <pageSetUpPr fitToPage="1"/>
  </sheetPr>
  <dimension ref="A1:AB57"/>
  <sheetViews>
    <sheetView showGridLines="0" zoomScale="104" zoomScaleNormal="104" workbookViewId="0">
      <selection activeCell="C45" sqref="C45"/>
    </sheetView>
  </sheetViews>
  <sheetFormatPr defaultColWidth="9.140625" defaultRowHeight="12" x14ac:dyDescent="0.2"/>
  <cols>
    <col min="1" max="1" width="38.5703125" style="75" bestFit="1" customWidth="1"/>
    <col min="2" max="2" width="49.5703125" style="77" customWidth="1"/>
    <col min="3" max="3" width="3.140625" style="75" customWidth="1"/>
    <col min="4" max="4" width="5.7109375" style="75" customWidth="1"/>
    <col min="5" max="5" width="8" style="75" bestFit="1" customWidth="1"/>
    <col min="6" max="6" width="18.7109375" style="77" bestFit="1" customWidth="1"/>
    <col min="7" max="7" width="9" style="77" bestFit="1" customWidth="1"/>
    <col min="8" max="8" width="4.28515625" style="77" bestFit="1" customWidth="1"/>
    <col min="9" max="9" width="7.85546875" style="77" customWidth="1"/>
    <col min="10" max="10" width="1.140625" style="75" customWidth="1"/>
    <col min="11" max="11" width="22.140625" style="123" bestFit="1" customWidth="1"/>
    <col min="12" max="12" width="11.5703125" style="77" customWidth="1"/>
    <col min="13" max="13" width="13.85546875" style="77" customWidth="1"/>
    <col min="14" max="14" width="9.28515625" style="77" bestFit="1" customWidth="1"/>
    <col min="15" max="15" width="10.85546875" style="77" customWidth="1"/>
    <col min="16" max="16" width="4.5703125" style="75" customWidth="1"/>
    <col min="17" max="17" width="2" style="75" customWidth="1"/>
    <col min="18" max="18" width="8" style="75" bestFit="1" customWidth="1"/>
    <col min="19" max="19" width="34.140625" style="75" bestFit="1" customWidth="1"/>
    <col min="20" max="20" width="9" style="75" bestFit="1" customWidth="1"/>
    <col min="21" max="21" width="9.140625" style="75"/>
    <col min="22" max="22" width="16.5703125" style="75" bestFit="1" customWidth="1"/>
    <col min="23" max="23" width="9.140625" style="75"/>
    <col min="24" max="24" width="14.28515625" style="75" bestFit="1" customWidth="1"/>
    <col min="25" max="25" width="25.85546875" style="75" bestFit="1" customWidth="1"/>
    <col min="26" max="16384" width="9.140625" style="75"/>
  </cols>
  <sheetData>
    <row r="1" spans="1:28" ht="15.75" x14ac:dyDescent="0.2">
      <c r="A1" s="117" t="s">
        <v>427</v>
      </c>
      <c r="B1" s="303">
        <f>COUNTIF(HORÁRIO!$G$5:$G$117,'CHECK LIST'!K2)+COUNTIF(HORÁRIO!$G$5:$G$117,'CHECK LIST'!K3)+COUNTIF(HORÁRIO!$G$5:$G$117,'CHECK LIST'!K4)+COUNTIF(HORÁRIO!$G$5:$G$117,'CHECK LIST'!K5)+COUNTIF(HORÁRIO!$G$5:$G$117,'CHECK LIST'!K6)</f>
        <v>14</v>
      </c>
      <c r="D1" s="76"/>
      <c r="E1" s="108"/>
      <c r="F1" s="109" t="s">
        <v>428</v>
      </c>
      <c r="G1" s="109" t="s">
        <v>429</v>
      </c>
      <c r="H1" s="109" t="s">
        <v>430</v>
      </c>
      <c r="I1" s="110" t="s">
        <v>431</v>
      </c>
      <c r="K1" s="120" t="s">
        <v>432</v>
      </c>
      <c r="L1" s="104" t="s">
        <v>428</v>
      </c>
      <c r="M1" s="104" t="s">
        <v>433</v>
      </c>
      <c r="N1" s="104" t="s">
        <v>434</v>
      </c>
      <c r="O1" s="105" t="s">
        <v>435</v>
      </c>
      <c r="R1" s="924" t="s">
        <v>436</v>
      </c>
      <c r="S1" s="924"/>
      <c r="T1" s="924"/>
      <c r="V1" s="549" t="s">
        <v>263</v>
      </c>
    </row>
    <row r="2" spans="1:28" ht="12.75" x14ac:dyDescent="0.2">
      <c r="A2" s="118" t="s">
        <v>378</v>
      </c>
      <c r="B2" s="304">
        <f>L31/B3</f>
        <v>21.693661971830988</v>
      </c>
      <c r="D2" s="76"/>
      <c r="E2" s="103" t="s">
        <v>437</v>
      </c>
      <c r="F2" s="95"/>
      <c r="G2" s="96"/>
      <c r="H2" s="97"/>
      <c r="I2" s="111"/>
      <c r="K2" s="121" t="s">
        <v>438</v>
      </c>
      <c r="L2" s="99">
        <f>SUMIF(HORÁRIO!$G$5:$G$117,'CHECK LIST'!K2,HORÁRIO!$H$5:$H$117)</f>
        <v>1582.3999999999999</v>
      </c>
      <c r="M2" s="98">
        <f>SUMIF(HORÁRIO!$G$5:$G$117,'CHECK LIST'!K2,HORÁRIO!$I$5:$I$117)</f>
        <v>162</v>
      </c>
      <c r="N2" s="98">
        <f>COUNTIF(HORÁRIO!$G$5:$G$117,'CHECK LIST'!K2)</f>
        <v>8</v>
      </c>
      <c r="O2" s="106">
        <f>IFERROR(L2/M2,0)</f>
        <v>9.7679012345679013</v>
      </c>
      <c r="R2" s="532"/>
      <c r="S2" s="532"/>
      <c r="T2" s="534"/>
      <c r="V2" s="535" t="e">
        <f>VLOOKUP(T2,'BR''S'!F:G,2,0)</f>
        <v>#N/A</v>
      </c>
      <c r="X2" s="536"/>
      <c r="Y2" s="536"/>
      <c r="Z2" s="536"/>
      <c r="AB2" s="543"/>
    </row>
    <row r="3" spans="1:28" ht="13.5" thickBot="1" x14ac:dyDescent="0.25">
      <c r="A3" s="119" t="s">
        <v>439</v>
      </c>
      <c r="B3" s="476">
        <f>SUM(PUXADA!G:G)</f>
        <v>284</v>
      </c>
      <c r="D3" s="76"/>
      <c r="E3" s="103" t="s">
        <v>440</v>
      </c>
      <c r="F3" s="96"/>
      <c r="G3" s="96"/>
      <c r="H3" s="97"/>
      <c r="I3" s="111"/>
      <c r="K3" s="121" t="s">
        <v>441</v>
      </c>
      <c r="L3" s="99">
        <f>SUMIF(HORÁRIO!$G$5:$G$117,'CHECK LIST'!K3,HORÁRIO!$H$5:$H$117)</f>
        <v>1637</v>
      </c>
      <c r="M3" s="98">
        <f>SUMIF(HORÁRIO!$G$5:$G$117,'CHECK LIST'!K3,HORÁRIO!$I$5:$I$117)</f>
        <v>112</v>
      </c>
      <c r="N3" s="98">
        <f>COUNTIF(HORÁRIO!$G$5:$G$117,'CHECK LIST'!K3)</f>
        <v>6</v>
      </c>
      <c r="O3" s="106">
        <f>IFERROR(L3/M3,0)</f>
        <v>14.616071428571429</v>
      </c>
      <c r="R3" s="532"/>
      <c r="S3" s="533"/>
      <c r="T3" s="534"/>
      <c r="V3" s="535" t="e">
        <f>VLOOKUP(T3,'BR''S'!F:G,2,0)</f>
        <v>#N/A</v>
      </c>
    </row>
    <row r="4" spans="1:28" ht="13.5" thickBot="1" x14ac:dyDescent="0.25">
      <c r="B4" s="75"/>
      <c r="D4" s="76"/>
      <c r="E4" s="112" t="s">
        <v>442</v>
      </c>
      <c r="F4" s="113">
        <f>$L$31-F2-F3</f>
        <v>6161.0000000000009</v>
      </c>
      <c r="G4" s="114">
        <f>IFERROR(F4/H4,0)</f>
        <v>21.693661971830988</v>
      </c>
      <c r="H4" s="115">
        <f>$B$3-H3-H2</f>
        <v>284</v>
      </c>
      <c r="I4" s="116">
        <f>$B$4-I3-I2</f>
        <v>0</v>
      </c>
      <c r="K4" s="469" t="s">
        <v>443</v>
      </c>
      <c r="L4" s="470">
        <f>SUMIF(HORÁRIO!$G$5:$G$117,'CHECK LIST'!K4,HORÁRIO!$H$5:$H$117)</f>
        <v>0</v>
      </c>
      <c r="M4" s="471">
        <f>SUMIF(HORÁRIO!$G$5:$G$117,'CHECK LIST'!K4,HORÁRIO!$I$5:$I$117)</f>
        <v>0</v>
      </c>
      <c r="N4" s="471">
        <f>COUNTIF(HORÁRIO!$G$5:$G$117,'CHECK LIST'!K4)</f>
        <v>0</v>
      </c>
      <c r="O4" s="472">
        <f>IFERROR(L4/M4,0)</f>
        <v>0</v>
      </c>
      <c r="R4" s="532"/>
      <c r="S4" s="533"/>
      <c r="T4" s="534"/>
      <c r="V4" s="535" t="e">
        <f>VLOOKUP(T4,'BR''S'!F:G,2,0)</f>
        <v>#N/A</v>
      </c>
    </row>
    <row r="5" spans="1:28" ht="13.5" thickBot="1" x14ac:dyDescent="0.25">
      <c r="B5" s="75"/>
      <c r="D5" s="76"/>
      <c r="K5" s="465" t="s">
        <v>444</v>
      </c>
      <c r="L5" s="466">
        <f>SUMIF(HORÁRIO!$G$5:$G$117,'CHECK LIST'!K5,HORÁRIO!$H$5:$H$117)</f>
        <v>0</v>
      </c>
      <c r="M5" s="467">
        <f>SUMIF(HORÁRIO!$G$5:$G$117,'CHECK LIST'!K5,HORÁRIO!$I$5:$I$117)</f>
        <v>0</v>
      </c>
      <c r="N5" s="467">
        <f>COUNTIF(HORÁRIO!$G$5:$G$117,'CHECK LIST'!K5)</f>
        <v>0</v>
      </c>
      <c r="O5" s="468">
        <f>IFERROR(L5/M5,0)</f>
        <v>0</v>
      </c>
      <c r="R5" s="532"/>
      <c r="S5" s="533"/>
      <c r="T5" s="534"/>
      <c r="V5" s="535" t="e">
        <f>VLOOKUP(T5,'BR''S'!F:G,2,0)</f>
        <v>#N/A</v>
      </c>
    </row>
    <row r="6" spans="1:28" ht="13.5" thickBot="1" x14ac:dyDescent="0.25">
      <c r="E6" s="78"/>
      <c r="K6" s="465" t="s">
        <v>445</v>
      </c>
      <c r="L6" s="466">
        <f>SUMIF(HORÁRIO!$G$5:$G$117,'CHECK LIST'!K6,HORÁRIO!$H$5:$H$117)</f>
        <v>0</v>
      </c>
      <c r="M6" s="467">
        <f>SUMIF(HORÁRIO!$G$5:$G$117,'CHECK LIST'!K6,HORÁRIO!$I$5:$I$117)</f>
        <v>0</v>
      </c>
      <c r="N6" s="467">
        <f>COUNTIF(HORÁRIO!$G$5:$G$117,'CHECK LIST'!K6)</f>
        <v>0</v>
      </c>
      <c r="O6" s="468">
        <f t="shared" ref="O6" si="0">IFERROR(L6/M6,0)</f>
        <v>0</v>
      </c>
      <c r="R6" s="532"/>
      <c r="S6" s="533"/>
      <c r="T6" s="534"/>
      <c r="V6" s="535" t="e">
        <f>VLOOKUP(T6,'BR''S'!F:G,2,0)</f>
        <v>#N/A</v>
      </c>
    </row>
    <row r="7" spans="1:28" ht="12.75" customHeight="1" x14ac:dyDescent="0.2">
      <c r="A7" s="922" t="s">
        <v>446</v>
      </c>
      <c r="B7" s="922"/>
      <c r="C7" s="922"/>
      <c r="E7" s="78"/>
      <c r="F7" s="327"/>
      <c r="G7" s="327"/>
      <c r="H7" s="327"/>
      <c r="I7" s="327"/>
      <c r="K7" s="461" t="s">
        <v>311</v>
      </c>
      <c r="L7" s="462">
        <f>SUMIF(HORÁRIO!$G$5:$G$117,'CHECK LIST'!K7,HORÁRIO!$H$5:$H$117)</f>
        <v>1745</v>
      </c>
      <c r="M7" s="463">
        <f>SUMIF(HORÁRIO!$G$5:$G$117,'CHECK LIST'!K7,HORÁRIO!$I$5:$I$117)</f>
        <v>2</v>
      </c>
      <c r="N7" s="463">
        <f>COUNTIF(HORÁRIO!$G$5:$G$117,'CHECK LIST'!K7)</f>
        <v>2</v>
      </c>
      <c r="O7" s="464">
        <f>IFERROR(L7/M7,0)</f>
        <v>872.5</v>
      </c>
      <c r="R7" s="532"/>
      <c r="S7" s="533"/>
      <c r="T7" s="534"/>
      <c r="V7" s="535" t="e">
        <f>VLOOKUP(T7,'BR''S'!F:G,2,0)</f>
        <v>#N/A</v>
      </c>
    </row>
    <row r="8" spans="1:28" ht="12.75" customHeight="1" x14ac:dyDescent="0.2">
      <c r="A8" s="923"/>
      <c r="B8" s="923"/>
      <c r="C8" s="923"/>
      <c r="K8" s="121" t="s">
        <v>362</v>
      </c>
      <c r="L8" s="99">
        <f>SUMIF(HORÁRIO!$G$5:$G$117,'CHECK LIST'!K8,HORÁRIO!$H$5:$H$117)</f>
        <v>0.8</v>
      </c>
      <c r="M8" s="98">
        <f>SUMIF(HORÁRIO!$G$5:$G$117,'CHECK LIST'!K8,HORÁRIO!$I$5:$I$117)</f>
        <v>1</v>
      </c>
      <c r="N8" s="98">
        <f>COUNTIF(HORÁRIO!$G$5:$G$117,'CHECK LIST'!K8)</f>
        <v>1</v>
      </c>
      <c r="O8" s="106">
        <f>IFERROR(L8/M8,0)</f>
        <v>0.8</v>
      </c>
      <c r="R8" s="532"/>
      <c r="S8" s="533"/>
      <c r="T8" s="534"/>
      <c r="V8" s="535" t="e">
        <f>VLOOKUP(T8,'BR''S'!F:G,2,0)</f>
        <v>#N/A</v>
      </c>
    </row>
    <row r="9" spans="1:28" ht="12.75" x14ac:dyDescent="0.2">
      <c r="A9" s="350" t="s">
        <v>447</v>
      </c>
      <c r="B9" s="351" t="s">
        <v>448</v>
      </c>
      <c r="C9" s="351" t="s">
        <v>449</v>
      </c>
      <c r="K9" s="121" t="s">
        <v>216</v>
      </c>
      <c r="L9" s="99">
        <f>SUMIF(HORÁRIO!$G$5:$G$117,'CHECK LIST'!K9,HORÁRIO!$H$5:$H$117)</f>
        <v>1159.2</v>
      </c>
      <c r="M9" s="98">
        <f>SUMIF(HORÁRIO!$G$5:$G$117,'CHECK LIST'!K9,HORÁRIO!$I$5:$I$117)</f>
        <v>3</v>
      </c>
      <c r="N9" s="98">
        <f>COUNTIF(HORÁRIO!$G$5:$G$117,'CHECK LIST'!K9)</f>
        <v>3</v>
      </c>
      <c r="O9" s="106">
        <f t="shared" ref="O9" si="1">IFERROR(L9/M9,0)</f>
        <v>386.40000000000003</v>
      </c>
      <c r="R9" s="532"/>
      <c r="S9" s="533"/>
      <c r="T9" s="534"/>
      <c r="V9" s="543" t="e">
        <f>VLOOKUP(T9,'BR''S'!F:G,2,0)</f>
        <v>#N/A</v>
      </c>
    </row>
    <row r="10" spans="1:28" ht="12.75" x14ac:dyDescent="0.2">
      <c r="A10" s="350" t="s">
        <v>450</v>
      </c>
      <c r="B10" s="351" t="s">
        <v>451</v>
      </c>
      <c r="C10" s="351" t="s">
        <v>449</v>
      </c>
      <c r="K10" s="121" t="s">
        <v>452</v>
      </c>
      <c r="L10" s="99">
        <f>SUMIF(HORÁRIO!$G$5:$G$117,'CHECK LIST'!K10,HORÁRIO!$H$5:$H$117)</f>
        <v>0</v>
      </c>
      <c r="M10" s="98">
        <f>SUMIF(HORÁRIO!$G$5:$G$117,'CHECK LIST'!K10,HORÁRIO!$I$5:$I$117)</f>
        <v>0</v>
      </c>
      <c r="N10" s="98">
        <f>COUNTIF(HORÁRIO!$G$5:$G$117,'CHECK LIST'!K10)</f>
        <v>0</v>
      </c>
      <c r="O10" s="106">
        <f>IFERROR(L10/M10,0)</f>
        <v>0</v>
      </c>
      <c r="P10" s="528"/>
      <c r="R10" s="532"/>
      <c r="S10" s="533"/>
      <c r="T10" s="534"/>
      <c r="V10" s="543" t="e">
        <f>VLOOKUP(T10,'BR''S'!F:G,2,0)</f>
        <v>#N/A</v>
      </c>
    </row>
    <row r="11" spans="1:28" ht="13.5" thickBot="1" x14ac:dyDescent="0.25">
      <c r="A11" s="352" t="s">
        <v>453</v>
      </c>
      <c r="B11" s="353" t="s">
        <v>454</v>
      </c>
      <c r="C11" s="351" t="s">
        <v>449</v>
      </c>
      <c r="G11" s="49"/>
      <c r="K11" s="122" t="s">
        <v>354</v>
      </c>
      <c r="L11" s="328">
        <f>SUMIF(HORÁRIO!$G$5:$G$117,'CHECK LIST'!K11,HORÁRIO!$H$5:$H$117)</f>
        <v>36.599999999999994</v>
      </c>
      <c r="M11" s="329">
        <f>SUMIF(HORÁRIO!$G$5:$G$117,'CHECK LIST'!K11,HORÁRIO!$I$5:$I$117)</f>
        <v>4</v>
      </c>
      <c r="N11" s="329">
        <f>COUNTIF(HORÁRIO!$G$5:$G$117,'CHECK LIST'!K11)</f>
        <v>3</v>
      </c>
      <c r="O11" s="107">
        <f>IFERROR(L11/M11,0)</f>
        <v>9.1499999999999986</v>
      </c>
      <c r="P11" s="528"/>
      <c r="R11" s="532"/>
      <c r="S11" s="533"/>
      <c r="T11" s="534"/>
      <c r="V11" s="543" t="e">
        <f>VLOOKUP(T11,'BR''S'!F:G,2,0)</f>
        <v>#N/A</v>
      </c>
    </row>
    <row r="12" spans="1:28" ht="12.75" x14ac:dyDescent="0.2">
      <c r="A12" s="350" t="s">
        <v>455</v>
      </c>
      <c r="B12" s="351" t="s">
        <v>456</v>
      </c>
      <c r="C12" s="351" t="s">
        <v>449</v>
      </c>
      <c r="G12" s="49"/>
      <c r="R12" s="532"/>
      <c r="S12" s="533"/>
      <c r="T12" s="534"/>
      <c r="V12" s="543" t="e">
        <f>VLOOKUP(T12,'BR''S'!F:G,2,0)</f>
        <v>#N/A</v>
      </c>
    </row>
    <row r="13" spans="1:28" ht="12.75" x14ac:dyDescent="0.2">
      <c r="A13" s="350" t="s">
        <v>457</v>
      </c>
      <c r="B13" s="351" t="s">
        <v>458</v>
      </c>
      <c r="C13" s="351" t="s">
        <v>449</v>
      </c>
      <c r="G13" s="49"/>
      <c r="R13" s="532"/>
      <c r="S13" s="533"/>
      <c r="T13" s="534"/>
      <c r="V13" s="543" t="e">
        <f>VLOOKUP(T13,'BR''S'!F:G,2,0)</f>
        <v>#N/A</v>
      </c>
    </row>
    <row r="14" spans="1:28" ht="12.75" x14ac:dyDescent="0.2">
      <c r="A14" s="352" t="s">
        <v>459</v>
      </c>
      <c r="B14" s="351" t="s">
        <v>458</v>
      </c>
      <c r="C14" s="351" t="s">
        <v>449</v>
      </c>
      <c r="G14" s="49"/>
      <c r="R14" s="532"/>
      <c r="S14" s="533"/>
      <c r="T14" s="534"/>
      <c r="U14" s="536"/>
      <c r="V14" s="543" t="e">
        <f>VLOOKUP(T14,'BR''S'!F:G,2,0)</f>
        <v>#N/A</v>
      </c>
    </row>
    <row r="15" spans="1:28" ht="16.5" customHeight="1" x14ac:dyDescent="0.2">
      <c r="A15" s="350" t="s">
        <v>460</v>
      </c>
      <c r="B15" s="351" t="s">
        <v>461</v>
      </c>
      <c r="C15" s="351" t="s">
        <v>449</v>
      </c>
      <c r="G15" s="49"/>
      <c r="R15" s="532"/>
      <c r="S15" s="533"/>
      <c r="T15" s="534"/>
      <c r="V15" s="543" t="e">
        <f>VLOOKUP(T15,'BR''S'!F:G,2,0)</f>
        <v>#N/A</v>
      </c>
    </row>
    <row r="16" spans="1:28" ht="12.75" x14ac:dyDescent="0.2">
      <c r="A16" s="572" t="s">
        <v>462</v>
      </c>
      <c r="B16" s="573" t="s">
        <v>463</v>
      </c>
      <c r="C16" s="573" t="s">
        <v>449</v>
      </c>
      <c r="D16" s="488"/>
      <c r="R16" s="532"/>
      <c r="S16" s="533"/>
      <c r="T16" s="534"/>
      <c r="U16" s="536"/>
      <c r="V16" s="543" t="e">
        <f>VLOOKUP(T16,'BR''S'!F:G,2,0)</f>
        <v>#N/A</v>
      </c>
    </row>
    <row r="17" spans="1:22" ht="12.75" x14ac:dyDescent="0.2">
      <c r="A17" s="586" t="s">
        <v>464</v>
      </c>
      <c r="B17" s="587" t="s">
        <v>465</v>
      </c>
      <c r="C17" s="587" t="s">
        <v>449</v>
      </c>
      <c r="D17" s="76"/>
      <c r="R17" s="532"/>
      <c r="S17" s="533"/>
      <c r="T17" s="534"/>
      <c r="U17" s="536"/>
      <c r="V17" s="543" t="e">
        <f>VLOOKUP(T17,'BR''S'!F:G,2,0)</f>
        <v>#N/A</v>
      </c>
    </row>
    <row r="18" spans="1:22" ht="12.75" x14ac:dyDescent="0.2">
      <c r="A18" s="588" t="s">
        <v>466</v>
      </c>
      <c r="B18" s="589" t="s">
        <v>467</v>
      </c>
      <c r="C18" s="587" t="s">
        <v>449</v>
      </c>
      <c r="D18" s="76"/>
      <c r="R18" s="532"/>
      <c r="S18" s="533"/>
      <c r="T18" s="534"/>
      <c r="V18" s="543" t="e">
        <f>VLOOKUP(T18,'BR''S'!F:G,2,0)</f>
        <v>#N/A</v>
      </c>
    </row>
    <row r="19" spans="1:22" ht="12" customHeight="1" x14ac:dyDescent="0.2">
      <c r="A19" s="584" t="s">
        <v>468</v>
      </c>
      <c r="B19" s="585" t="s">
        <v>469</v>
      </c>
      <c r="C19" s="585" t="s">
        <v>449</v>
      </c>
      <c r="R19" s="532"/>
      <c r="S19" s="533"/>
      <c r="T19" s="534"/>
      <c r="V19" s="543" t="e">
        <f>VLOOKUP(T19,'BR''S'!F:G,2,0)</f>
        <v>#N/A</v>
      </c>
    </row>
    <row r="20" spans="1:22" ht="12.75" customHeight="1" thickBot="1" x14ac:dyDescent="0.25">
      <c r="A20" s="568" t="s">
        <v>470</v>
      </c>
      <c r="B20" s="569" t="s">
        <v>471</v>
      </c>
      <c r="C20" s="585" t="s">
        <v>449</v>
      </c>
      <c r="R20" s="532"/>
      <c r="S20" s="533"/>
      <c r="T20" s="534"/>
      <c r="V20" s="543" t="e">
        <f>VLOOKUP(T20,'BR''S'!F:G,2,0)</f>
        <v>#N/A</v>
      </c>
    </row>
    <row r="21" spans="1:22" ht="15.75" thickBot="1" x14ac:dyDescent="0.25">
      <c r="A21" s="590" t="s">
        <v>472</v>
      </c>
      <c r="B21" s="591" t="s">
        <v>448</v>
      </c>
      <c r="C21" s="591" t="s">
        <v>449</v>
      </c>
      <c r="L21" s="473" t="s">
        <v>473</v>
      </c>
      <c r="M21" s="474" t="s">
        <v>474</v>
      </c>
      <c r="N21" s="474" t="s">
        <v>475</v>
      </c>
      <c r="O21" s="475" t="s">
        <v>476</v>
      </c>
      <c r="S21" s="925" t="s">
        <v>477</v>
      </c>
      <c r="T21" s="926"/>
      <c r="U21" s="926"/>
      <c r="V21" s="926"/>
    </row>
    <row r="22" spans="1:22" ht="12.75" customHeight="1" thickBot="1" x14ac:dyDescent="0.25">
      <c r="A22" s="592" t="s">
        <v>478</v>
      </c>
      <c r="B22" s="593" t="s">
        <v>448</v>
      </c>
      <c r="C22" s="593" t="s">
        <v>449</v>
      </c>
      <c r="E22" s="325"/>
      <c r="G22" s="326"/>
      <c r="H22" s="326"/>
      <c r="K22" s="272" t="s">
        <v>479</v>
      </c>
      <c r="L22" s="271">
        <f>SUM(L2:L6)</f>
        <v>3219.3999999999996</v>
      </c>
      <c r="M22" s="276">
        <f>SUM(M2:M6)</f>
        <v>274</v>
      </c>
      <c r="N22" s="276">
        <f>SUM(N2:N6)</f>
        <v>14</v>
      </c>
      <c r="O22" s="348">
        <f>L22/M22</f>
        <v>11.749635036496349</v>
      </c>
      <c r="S22" s="537">
        <f>L22</f>
        <v>3219.3999999999996</v>
      </c>
      <c r="T22" s="538">
        <f>L23</f>
        <v>2941.6</v>
      </c>
      <c r="U22" s="539">
        <f>M24</f>
        <v>284</v>
      </c>
      <c r="V22" s="540">
        <f>M33</f>
        <v>12.3</v>
      </c>
    </row>
    <row r="23" spans="1:22" ht="12.75" customHeight="1" x14ac:dyDescent="0.2">
      <c r="A23" s="590" t="s">
        <v>480</v>
      </c>
      <c r="B23" s="591" t="s">
        <v>448</v>
      </c>
      <c r="C23" s="591" t="s">
        <v>449</v>
      </c>
      <c r="E23" s="325"/>
      <c r="G23" s="326"/>
      <c r="H23" s="326"/>
      <c r="K23" s="273" t="s">
        <v>481</v>
      </c>
      <c r="L23" s="271">
        <f>SUM(L7:L11)</f>
        <v>2941.6</v>
      </c>
      <c r="M23" s="276">
        <f>SUM(M7:M11)</f>
        <v>10</v>
      </c>
      <c r="N23" s="276">
        <f>SUM(N7:N11)</f>
        <v>9</v>
      </c>
      <c r="O23" s="348">
        <f>L23/M23</f>
        <v>294.15999999999997</v>
      </c>
    </row>
    <row r="24" spans="1:22" ht="13.5" customHeight="1" thickBot="1" x14ac:dyDescent="0.25">
      <c r="A24" s="592" t="s">
        <v>482</v>
      </c>
      <c r="B24" s="593" t="s">
        <v>448</v>
      </c>
      <c r="C24" s="591" t="s">
        <v>449</v>
      </c>
      <c r="E24" s="325"/>
      <c r="K24" s="267" t="s">
        <v>483</v>
      </c>
      <c r="L24" s="268">
        <f>L23+L22</f>
        <v>6161</v>
      </c>
      <c r="M24" s="269">
        <f>M23+M22</f>
        <v>284</v>
      </c>
      <c r="N24" s="269">
        <f>SUM(N22:N23)</f>
        <v>23</v>
      </c>
      <c r="O24" s="270"/>
      <c r="S24" s="544" t="s">
        <v>484</v>
      </c>
    </row>
    <row r="25" spans="1:22" ht="12.75" thickBot="1" x14ac:dyDescent="0.25">
      <c r="A25" s="592" t="s">
        <v>485</v>
      </c>
      <c r="B25" s="593" t="s">
        <v>448</v>
      </c>
      <c r="C25" s="593" t="s">
        <v>449</v>
      </c>
      <c r="S25" s="541">
        <f>L22</f>
        <v>3219.3999999999996</v>
      </c>
    </row>
    <row r="26" spans="1:22" ht="13.5" customHeight="1" thickBot="1" x14ac:dyDescent="0.25">
      <c r="A26" s="592" t="s">
        <v>486</v>
      </c>
      <c r="B26" s="593" t="s">
        <v>448</v>
      </c>
      <c r="C26" s="591" t="s">
        <v>449</v>
      </c>
      <c r="K26" s="255" t="s">
        <v>487</v>
      </c>
      <c r="L26" s="256" t="s">
        <v>488</v>
      </c>
      <c r="M26" s="349" t="s">
        <v>489</v>
      </c>
      <c r="S26" s="548">
        <f>M24</f>
        <v>284</v>
      </c>
    </row>
    <row r="27" spans="1:22" ht="13.5" customHeight="1" thickBot="1" x14ac:dyDescent="0.25">
      <c r="A27" s="352" t="s">
        <v>490</v>
      </c>
      <c r="B27" s="353" t="s">
        <v>491</v>
      </c>
      <c r="C27" s="353" t="s">
        <v>449</v>
      </c>
      <c r="K27" s="257"/>
      <c r="L27" s="100">
        <v>0.93055555555555547</v>
      </c>
      <c r="M27" s="258"/>
      <c r="S27" s="542">
        <f>L33</f>
        <v>21.693661971830988</v>
      </c>
    </row>
    <row r="28" spans="1:22" ht="12.75" x14ac:dyDescent="0.2">
      <c r="A28" s="352" t="s">
        <v>492</v>
      </c>
      <c r="B28" s="353" t="s">
        <v>493</v>
      </c>
      <c r="C28" s="353" t="s">
        <v>449</v>
      </c>
      <c r="E28" s="528"/>
      <c r="F28" s="528"/>
      <c r="I28" s="277"/>
      <c r="K28"/>
      <c r="L28"/>
      <c r="M28"/>
      <c r="N28" s="75"/>
      <c r="O28" s="75"/>
      <c r="P28" s="530"/>
      <c r="S28"/>
      <c r="T28" s="536"/>
      <c r="U28" s="536"/>
      <c r="V28" s="536"/>
    </row>
    <row r="29" spans="1:22" ht="12.75" x14ac:dyDescent="0.2">
      <c r="A29" s="350" t="s">
        <v>494</v>
      </c>
      <c r="B29" s="353" t="s">
        <v>493</v>
      </c>
      <c r="C29" s="353" t="s">
        <v>449</v>
      </c>
      <c r="K29" s="259" t="s">
        <v>495</v>
      </c>
      <c r="L29" s="101" t="s">
        <v>496</v>
      </c>
      <c r="M29" s="260"/>
      <c r="S29" s="536"/>
      <c r="T29" s="536"/>
      <c r="U29" s="536"/>
      <c r="V29" s="536"/>
    </row>
    <row r="30" spans="1:22" ht="12" customHeight="1" x14ac:dyDescent="0.2">
      <c r="A30" s="350" t="s">
        <v>497</v>
      </c>
      <c r="B30" s="353" t="s">
        <v>493</v>
      </c>
      <c r="C30" s="353" t="s">
        <v>449</v>
      </c>
      <c r="K30" s="261" t="s">
        <v>498</v>
      </c>
      <c r="L30" s="97">
        <f>B3</f>
        <v>284</v>
      </c>
      <c r="M30" s="262"/>
      <c r="S30" s="536"/>
      <c r="T30" s="536"/>
      <c r="U30" s="536"/>
      <c r="V30" s="536"/>
    </row>
    <row r="31" spans="1:22" x14ac:dyDescent="0.2">
      <c r="A31" s="352" t="s">
        <v>499</v>
      </c>
      <c r="B31" s="353" t="s">
        <v>493</v>
      </c>
      <c r="C31" s="353" t="s">
        <v>449</v>
      </c>
      <c r="F31" s="77" t="s">
        <v>257</v>
      </c>
      <c r="K31" s="261" t="s">
        <v>500</v>
      </c>
      <c r="L31" s="95">
        <f>SUM(PUXADA!P:P)</f>
        <v>6161.0000000000009</v>
      </c>
      <c r="M31" s="262"/>
    </row>
    <row r="32" spans="1:22" ht="12.75" x14ac:dyDescent="0.2">
      <c r="A32" s="582" t="s">
        <v>501</v>
      </c>
      <c r="B32" s="583" t="s">
        <v>502</v>
      </c>
      <c r="C32" s="583" t="s">
        <v>449</v>
      </c>
      <c r="D32" s="531"/>
      <c r="K32" s="261" t="s">
        <v>495</v>
      </c>
      <c r="L32" s="97"/>
      <c r="M32" s="263"/>
      <c r="S32"/>
    </row>
    <row r="33" spans="1:27" ht="12.75" x14ac:dyDescent="0.2">
      <c r="A33" s="582" t="s">
        <v>503</v>
      </c>
      <c r="B33" s="583" t="s">
        <v>448</v>
      </c>
      <c r="C33" s="583" t="s">
        <v>449</v>
      </c>
      <c r="D33" s="531"/>
      <c r="K33" s="261" t="s">
        <v>504</v>
      </c>
      <c r="L33" s="96">
        <f>L31/L30</f>
        <v>21.693661971830988</v>
      </c>
      <c r="M33" s="274">
        <v>12.3</v>
      </c>
      <c r="O33" s="450"/>
      <c r="S33"/>
    </row>
    <row r="34" spans="1:27" ht="12.75" x14ac:dyDescent="0.2">
      <c r="A34" s="574" t="s">
        <v>505</v>
      </c>
      <c r="B34" s="575" t="s">
        <v>448</v>
      </c>
      <c r="C34" s="575" t="s">
        <v>449</v>
      </c>
      <c r="K34" s="261" t="s">
        <v>506</v>
      </c>
      <c r="L34" s="102">
        <f>VLOOKUP($M$33,'Base Total'!A:C,2,0)</f>
        <v>943.5</v>
      </c>
      <c r="M34" s="545" t="s">
        <v>507</v>
      </c>
      <c r="S34" s="536"/>
      <c r="T34" s="536"/>
      <c r="U34" s="536"/>
      <c r="V34" s="536"/>
    </row>
    <row r="35" spans="1:27" ht="16.5" thickBot="1" x14ac:dyDescent="0.3">
      <c r="A35" s="574" t="s">
        <v>508</v>
      </c>
      <c r="B35" s="575" t="s">
        <v>448</v>
      </c>
      <c r="C35" s="575" t="s">
        <v>449</v>
      </c>
      <c r="K35" s="264" t="s">
        <v>509</v>
      </c>
      <c r="L35" s="265">
        <f>VLOOKUP($M$33,'Base Total'!A:C,3,0)</f>
        <v>1047.75</v>
      </c>
      <c r="M35" s="266"/>
      <c r="S35" s="551"/>
      <c r="T35" s="536"/>
      <c r="U35" s="536"/>
      <c r="V35" s="536"/>
    </row>
    <row r="36" spans="1:27" ht="15.75" x14ac:dyDescent="0.2">
      <c r="A36" s="574" t="s">
        <v>510</v>
      </c>
      <c r="B36" s="575" t="s">
        <v>448</v>
      </c>
      <c r="C36" s="575" t="s">
        <v>449</v>
      </c>
      <c r="K36" s="521"/>
      <c r="L36" s="522"/>
      <c r="O36" s="75"/>
      <c r="S36" s="528"/>
      <c r="T36" s="528"/>
      <c r="U36" s="536"/>
      <c r="V36" s="536"/>
      <c r="X36" s="526"/>
      <c r="Y36" s="526"/>
    </row>
    <row r="37" spans="1:27" ht="15.75" x14ac:dyDescent="0.25">
      <c r="A37" s="574" t="s">
        <v>511</v>
      </c>
      <c r="B37" s="575" t="s">
        <v>448</v>
      </c>
      <c r="C37" s="575" t="s">
        <v>449</v>
      </c>
      <c r="K37" s="521"/>
      <c r="L37" s="522"/>
      <c r="S37" s="551"/>
      <c r="T37" s="536"/>
      <c r="U37" s="536"/>
      <c r="V37" s="536"/>
      <c r="X37" s="526"/>
      <c r="Y37" s="526"/>
    </row>
    <row r="38" spans="1:27" ht="15.75" x14ac:dyDescent="0.2">
      <c r="A38" s="576" t="s">
        <v>512</v>
      </c>
      <c r="B38" s="577" t="s">
        <v>448</v>
      </c>
      <c r="C38" s="575" t="s">
        <v>449</v>
      </c>
      <c r="K38" s="77"/>
      <c r="O38" s="75"/>
      <c r="S38" s="536"/>
      <c r="T38" s="536"/>
      <c r="U38" s="536"/>
      <c r="V38" s="536"/>
      <c r="X38" s="526"/>
      <c r="Y38" s="527"/>
    </row>
    <row r="39" spans="1:27" ht="12.75" x14ac:dyDescent="0.2">
      <c r="A39" s="576" t="s">
        <v>513</v>
      </c>
      <c r="B39" s="577" t="s">
        <v>448</v>
      </c>
      <c r="C39" s="575" t="s">
        <v>449</v>
      </c>
      <c r="E39" s="75" t="s">
        <v>257</v>
      </c>
      <c r="S39"/>
      <c r="T39" s="536"/>
      <c r="U39" s="536"/>
      <c r="V39" s="536"/>
      <c r="X39" s="536"/>
      <c r="Y39" s="536"/>
      <c r="Z39" s="536"/>
      <c r="AA39" s="536"/>
    </row>
    <row r="40" spans="1:27" ht="15.75" x14ac:dyDescent="0.2">
      <c r="A40" s="576" t="s">
        <v>514</v>
      </c>
      <c r="B40" s="577" t="s">
        <v>448</v>
      </c>
      <c r="C40" s="575" t="s">
        <v>449</v>
      </c>
      <c r="S40"/>
      <c r="V40" s="526"/>
      <c r="W40" s="527"/>
      <c r="X40" s="536"/>
      <c r="Y40" s="536"/>
      <c r="Z40" s="536"/>
      <c r="AA40" s="536"/>
    </row>
    <row r="41" spans="1:27" ht="13.5" customHeight="1" x14ac:dyDescent="0.2">
      <c r="A41" s="576" t="s">
        <v>515</v>
      </c>
      <c r="B41" s="577" t="s">
        <v>516</v>
      </c>
      <c r="C41" s="575"/>
      <c r="K41" s="77"/>
      <c r="L41" s="75"/>
      <c r="M41" s="75"/>
      <c r="N41" s="75"/>
      <c r="O41" s="75"/>
      <c r="P41"/>
      <c r="S41"/>
      <c r="V41" s="550"/>
      <c r="W41" s="527"/>
      <c r="X41" s="536"/>
      <c r="Y41" s="536"/>
      <c r="Z41" s="536"/>
      <c r="AA41" s="536"/>
    </row>
    <row r="42" spans="1:27" ht="12.75" x14ac:dyDescent="0.2">
      <c r="A42" s="352" t="s">
        <v>517</v>
      </c>
      <c r="B42" s="354"/>
      <c r="C42" s="354" t="s">
        <v>449</v>
      </c>
      <c r="E42" s="528"/>
      <c r="F42" s="528"/>
      <c r="I42" s="277"/>
      <c r="K42" s="77"/>
      <c r="L42" s="75"/>
      <c r="M42" s="75"/>
      <c r="N42" s="75"/>
      <c r="O42" s="75"/>
      <c r="P42" s="530"/>
      <c r="S42" s="536"/>
      <c r="T42" s="536"/>
      <c r="U42" s="536"/>
      <c r="V42" s="536"/>
      <c r="X42" s="536"/>
      <c r="Y42" s="536"/>
      <c r="Z42" s="536"/>
      <c r="AA42" s="536"/>
    </row>
    <row r="43" spans="1:27" ht="15.75" x14ac:dyDescent="0.2">
      <c r="A43" s="352" t="s">
        <v>518</v>
      </c>
      <c r="B43" s="353" t="s">
        <v>519</v>
      </c>
      <c r="C43" s="353" t="s">
        <v>449</v>
      </c>
      <c r="E43" s="526"/>
      <c r="F43" s="527"/>
      <c r="K43" s="77"/>
      <c r="L43" s="75"/>
      <c r="M43" s="75"/>
      <c r="N43" s="75"/>
      <c r="O43" s="75"/>
      <c r="P43" s="528"/>
      <c r="S43" s="536"/>
      <c r="T43" s="536"/>
      <c r="U43" s="536"/>
      <c r="V43"/>
    </row>
    <row r="44" spans="1:27" ht="14.25" customHeight="1" x14ac:dyDescent="0.2">
      <c r="A44" s="578" t="s">
        <v>520</v>
      </c>
      <c r="B44" s="578" t="s">
        <v>521</v>
      </c>
      <c r="C44" s="578" t="s">
        <v>449</v>
      </c>
      <c r="E44"/>
      <c r="F44"/>
      <c r="G44"/>
      <c r="H44"/>
      <c r="K44" s="536"/>
      <c r="L44" s="536"/>
      <c r="M44" s="536"/>
      <c r="N44" s="75"/>
      <c r="O44" s="75"/>
      <c r="P44"/>
      <c r="S44"/>
      <c r="T44"/>
      <c r="U44"/>
      <c r="V44"/>
    </row>
    <row r="45" spans="1:27" x14ac:dyDescent="0.2">
      <c r="A45" s="352" t="s">
        <v>522</v>
      </c>
      <c r="B45" s="353"/>
      <c r="C45" s="353" t="s">
        <v>448</v>
      </c>
    </row>
    <row r="46" spans="1:27" x14ac:dyDescent="0.2">
      <c r="A46" s="352" t="s">
        <v>523</v>
      </c>
      <c r="B46" s="353"/>
      <c r="C46" s="353" t="s">
        <v>448</v>
      </c>
    </row>
    <row r="47" spans="1:27" ht="15.75" x14ac:dyDescent="0.2">
      <c r="A47" s="570" t="s">
        <v>524</v>
      </c>
      <c r="B47" s="571" t="s">
        <v>525</v>
      </c>
      <c r="C47" s="571" t="s">
        <v>448</v>
      </c>
      <c r="E47"/>
      <c r="F47"/>
      <c r="G47"/>
      <c r="H47"/>
      <c r="L47" s="75"/>
      <c r="P47" s="526"/>
      <c r="S47" s="550"/>
    </row>
    <row r="48" spans="1:27" ht="15.75" x14ac:dyDescent="0.2">
      <c r="A48" s="570" t="s">
        <v>526</v>
      </c>
      <c r="B48" s="571" t="s">
        <v>527</v>
      </c>
      <c r="C48" s="571" t="s">
        <v>448</v>
      </c>
      <c r="F48" s="528"/>
      <c r="G48" s="528"/>
      <c r="L48" s="75"/>
      <c r="P48" s="526"/>
    </row>
    <row r="50" spans="3:11" x14ac:dyDescent="0.2">
      <c r="C50" s="77"/>
    </row>
    <row r="51" spans="3:11" x14ac:dyDescent="0.2">
      <c r="C51" s="77"/>
    </row>
    <row r="52" spans="3:11" x14ac:dyDescent="0.2">
      <c r="C52" s="77"/>
    </row>
    <row r="53" spans="3:11" x14ac:dyDescent="0.2">
      <c r="C53" s="77"/>
    </row>
    <row r="54" spans="3:11" x14ac:dyDescent="0.2">
      <c r="C54" s="77"/>
    </row>
    <row r="56" spans="3:11" ht="12.75" x14ac:dyDescent="0.2">
      <c r="K56"/>
    </row>
    <row r="57" spans="3:11" ht="12.75" x14ac:dyDescent="0.2">
      <c r="K57"/>
    </row>
  </sheetData>
  <mergeCells count="3">
    <mergeCell ref="A7:C8"/>
    <mergeCell ref="R1:T1"/>
    <mergeCell ref="S21:V21"/>
  </mergeCells>
  <pageMargins left="0.25" right="0.25" top="0.75" bottom="0.75" header="0.3" footer="0.3"/>
  <pageSetup paperSize="9" fitToHeight="0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07"/>
  <dimension ref="B1:AT49"/>
  <sheetViews>
    <sheetView showGridLines="0" showRowColHeaders="0" tabSelected="1" zoomScale="110" zoomScaleNormal="110" workbookViewId="0">
      <selection activeCell="Q10" sqref="Q10"/>
    </sheetView>
  </sheetViews>
  <sheetFormatPr defaultColWidth="9.140625" defaultRowHeight="12.75" x14ac:dyDescent="0.2"/>
  <cols>
    <col min="1" max="1" width="5.7109375" style="79" customWidth="1"/>
    <col min="2" max="2" width="13.42578125" style="79" bestFit="1" customWidth="1"/>
    <col min="3" max="3" width="9" style="79" bestFit="1" customWidth="1"/>
    <col min="4" max="4" width="10" style="79" bestFit="1" customWidth="1"/>
    <col min="5" max="5" width="14.5703125" style="79" customWidth="1"/>
    <col min="6" max="6" width="8.140625" style="79" customWidth="1"/>
    <col min="7" max="7" width="5.7109375" style="79" customWidth="1"/>
    <col min="8" max="8" width="7" style="79" customWidth="1"/>
    <col min="9" max="9" width="4.42578125" style="79" customWidth="1"/>
    <col min="10" max="10" width="6.85546875" style="79" customWidth="1"/>
    <col min="11" max="11" width="3.85546875" style="79" customWidth="1"/>
    <col min="12" max="12" width="14.5703125" style="79" customWidth="1"/>
    <col min="13" max="13" width="12.42578125" style="79" customWidth="1"/>
    <col min="14" max="14" width="6" style="79" customWidth="1"/>
    <col min="15" max="15" width="9.140625" style="79"/>
    <col min="16" max="16" width="8.85546875" style="79" customWidth="1"/>
    <col min="17" max="17" width="9.140625" style="79" customWidth="1"/>
    <col min="18" max="16384" width="9.140625" style="79"/>
  </cols>
  <sheetData>
    <row r="1" spans="2:46" ht="4.5" customHeight="1" x14ac:dyDescent="0.2">
      <c r="B1" s="607"/>
      <c r="C1" s="607"/>
    </row>
    <row r="2" spans="2:46" ht="29.25" customHeight="1" x14ac:dyDescent="0.2"/>
    <row r="3" spans="2:46" ht="6.75" customHeight="1" x14ac:dyDescent="0.2"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  <c r="AG3" s="529"/>
      <c r="AH3" s="529"/>
      <c r="AI3" s="529"/>
      <c r="AJ3" s="529"/>
      <c r="AK3" s="529"/>
      <c r="AL3" s="529"/>
      <c r="AM3" s="529"/>
      <c r="AN3" s="529"/>
      <c r="AO3" s="529"/>
      <c r="AP3" s="529"/>
      <c r="AQ3" s="529"/>
      <c r="AR3" s="529"/>
      <c r="AS3" s="529"/>
      <c r="AT3" s="529"/>
    </row>
    <row r="4" spans="2:46" ht="34.5" customHeight="1" x14ac:dyDescent="0.2">
      <c r="O4" s="529"/>
      <c r="P4" s="529"/>
      <c r="Q4" s="529"/>
      <c r="R4" s="529"/>
      <c r="S4" s="529"/>
      <c r="T4" s="529"/>
      <c r="U4" s="529"/>
      <c r="V4" s="529"/>
      <c r="W4" s="529"/>
      <c r="X4" s="529"/>
      <c r="Y4" s="529"/>
      <c r="Z4" s="529"/>
      <c r="AA4" s="529"/>
      <c r="AB4" s="529"/>
      <c r="AC4" s="529"/>
      <c r="AD4" s="529"/>
      <c r="AE4" s="529"/>
      <c r="AF4" s="529"/>
      <c r="AG4" s="529"/>
      <c r="AH4" s="529"/>
      <c r="AI4" s="529"/>
      <c r="AJ4" s="529"/>
      <c r="AK4" s="529"/>
      <c r="AL4" s="529"/>
      <c r="AM4" s="529"/>
      <c r="AN4" s="529"/>
      <c r="AO4" s="529"/>
      <c r="AP4" s="529"/>
      <c r="AQ4" s="529"/>
      <c r="AR4" s="529"/>
      <c r="AS4" s="529"/>
      <c r="AT4" s="529"/>
    </row>
    <row r="5" spans="2:46" ht="6.75" customHeight="1" x14ac:dyDescent="0.2"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9"/>
      <c r="AF5" s="529"/>
      <c r="AG5" s="529"/>
      <c r="AH5" s="529"/>
      <c r="AI5" s="529"/>
      <c r="AJ5" s="529"/>
      <c r="AK5" s="529"/>
      <c r="AL5" s="529"/>
      <c r="AM5" s="529"/>
      <c r="AN5" s="529"/>
      <c r="AO5" s="529"/>
      <c r="AP5" s="529"/>
      <c r="AQ5" s="529"/>
      <c r="AR5" s="529"/>
      <c r="AS5" s="529"/>
      <c r="AT5" s="529"/>
    </row>
    <row r="6" spans="2:46" ht="34.5" customHeight="1" x14ac:dyDescent="0.2">
      <c r="O6" s="529"/>
      <c r="P6" s="529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529"/>
      <c r="AM6" s="529"/>
      <c r="AN6" s="529"/>
      <c r="AO6" s="529"/>
      <c r="AP6" s="529"/>
      <c r="AQ6" s="529"/>
      <c r="AR6" s="529"/>
      <c r="AS6" s="529"/>
      <c r="AT6" s="529"/>
    </row>
    <row r="7" spans="2:46" ht="6.75" customHeight="1" x14ac:dyDescent="0.2">
      <c r="O7" s="529"/>
      <c r="P7" s="529"/>
      <c r="Q7" s="529"/>
      <c r="R7" s="529"/>
      <c r="S7" s="529"/>
      <c r="T7" s="529"/>
      <c r="U7" s="529"/>
      <c r="V7" s="529"/>
      <c r="W7" s="529"/>
      <c r="X7" s="529"/>
      <c r="Y7" s="529"/>
      <c r="Z7" s="529"/>
      <c r="AA7" s="529"/>
      <c r="AB7" s="529"/>
      <c r="AC7" s="529"/>
      <c r="AD7" s="529"/>
      <c r="AE7" s="529"/>
      <c r="AF7" s="529"/>
      <c r="AG7" s="529"/>
      <c r="AH7" s="529"/>
      <c r="AI7" s="529"/>
      <c r="AJ7" s="529"/>
      <c r="AK7" s="529"/>
      <c r="AL7" s="529"/>
      <c r="AM7" s="529"/>
      <c r="AN7" s="529"/>
      <c r="AO7" s="529"/>
      <c r="AP7" s="529"/>
      <c r="AQ7" s="529"/>
      <c r="AR7" s="529"/>
      <c r="AS7" s="529"/>
      <c r="AT7" s="529"/>
    </row>
    <row r="8" spans="2:46" ht="34.5" customHeight="1" x14ac:dyDescent="0.2">
      <c r="O8" s="529"/>
      <c r="P8" s="529"/>
      <c r="Q8" s="529"/>
      <c r="R8" s="529"/>
      <c r="S8" s="529"/>
      <c r="T8" s="529"/>
      <c r="U8" s="529"/>
      <c r="V8" s="529"/>
      <c r="W8" s="529"/>
      <c r="X8" s="529"/>
      <c r="Y8" s="529"/>
      <c r="Z8" s="529"/>
      <c r="AA8" s="529"/>
      <c r="AB8" s="529"/>
      <c r="AC8" s="529"/>
      <c r="AD8" s="529"/>
      <c r="AE8" s="529"/>
      <c r="AF8" s="529"/>
      <c r="AG8" s="529"/>
      <c r="AH8" s="529"/>
      <c r="AI8" s="529"/>
      <c r="AJ8" s="529"/>
      <c r="AK8" s="529"/>
      <c r="AL8" s="529"/>
      <c r="AM8" s="529"/>
      <c r="AN8" s="529"/>
      <c r="AO8" s="529"/>
      <c r="AP8" s="529"/>
      <c r="AQ8" s="529"/>
      <c r="AR8" s="529"/>
      <c r="AS8" s="529"/>
      <c r="AT8" s="529"/>
    </row>
    <row r="9" spans="2:46" ht="6.75" customHeight="1" x14ac:dyDescent="0.2">
      <c r="O9" s="529"/>
      <c r="P9" s="529"/>
      <c r="Q9" s="529"/>
      <c r="R9" s="529"/>
      <c r="S9" s="529"/>
      <c r="T9" s="529"/>
      <c r="U9" s="529"/>
      <c r="V9" s="529"/>
      <c r="W9" s="529"/>
      <c r="X9" s="529"/>
      <c r="Y9" s="529"/>
      <c r="Z9" s="529"/>
      <c r="AA9" s="529"/>
      <c r="AB9" s="529"/>
      <c r="AC9" s="529"/>
      <c r="AD9" s="529"/>
      <c r="AE9" s="529"/>
      <c r="AF9" s="529"/>
      <c r="AG9" s="529"/>
      <c r="AH9" s="529"/>
      <c r="AI9" s="529"/>
      <c r="AJ9" s="529"/>
      <c r="AK9" s="529"/>
      <c r="AL9" s="529"/>
      <c r="AM9" s="529"/>
      <c r="AN9" s="529"/>
      <c r="AO9" s="529"/>
      <c r="AP9" s="529"/>
      <c r="AQ9" s="529"/>
      <c r="AR9" s="529"/>
      <c r="AS9" s="529"/>
      <c r="AT9" s="529"/>
    </row>
    <row r="10" spans="2:46" ht="34.5" customHeight="1" x14ac:dyDescent="0.2">
      <c r="O10" s="529"/>
      <c r="P10" s="529"/>
      <c r="Q10" s="529"/>
      <c r="R10" s="529"/>
      <c r="S10" s="529"/>
      <c r="T10" s="529"/>
      <c r="U10" s="529"/>
      <c r="V10" s="529"/>
      <c r="W10" s="529"/>
      <c r="X10" s="529"/>
      <c r="Y10" s="529"/>
      <c r="Z10" s="529"/>
      <c r="AA10" s="529"/>
      <c r="AB10" s="529"/>
      <c r="AC10" s="529"/>
      <c r="AD10" s="529"/>
      <c r="AE10" s="529"/>
      <c r="AF10" s="529"/>
      <c r="AG10" s="529"/>
      <c r="AH10" s="529"/>
      <c r="AI10" s="529"/>
      <c r="AJ10" s="529"/>
      <c r="AK10" s="529"/>
      <c r="AL10" s="529"/>
      <c r="AM10" s="529"/>
      <c r="AN10" s="529"/>
      <c r="AO10" s="529"/>
      <c r="AP10" s="529"/>
      <c r="AQ10" s="529"/>
      <c r="AR10" s="529"/>
      <c r="AS10" s="529"/>
      <c r="AT10" s="529"/>
    </row>
    <row r="11" spans="2:46" ht="6.75" customHeight="1" x14ac:dyDescent="0.2">
      <c r="O11" s="529"/>
      <c r="P11" s="529"/>
      <c r="Q11" s="529"/>
      <c r="R11" s="529"/>
      <c r="S11" s="529"/>
      <c r="T11" s="529"/>
      <c r="U11" s="529"/>
      <c r="V11" s="529"/>
      <c r="W11" s="529"/>
      <c r="X11" s="529" t="s">
        <v>257</v>
      </c>
      <c r="Y11" s="529"/>
      <c r="Z11" s="529"/>
      <c r="AA11" s="529"/>
      <c r="AB11" s="529"/>
      <c r="AC11" s="529"/>
      <c r="AD11" s="529"/>
      <c r="AE11" s="529"/>
      <c r="AF11" s="529"/>
      <c r="AG11" s="529"/>
      <c r="AH11" s="529"/>
      <c r="AI11" s="529"/>
      <c r="AJ11" s="529"/>
      <c r="AK11" s="529"/>
      <c r="AL11" s="529"/>
      <c r="AM11" s="529"/>
      <c r="AN11" s="529"/>
      <c r="AO11" s="529"/>
      <c r="AP11" s="529"/>
      <c r="AQ11" s="529"/>
      <c r="AR11" s="529"/>
      <c r="AS11" s="529"/>
      <c r="AT11" s="529"/>
    </row>
    <row r="12" spans="2:46" x14ac:dyDescent="0.2">
      <c r="O12" s="529"/>
      <c r="P12" s="529"/>
      <c r="Q12" s="529"/>
      <c r="R12" s="529"/>
      <c r="S12" s="529"/>
      <c r="T12" s="529"/>
      <c r="U12" s="529"/>
      <c r="V12" s="529"/>
      <c r="W12" s="529"/>
      <c r="X12" s="529"/>
      <c r="Y12" s="529"/>
      <c r="Z12" s="529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529"/>
      <c r="AN12" s="529"/>
      <c r="AO12" s="529"/>
      <c r="AP12" s="529"/>
      <c r="AQ12" s="529"/>
      <c r="AR12" s="529"/>
      <c r="AS12" s="529"/>
      <c r="AT12" s="529"/>
    </row>
    <row r="13" spans="2:46" x14ac:dyDescent="0.2"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</row>
    <row r="14" spans="2:46" x14ac:dyDescent="0.2"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</row>
    <row r="15" spans="2:46" x14ac:dyDescent="0.2"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</row>
    <row r="16" spans="2:46" x14ac:dyDescent="0.2"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</row>
    <row r="17" spans="2:46" x14ac:dyDescent="0.2"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</row>
    <row r="18" spans="2:46" x14ac:dyDescent="0.2"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</row>
    <row r="19" spans="2:46" x14ac:dyDescent="0.2">
      <c r="O19" s="529"/>
      <c r="P19" s="529"/>
      <c r="Q19" s="529"/>
      <c r="R19" s="529"/>
      <c r="S19" s="529"/>
      <c r="T19" s="529"/>
      <c r="U19" s="529"/>
      <c r="V19" s="529"/>
      <c r="W19" s="529"/>
      <c r="X19" s="529"/>
      <c r="Y19" s="529"/>
      <c r="Z19" s="529"/>
      <c r="AA19" s="529"/>
      <c r="AB19" s="529"/>
      <c r="AC19" s="529"/>
      <c r="AD19" s="529"/>
      <c r="AE19" s="529"/>
      <c r="AF19" s="529"/>
      <c r="AG19" s="529"/>
      <c r="AH19" s="529"/>
      <c r="AI19" s="529"/>
      <c r="AJ19" s="529"/>
      <c r="AK19" s="529"/>
      <c r="AL19" s="529"/>
      <c r="AM19" s="529"/>
      <c r="AN19" s="529"/>
      <c r="AO19" s="529"/>
      <c r="AP19" s="529"/>
      <c r="AQ19" s="529"/>
      <c r="AR19" s="529"/>
      <c r="AS19" s="529"/>
      <c r="AT19" s="529"/>
    </row>
    <row r="20" spans="2:46" x14ac:dyDescent="0.2">
      <c r="O20" s="529"/>
      <c r="P20" s="529"/>
      <c r="Q20" s="529"/>
      <c r="R20" s="529"/>
      <c r="S20" s="529"/>
      <c r="T20" s="529"/>
      <c r="U20" s="529"/>
      <c r="V20" s="529"/>
      <c r="W20" s="529"/>
      <c r="X20" s="529"/>
      <c r="Y20" s="529"/>
      <c r="Z20" s="529"/>
      <c r="AA20" s="529"/>
      <c r="AB20" s="529"/>
      <c r="AC20" s="529"/>
      <c r="AD20" s="529"/>
      <c r="AE20" s="529"/>
      <c r="AF20" s="529"/>
      <c r="AG20" s="529"/>
      <c r="AH20" s="529"/>
      <c r="AI20" s="529"/>
      <c r="AJ20" s="529"/>
      <c r="AK20" s="529"/>
      <c r="AL20" s="529"/>
      <c r="AM20" s="529"/>
      <c r="AN20" s="529"/>
      <c r="AO20" s="529"/>
      <c r="AP20" s="529"/>
      <c r="AQ20" s="529"/>
      <c r="AR20" s="529"/>
      <c r="AS20" s="529"/>
      <c r="AT20" s="529"/>
    </row>
    <row r="21" spans="2:46" x14ac:dyDescent="0.2">
      <c r="O21" s="529"/>
      <c r="P21" s="529"/>
      <c r="Q21" s="529"/>
      <c r="R21" s="529"/>
      <c r="S21" s="529"/>
      <c r="T21" s="529"/>
      <c r="U21" s="529"/>
      <c r="V21" s="529"/>
      <c r="W21" s="529"/>
      <c r="X21" s="529"/>
      <c r="Y21" s="529"/>
      <c r="Z21" s="529"/>
      <c r="AA21" s="529"/>
      <c r="AB21" s="529"/>
      <c r="AC21" s="529"/>
      <c r="AD21" s="529"/>
      <c r="AE21" s="529"/>
      <c r="AF21" s="529"/>
      <c r="AG21" s="529"/>
      <c r="AH21" s="529"/>
      <c r="AI21" s="529"/>
      <c r="AJ21" s="529"/>
      <c r="AK21" s="529"/>
      <c r="AL21" s="529"/>
      <c r="AM21" s="529"/>
      <c r="AN21" s="529"/>
      <c r="AO21" s="529"/>
      <c r="AP21" s="529"/>
      <c r="AQ21" s="529"/>
      <c r="AR21" s="529"/>
      <c r="AS21" s="529"/>
      <c r="AT21" s="529"/>
    </row>
    <row r="22" spans="2:46" ht="13.5" thickBot="1" x14ac:dyDescent="0.25">
      <c r="O22" s="529"/>
      <c r="P22" s="529"/>
      <c r="Q22" s="529"/>
      <c r="R22" s="529"/>
      <c r="S22" s="529"/>
      <c r="T22" s="529"/>
      <c r="U22" s="529"/>
      <c r="V22" s="529"/>
      <c r="W22" s="529"/>
      <c r="X22" s="529"/>
      <c r="Y22" s="529"/>
      <c r="Z22" s="529"/>
      <c r="AA22" s="529"/>
      <c r="AB22" s="529"/>
      <c r="AC22" s="529"/>
      <c r="AD22" s="529"/>
      <c r="AE22" s="529"/>
      <c r="AF22" s="529"/>
      <c r="AG22" s="529"/>
      <c r="AH22" s="529"/>
      <c r="AI22" s="529"/>
      <c r="AJ22" s="529"/>
      <c r="AK22" s="529"/>
      <c r="AL22" s="529"/>
      <c r="AM22" s="529"/>
      <c r="AN22" s="529"/>
      <c r="AO22" s="529"/>
      <c r="AP22" s="529"/>
      <c r="AQ22" s="529"/>
      <c r="AR22" s="529"/>
      <c r="AS22" s="529"/>
      <c r="AT22" s="529"/>
    </row>
    <row r="23" spans="2:46" ht="13.5" thickBot="1" x14ac:dyDescent="0.25">
      <c r="B23" s="237" t="s">
        <v>528</v>
      </c>
      <c r="C23" s="237" cm="1">
        <f t="array" ref="C23">SUMPRODUCT((PUXADA!I2:I4&lt;&gt;"")/COUNTIF(PUXADA!I2:I4,PUXADA!I2:I4&amp;""))</f>
        <v>3</v>
      </c>
      <c r="D23" s="237"/>
      <c r="J23" s="240">
        <v>1</v>
      </c>
      <c r="K23" s="604" t="s">
        <v>529</v>
      </c>
      <c r="L23" s="605"/>
      <c r="M23" s="606"/>
      <c r="O23" s="529"/>
      <c r="P23" s="529"/>
      <c r="Q23" s="529"/>
      <c r="R23" s="529"/>
      <c r="S23" s="529"/>
      <c r="T23" s="529"/>
      <c r="U23" s="529"/>
      <c r="V23" s="529"/>
      <c r="W23" s="529"/>
      <c r="X23" s="529"/>
      <c r="Y23" s="529"/>
      <c r="Z23" s="529"/>
      <c r="AA23" s="529"/>
      <c r="AB23" s="529"/>
      <c r="AC23" s="529"/>
      <c r="AD23" s="529"/>
      <c r="AE23" s="529"/>
      <c r="AF23" s="529"/>
      <c r="AG23" s="529"/>
      <c r="AH23" s="529"/>
      <c r="AI23" s="529"/>
      <c r="AJ23" s="529"/>
      <c r="AK23" s="529"/>
      <c r="AL23" s="529"/>
      <c r="AM23" s="529"/>
      <c r="AN23" s="529"/>
      <c r="AO23" s="529"/>
      <c r="AP23" s="529"/>
      <c r="AQ23" s="529"/>
      <c r="AR23" s="529"/>
      <c r="AS23" s="529"/>
      <c r="AT23" s="529"/>
    </row>
    <row r="24" spans="2:46" ht="13.5" thickBot="1" x14ac:dyDescent="0.25">
      <c r="B24" s="237" t="s">
        <v>17</v>
      </c>
      <c r="C24" s="237" t="s">
        <v>430</v>
      </c>
      <c r="D24" s="338" t="s">
        <v>530</v>
      </c>
      <c r="J24" s="240">
        <v>2</v>
      </c>
      <c r="K24" s="604" t="s">
        <v>531</v>
      </c>
      <c r="L24" s="605"/>
      <c r="M24" s="606"/>
      <c r="O24" s="529"/>
      <c r="P24" s="529"/>
      <c r="Q24" s="529"/>
      <c r="R24" s="529"/>
      <c r="S24" s="529"/>
      <c r="T24" s="529"/>
      <c r="U24" s="529"/>
      <c r="V24" s="529"/>
      <c r="W24" s="529"/>
      <c r="X24" s="529"/>
      <c r="Y24" s="529"/>
      <c r="Z24" s="529"/>
      <c r="AA24" s="529"/>
      <c r="AB24" s="529"/>
      <c r="AC24" s="529"/>
      <c r="AD24" s="529"/>
      <c r="AE24" s="529"/>
      <c r="AF24" s="529"/>
      <c r="AG24" s="529"/>
      <c r="AH24" s="529"/>
      <c r="AI24" s="529"/>
      <c r="AJ24" s="529"/>
      <c r="AK24" s="529"/>
      <c r="AL24" s="529"/>
      <c r="AM24" s="529"/>
      <c r="AN24" s="529"/>
      <c r="AO24" s="529"/>
      <c r="AP24" s="529"/>
      <c r="AQ24" s="529"/>
      <c r="AR24" s="529"/>
      <c r="AS24" s="529"/>
      <c r="AT24" s="529"/>
    </row>
    <row r="25" spans="2:46" ht="13.5" thickBot="1" x14ac:dyDescent="0.25">
      <c r="B25" s="238" t="s">
        <v>532</v>
      </c>
      <c r="C25" s="239">
        <f>SUMIF(HORÁRIO!$D$5:$D$13,Início!$B$25,HORÁRIO!$I$5:$I$13)</f>
        <v>0</v>
      </c>
      <c r="D25" s="238">
        <f>SUMIF(HORÁRIO!$D$5:$D$13,Início!$B$25,HORÁRIO!$L$5:$L$13)</f>
        <v>0</v>
      </c>
      <c r="J25" s="240">
        <v>3</v>
      </c>
      <c r="K25" s="604" t="s">
        <v>533</v>
      </c>
      <c r="L25" s="605"/>
      <c r="M25" s="606"/>
      <c r="O25" s="529"/>
      <c r="P25" s="529"/>
      <c r="Q25" s="529"/>
      <c r="R25" s="529"/>
      <c r="S25" s="529"/>
      <c r="T25" s="529"/>
      <c r="U25" s="529"/>
      <c r="V25" s="529"/>
      <c r="W25" s="529"/>
      <c r="X25" s="529"/>
      <c r="Y25" s="529"/>
      <c r="Z25" s="529"/>
      <c r="AA25" s="529"/>
      <c r="AB25" s="529"/>
      <c r="AC25" s="529"/>
      <c r="AD25" s="529"/>
      <c r="AE25" s="529"/>
      <c r="AF25" s="529"/>
      <c r="AG25" s="529"/>
      <c r="AH25" s="529"/>
      <c r="AI25" s="529"/>
      <c r="AJ25" s="529"/>
      <c r="AK25" s="529"/>
      <c r="AL25" s="529"/>
      <c r="AM25" s="529"/>
      <c r="AN25" s="529"/>
      <c r="AO25" s="529"/>
      <c r="AP25" s="529"/>
      <c r="AQ25" s="529"/>
      <c r="AR25" s="529"/>
      <c r="AS25" s="529"/>
      <c r="AT25" s="529"/>
    </row>
    <row r="26" spans="2:46" ht="13.5" thickBot="1" x14ac:dyDescent="0.25">
      <c r="J26" s="240">
        <v>4</v>
      </c>
      <c r="K26" s="604" t="s">
        <v>534</v>
      </c>
      <c r="L26" s="605"/>
      <c r="M26" s="606"/>
      <c r="O26" s="529"/>
      <c r="P26" s="529"/>
      <c r="Q26" s="529"/>
      <c r="R26" s="529"/>
      <c r="S26" s="529"/>
      <c r="T26" s="529"/>
      <c r="U26" s="529"/>
      <c r="V26" s="529"/>
      <c r="W26" s="529"/>
      <c r="X26" s="529"/>
      <c r="Y26" s="529"/>
      <c r="Z26" s="529"/>
      <c r="AA26" s="529"/>
      <c r="AB26" s="529"/>
      <c r="AC26" s="529"/>
      <c r="AD26" s="529"/>
      <c r="AE26" s="529"/>
      <c r="AF26" s="529"/>
      <c r="AG26" s="529"/>
      <c r="AH26" s="529"/>
      <c r="AI26" s="529"/>
      <c r="AJ26" s="529"/>
      <c r="AK26" s="529"/>
      <c r="AL26" s="529"/>
      <c r="AM26" s="529"/>
      <c r="AN26" s="529"/>
      <c r="AO26" s="529"/>
      <c r="AP26" s="529"/>
      <c r="AQ26" s="529"/>
      <c r="AR26" s="529"/>
      <c r="AS26" s="529"/>
      <c r="AT26" s="529"/>
    </row>
    <row r="27" spans="2:46" ht="13.5" thickBot="1" x14ac:dyDescent="0.25">
      <c r="B27" s="603" t="s">
        <v>535</v>
      </c>
      <c r="C27" s="603"/>
      <c r="D27" s="603"/>
      <c r="E27" s="603"/>
      <c r="J27" s="240">
        <v>5</v>
      </c>
      <c r="K27" s="604" t="s">
        <v>536</v>
      </c>
      <c r="L27" s="605"/>
      <c r="M27" s="606"/>
      <c r="O27" s="529"/>
      <c r="P27" s="529"/>
      <c r="Q27" s="529"/>
      <c r="R27" s="529"/>
      <c r="S27" s="529"/>
      <c r="T27" s="529"/>
      <c r="U27" s="529"/>
      <c r="V27" s="529"/>
      <c r="W27" s="529"/>
      <c r="X27" s="529"/>
      <c r="Y27" s="529"/>
      <c r="Z27" s="529"/>
      <c r="AA27" s="529"/>
      <c r="AB27" s="529"/>
      <c r="AC27" s="529"/>
      <c r="AD27" s="529"/>
      <c r="AE27" s="529"/>
      <c r="AF27" s="529"/>
      <c r="AG27" s="529"/>
      <c r="AH27" s="529"/>
      <c r="AI27" s="529"/>
      <c r="AJ27" s="529"/>
      <c r="AK27" s="529"/>
      <c r="AL27" s="529"/>
      <c r="AM27" s="529"/>
      <c r="AN27" s="529"/>
      <c r="AO27" s="529"/>
      <c r="AP27" s="529"/>
      <c r="AQ27" s="529"/>
      <c r="AR27" s="529"/>
      <c r="AS27" s="529"/>
      <c r="AT27" s="529"/>
    </row>
    <row r="28" spans="2:46" ht="13.5" thickBot="1" x14ac:dyDescent="0.25">
      <c r="B28" s="238" t="s">
        <v>537</v>
      </c>
      <c r="C28" s="241" t="s">
        <v>538</v>
      </c>
      <c r="D28" s="238" t="s">
        <v>263</v>
      </c>
      <c r="E28" s="238" t="s">
        <v>539</v>
      </c>
      <c r="O28" s="529"/>
      <c r="P28" s="529"/>
      <c r="Q28" s="529"/>
      <c r="R28" s="529"/>
      <c r="S28" s="529"/>
      <c r="T28" s="529"/>
      <c r="U28" s="529"/>
      <c r="V28" s="529"/>
      <c r="W28" s="529"/>
      <c r="X28" s="529"/>
      <c r="Y28" s="529"/>
      <c r="Z28" s="529"/>
      <c r="AA28" s="529"/>
      <c r="AB28" s="529"/>
      <c r="AC28" s="529"/>
      <c r="AD28" s="529"/>
      <c r="AE28" s="529"/>
      <c r="AF28" s="529"/>
      <c r="AG28" s="529"/>
      <c r="AH28" s="529"/>
      <c r="AI28" s="529"/>
      <c r="AJ28" s="529"/>
      <c r="AK28" s="529"/>
      <c r="AL28" s="529"/>
      <c r="AM28" s="529"/>
      <c r="AN28" s="529"/>
      <c r="AO28" s="529"/>
      <c r="AP28" s="529"/>
      <c r="AQ28" s="529"/>
      <c r="AR28" s="529"/>
      <c r="AS28" s="529"/>
      <c r="AT28" s="529"/>
    </row>
    <row r="29" spans="2:46" ht="13.5" thickBot="1" x14ac:dyDescent="0.25">
      <c r="B29" s="237">
        <v>7035</v>
      </c>
      <c r="C29" s="242">
        <f>IFERROR(VLOOKUP(B29,'BR''S'!A:F,6,0),"")</f>
        <v>90070622</v>
      </c>
      <c r="D29" s="338" t="str">
        <f>IFERROR(VLOOKUP(B29,'BR''S'!A:F,3,0),"")</f>
        <v>BR0075542</v>
      </c>
      <c r="E29" s="237" t="str">
        <f>IFERROR(VLOOKUP(B29,'BR''S'!A:F,2,0),"")</f>
        <v>BR075542</v>
      </c>
      <c r="O29" s="529"/>
      <c r="P29" s="529"/>
      <c r="Q29" s="529"/>
      <c r="R29" s="529"/>
      <c r="S29" s="529"/>
      <c r="T29" s="529"/>
      <c r="U29" s="529"/>
      <c r="V29" s="529"/>
      <c r="W29" s="529"/>
      <c r="X29" s="529"/>
      <c r="Y29" s="529"/>
      <c r="Z29" s="529"/>
      <c r="AA29" s="529"/>
      <c r="AB29" s="529"/>
      <c r="AC29" s="529"/>
      <c r="AD29" s="529"/>
      <c r="AE29" s="529"/>
      <c r="AF29" s="529"/>
      <c r="AG29" s="529"/>
      <c r="AH29" s="529"/>
      <c r="AI29" s="529"/>
      <c r="AJ29" s="529"/>
      <c r="AK29" s="529"/>
      <c r="AL29" s="529"/>
      <c r="AM29" s="529"/>
      <c r="AN29" s="529"/>
      <c r="AO29" s="529"/>
      <c r="AP29" s="529"/>
      <c r="AQ29" s="529"/>
      <c r="AR29" s="529"/>
      <c r="AS29" s="529"/>
      <c r="AT29" s="529"/>
    </row>
    <row r="30" spans="2:46" ht="13.5" thickBot="1" x14ac:dyDescent="0.25">
      <c r="B30" s="339" t="s">
        <v>540</v>
      </c>
      <c r="C30" s="339"/>
      <c r="D30" s="339"/>
      <c r="E30" s="339"/>
      <c r="O30" s="529"/>
      <c r="P30" s="529"/>
      <c r="Q30" s="529"/>
      <c r="R30" s="529"/>
      <c r="S30" s="529"/>
      <c r="T30" s="529"/>
      <c r="U30" s="529"/>
      <c r="V30" s="529"/>
      <c r="W30" s="529"/>
      <c r="X30" s="529"/>
      <c r="Y30" s="529"/>
      <c r="Z30" s="529"/>
      <c r="AA30" s="529"/>
      <c r="AB30" s="529"/>
      <c r="AC30" s="529"/>
      <c r="AD30" s="529"/>
      <c r="AE30" s="529"/>
      <c r="AF30" s="529"/>
      <c r="AG30" s="529"/>
      <c r="AH30" s="529"/>
      <c r="AI30" s="529"/>
      <c r="AJ30" s="529"/>
      <c r="AK30" s="529"/>
      <c r="AL30" s="529"/>
      <c r="AM30" s="529"/>
      <c r="AN30" s="529"/>
      <c r="AO30" s="529"/>
      <c r="AP30" s="529"/>
      <c r="AQ30" s="529"/>
      <c r="AR30" s="529"/>
      <c r="AS30" s="529"/>
      <c r="AT30" s="529"/>
    </row>
    <row r="31" spans="2:46" x14ac:dyDescent="0.2"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529"/>
      <c r="Z31" s="529"/>
      <c r="AA31" s="529"/>
      <c r="AB31" s="529"/>
      <c r="AC31" s="529"/>
      <c r="AD31" s="529"/>
      <c r="AE31" s="529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529"/>
      <c r="AT31" s="529"/>
    </row>
    <row r="32" spans="2:46" x14ac:dyDescent="0.2">
      <c r="O32" s="529"/>
      <c r="P32" s="529"/>
      <c r="Q32" s="529"/>
      <c r="R32" s="529"/>
      <c r="S32" s="529"/>
      <c r="T32" s="529"/>
      <c r="U32" s="529"/>
      <c r="V32" s="529"/>
      <c r="W32" s="529"/>
      <c r="X32" s="529"/>
      <c r="Y32" s="529"/>
      <c r="Z32" s="529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529"/>
      <c r="AN32" s="529"/>
      <c r="AO32" s="529"/>
      <c r="AP32" s="529"/>
      <c r="AQ32" s="529"/>
      <c r="AR32" s="529"/>
      <c r="AS32" s="529"/>
      <c r="AT32" s="529"/>
    </row>
    <row r="33" spans="15:46" x14ac:dyDescent="0.2">
      <c r="O33" s="529"/>
      <c r="P33" s="529"/>
      <c r="Q33" s="529"/>
      <c r="R33" s="529"/>
      <c r="S33" s="529"/>
      <c r="T33" s="529"/>
      <c r="U33" s="529"/>
      <c r="V33" s="529"/>
      <c r="W33" s="529"/>
      <c r="X33" s="529"/>
      <c r="Y33" s="529"/>
      <c r="Z33" s="529"/>
      <c r="AA33" s="529"/>
      <c r="AB33" s="529"/>
      <c r="AC33" s="529"/>
      <c r="AD33" s="529"/>
      <c r="AE33" s="529"/>
      <c r="AF33" s="529"/>
      <c r="AG33" s="529"/>
      <c r="AH33" s="529"/>
      <c r="AI33" s="529"/>
      <c r="AJ33" s="529"/>
      <c r="AK33" s="529"/>
      <c r="AL33" s="529"/>
      <c r="AM33" s="529"/>
      <c r="AN33" s="529"/>
      <c r="AO33" s="529"/>
      <c r="AP33" s="529"/>
      <c r="AQ33" s="529"/>
      <c r="AR33" s="529"/>
      <c r="AS33" s="529"/>
      <c r="AT33" s="529"/>
    </row>
    <row r="34" spans="15:46" x14ac:dyDescent="0.2">
      <c r="O34" s="529"/>
      <c r="P34" s="529"/>
      <c r="Q34" s="529"/>
      <c r="R34" s="529"/>
      <c r="S34" s="529"/>
      <c r="T34" s="529"/>
      <c r="U34" s="529"/>
      <c r="V34" s="529"/>
      <c r="W34" s="529"/>
      <c r="X34" s="529"/>
      <c r="Y34" s="529"/>
      <c r="Z34" s="529"/>
      <c r="AA34" s="529"/>
      <c r="AB34" s="529"/>
      <c r="AC34" s="529"/>
      <c r="AD34" s="529"/>
      <c r="AE34" s="529"/>
      <c r="AF34" s="529"/>
      <c r="AG34" s="529"/>
      <c r="AH34" s="529"/>
      <c r="AI34" s="529"/>
      <c r="AJ34" s="529"/>
      <c r="AK34" s="529"/>
      <c r="AL34" s="529"/>
      <c r="AM34" s="529"/>
      <c r="AN34" s="529"/>
      <c r="AO34" s="529"/>
      <c r="AP34" s="529"/>
      <c r="AQ34" s="529"/>
      <c r="AR34" s="529"/>
      <c r="AS34" s="529"/>
      <c r="AT34" s="529"/>
    </row>
    <row r="35" spans="15:46" x14ac:dyDescent="0.2">
      <c r="O35" s="529"/>
      <c r="P35" s="529"/>
      <c r="Q35" s="529"/>
      <c r="R35" s="529"/>
      <c r="S35" s="529"/>
      <c r="T35" s="529"/>
      <c r="U35" s="529"/>
      <c r="V35" s="529"/>
      <c r="W35" s="529"/>
      <c r="X35" s="529"/>
      <c r="Y35" s="529"/>
      <c r="Z35" s="529"/>
      <c r="AA35" s="529"/>
      <c r="AB35" s="529"/>
      <c r="AC35" s="529"/>
      <c r="AD35" s="529"/>
      <c r="AE35" s="529"/>
      <c r="AF35" s="529"/>
      <c r="AG35" s="529"/>
      <c r="AH35" s="529"/>
      <c r="AI35" s="529"/>
      <c r="AJ35" s="529"/>
      <c r="AK35" s="529"/>
      <c r="AL35" s="529"/>
      <c r="AM35" s="529"/>
      <c r="AN35" s="529"/>
      <c r="AO35" s="529"/>
      <c r="AP35" s="529"/>
      <c r="AQ35" s="529"/>
      <c r="AR35" s="529"/>
      <c r="AS35" s="529"/>
      <c r="AT35" s="529"/>
    </row>
    <row r="36" spans="15:46" x14ac:dyDescent="0.2">
      <c r="O36" s="529"/>
      <c r="P36" s="529"/>
      <c r="Q36" s="529"/>
      <c r="R36" s="529"/>
      <c r="S36" s="529"/>
      <c r="T36" s="529"/>
      <c r="U36" s="529"/>
      <c r="V36" s="529"/>
      <c r="W36" s="529"/>
      <c r="X36" s="529"/>
      <c r="Y36" s="529"/>
      <c r="Z36" s="529"/>
      <c r="AA36" s="529"/>
      <c r="AB36" s="529"/>
      <c r="AC36" s="529"/>
      <c r="AD36" s="529"/>
      <c r="AE36" s="529"/>
      <c r="AF36" s="529"/>
      <c r="AG36" s="529"/>
      <c r="AH36" s="529"/>
      <c r="AI36" s="529"/>
      <c r="AJ36" s="529"/>
      <c r="AK36" s="529"/>
      <c r="AL36" s="529"/>
      <c r="AM36" s="529"/>
      <c r="AN36" s="529"/>
      <c r="AO36" s="529"/>
      <c r="AP36" s="529"/>
      <c r="AQ36" s="529"/>
      <c r="AR36" s="529"/>
      <c r="AS36" s="529"/>
      <c r="AT36" s="529"/>
    </row>
    <row r="37" spans="15:46" x14ac:dyDescent="0.2"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</row>
    <row r="38" spans="15:46" x14ac:dyDescent="0.2"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</row>
    <row r="39" spans="15:46" x14ac:dyDescent="0.2"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</row>
    <row r="40" spans="15:46" x14ac:dyDescent="0.2"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</row>
    <row r="41" spans="15:46" x14ac:dyDescent="0.2"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</row>
    <row r="42" spans="15:46" x14ac:dyDescent="0.2"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</row>
    <row r="43" spans="15:46" x14ac:dyDescent="0.2"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</row>
    <row r="44" spans="15:46" x14ac:dyDescent="0.2"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</row>
    <row r="45" spans="15:46" x14ac:dyDescent="0.2"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</row>
    <row r="46" spans="15:46" x14ac:dyDescent="0.2"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</row>
    <row r="47" spans="15:46" x14ac:dyDescent="0.2"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</row>
    <row r="48" spans="15:46" x14ac:dyDescent="0.2"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</row>
    <row r="49" spans="15:46" x14ac:dyDescent="0.2">
      <c r="O49" s="529"/>
      <c r="P49" s="529"/>
      <c r="Q49" s="529"/>
      <c r="R49" s="529"/>
      <c r="S49" s="529"/>
      <c r="T49" s="529"/>
      <c r="U49" s="529"/>
      <c r="V49" s="529"/>
      <c r="W49" s="529"/>
      <c r="X49" s="529"/>
      <c r="Y49" s="529"/>
      <c r="Z49" s="529"/>
      <c r="AA49" s="529"/>
      <c r="AB49" s="529"/>
      <c r="AC49" s="529"/>
      <c r="AD49" s="529"/>
      <c r="AE49" s="529"/>
      <c r="AF49" s="529"/>
      <c r="AG49" s="529"/>
      <c r="AH49" s="529"/>
      <c r="AI49" s="529"/>
      <c r="AJ49" s="529"/>
      <c r="AK49" s="529"/>
      <c r="AL49" s="529"/>
      <c r="AM49" s="529"/>
      <c r="AN49" s="529"/>
      <c r="AO49" s="529"/>
      <c r="AP49" s="529"/>
      <c r="AQ49" s="529"/>
      <c r="AR49" s="529"/>
      <c r="AS49" s="529"/>
      <c r="AT49" s="529"/>
    </row>
  </sheetData>
  <mergeCells count="7">
    <mergeCell ref="B27:E27"/>
    <mergeCell ref="K26:M26"/>
    <mergeCell ref="K27:M27"/>
    <mergeCell ref="B1:C1"/>
    <mergeCell ref="K23:M23"/>
    <mergeCell ref="K24:M24"/>
    <mergeCell ref="K25:M25"/>
  </mergeCells>
  <pageMargins left="0.511811024" right="0.511811024" top="0.78740157499999974" bottom="0.78740157499999974" header="0.31496061999999997" footer="0.31496061999999997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0000E-73B0-4F58-B681-232FC94CF2F6}">
  <sheetPr codeName="P06"/>
  <dimension ref="A1:XEU80"/>
  <sheetViews>
    <sheetView showGridLines="0" workbookViewId="0">
      <selection activeCell="W29" sqref="W29"/>
    </sheetView>
  </sheetViews>
  <sheetFormatPr defaultRowHeight="12" x14ac:dyDescent="0.2"/>
  <cols>
    <col min="1" max="1" width="9.5703125" style="456" bestFit="1" customWidth="1"/>
    <col min="2" max="3" width="10.42578125" style="456" bestFit="1" customWidth="1"/>
    <col min="4" max="4" width="26.5703125" style="456" customWidth="1"/>
    <col min="5" max="5" width="9.5703125" style="456" bestFit="1" customWidth="1"/>
    <col min="6" max="6" width="9" style="456" bestFit="1" customWidth="1"/>
    <col min="7" max="7" width="20.5703125" style="456" bestFit="1" customWidth="1"/>
    <col min="8" max="8" width="13.5703125" style="456" bestFit="1" customWidth="1"/>
    <col min="9" max="14" width="9.140625" style="456"/>
    <col min="15" max="15" width="22.7109375" style="456" bestFit="1" customWidth="1"/>
    <col min="16" max="16" width="15.5703125" style="456" bestFit="1" customWidth="1"/>
    <col min="17" max="19" width="9.140625" style="456"/>
    <col min="20" max="21" width="16.5703125" style="456" bestFit="1" customWidth="1"/>
    <col min="22" max="16374" width="9.140625" style="456"/>
    <col min="16375" max="16375" width="2.140625" style="456" bestFit="1" customWidth="1"/>
    <col min="16376" max="16384" width="9.140625" style="456"/>
  </cols>
  <sheetData>
    <row r="1" spans="1:20 16375:16375" x14ac:dyDescent="0.2">
      <c r="A1" s="455" t="s">
        <v>541</v>
      </c>
      <c r="B1" s="455" t="s">
        <v>539</v>
      </c>
      <c r="C1" s="455" t="s">
        <v>263</v>
      </c>
      <c r="D1" s="455" t="s">
        <v>264</v>
      </c>
      <c r="E1" s="455" t="s">
        <v>541</v>
      </c>
      <c r="F1" s="455" t="s">
        <v>538</v>
      </c>
      <c r="G1" s="455" t="s">
        <v>542</v>
      </c>
      <c r="H1" s="455" t="s">
        <v>543</v>
      </c>
      <c r="I1" s="456" t="s">
        <v>108</v>
      </c>
      <c r="J1" s="456" t="s">
        <v>544</v>
      </c>
      <c r="XEU1" s="456" t="s">
        <v>545</v>
      </c>
    </row>
    <row r="2" spans="1:20 16375:16375" ht="12.75" x14ac:dyDescent="0.2">
      <c r="A2" s="457">
        <v>4072</v>
      </c>
      <c r="B2" s="457" t="s">
        <v>99</v>
      </c>
      <c r="C2" s="457" t="s">
        <v>546</v>
      </c>
      <c r="D2" s="457" t="s">
        <v>311</v>
      </c>
      <c r="E2" s="457">
        <v>4072</v>
      </c>
      <c r="F2" s="457">
        <v>90081693</v>
      </c>
      <c r="G2" s="457" t="s">
        <v>322</v>
      </c>
      <c r="H2" s="457" t="s">
        <v>547</v>
      </c>
      <c r="I2" s="456" t="s">
        <v>448</v>
      </c>
      <c r="J2" s="456" t="s">
        <v>448</v>
      </c>
      <c r="Q2"/>
      <c r="R2"/>
      <c r="S2"/>
      <c r="T2"/>
    </row>
    <row r="3" spans="1:20 16375:16375" ht="12.75" x14ac:dyDescent="0.2">
      <c r="A3" s="457">
        <v>4073</v>
      </c>
      <c r="B3" s="457" t="s">
        <v>100</v>
      </c>
      <c r="C3" s="457" t="s">
        <v>548</v>
      </c>
      <c r="D3" s="457" t="s">
        <v>311</v>
      </c>
      <c r="E3" s="457">
        <v>4073</v>
      </c>
      <c r="F3" s="457">
        <v>90081688</v>
      </c>
      <c r="G3" s="457" t="s">
        <v>316</v>
      </c>
      <c r="H3" s="457" t="s">
        <v>547</v>
      </c>
      <c r="I3" s="456" t="s">
        <v>448</v>
      </c>
      <c r="J3" s="456" t="s">
        <v>448</v>
      </c>
      <c r="Q3"/>
      <c r="R3"/>
      <c r="S3"/>
      <c r="T3"/>
    </row>
    <row r="4" spans="1:20 16375:16375" x14ac:dyDescent="0.2">
      <c r="A4" s="457">
        <v>4781</v>
      </c>
      <c r="B4" s="457" t="s">
        <v>101</v>
      </c>
      <c r="C4" s="457" t="s">
        <v>549</v>
      </c>
      <c r="D4" s="457" t="s">
        <v>311</v>
      </c>
      <c r="E4" s="457">
        <v>4781</v>
      </c>
      <c r="F4" s="457">
        <v>90081670</v>
      </c>
      <c r="G4" s="457" t="s">
        <v>319</v>
      </c>
      <c r="H4" s="457" t="s">
        <v>547</v>
      </c>
      <c r="I4" s="456" t="s">
        <v>448</v>
      </c>
      <c r="J4" s="456" t="s">
        <v>448</v>
      </c>
    </row>
    <row r="5" spans="1:20 16375:16375" x14ac:dyDescent="0.2">
      <c r="A5" s="457">
        <v>7024</v>
      </c>
      <c r="B5" s="457" t="s">
        <v>550</v>
      </c>
      <c r="C5" s="457" t="s">
        <v>551</v>
      </c>
      <c r="D5" s="457" t="s">
        <v>311</v>
      </c>
      <c r="E5" s="457">
        <v>7024</v>
      </c>
      <c r="F5" s="457">
        <v>90078194</v>
      </c>
      <c r="G5" s="457" t="str">
        <f>CONCATENATE(B5," - ",C5)</f>
        <v>BR347315 - BR0347315</v>
      </c>
      <c r="H5" s="457" t="s">
        <v>547</v>
      </c>
      <c r="I5" s="456" t="s">
        <v>448</v>
      </c>
      <c r="J5" s="456" t="s">
        <v>448</v>
      </c>
    </row>
    <row r="6" spans="1:20 16375:16375" x14ac:dyDescent="0.2">
      <c r="A6" s="457">
        <v>7025</v>
      </c>
      <c r="B6" s="457" t="s">
        <v>552</v>
      </c>
      <c r="C6" s="457" t="s">
        <v>553</v>
      </c>
      <c r="D6" s="457" t="s">
        <v>311</v>
      </c>
      <c r="E6" s="457">
        <v>7025</v>
      </c>
      <c r="F6" s="457">
        <v>90078200</v>
      </c>
      <c r="G6" s="457" t="str">
        <f>CONCATENATE(B6," - ",C6)</f>
        <v>BR347316 - BR0347316</v>
      </c>
      <c r="H6" s="457" t="s">
        <v>547</v>
      </c>
    </row>
    <row r="7" spans="1:20 16375:16375" x14ac:dyDescent="0.2">
      <c r="A7" s="457">
        <v>9058</v>
      </c>
      <c r="B7" s="457" t="s">
        <v>554</v>
      </c>
      <c r="C7" s="457" t="s">
        <v>555</v>
      </c>
      <c r="D7" s="457" t="s">
        <v>311</v>
      </c>
      <c r="E7" s="457">
        <v>9058</v>
      </c>
      <c r="F7" s="457">
        <v>90078157</v>
      </c>
      <c r="G7" s="457" t="str">
        <f>CONCATENATE(B7," - ",C7)</f>
        <v>BR348596 - BR0348596</v>
      </c>
      <c r="H7" s="457" t="s">
        <v>547</v>
      </c>
      <c r="I7" s="456" t="s">
        <v>448</v>
      </c>
      <c r="J7" s="456" t="s">
        <v>448</v>
      </c>
    </row>
    <row r="8" spans="1:20 16375:16375" ht="12.75" x14ac:dyDescent="0.2">
      <c r="A8" s="457">
        <v>4065</v>
      </c>
      <c r="B8" s="457" t="s">
        <v>556</v>
      </c>
      <c r="C8" s="457" t="s">
        <v>557</v>
      </c>
      <c r="D8" s="457" t="s">
        <v>362</v>
      </c>
      <c r="E8" s="457">
        <v>4065</v>
      </c>
      <c r="F8" s="457">
        <v>90081705</v>
      </c>
      <c r="G8" s="457" t="s">
        <v>367</v>
      </c>
      <c r="H8" s="457" t="s">
        <v>547</v>
      </c>
      <c r="I8" s="456" t="s">
        <v>448</v>
      </c>
      <c r="J8" s="456" t="s">
        <v>448</v>
      </c>
      <c r="O8" s="459" t="s">
        <v>558</v>
      </c>
      <c r="P8"/>
      <c r="Q8"/>
    </row>
    <row r="9" spans="1:20 16375:16375" ht="12.75" x14ac:dyDescent="0.2">
      <c r="A9" s="457">
        <v>4780</v>
      </c>
      <c r="B9" s="457" t="s">
        <v>559</v>
      </c>
      <c r="C9" s="457" t="s">
        <v>560</v>
      </c>
      <c r="D9" s="457" t="s">
        <v>362</v>
      </c>
      <c r="E9" s="457">
        <v>4780</v>
      </c>
      <c r="F9" s="457">
        <v>90081667</v>
      </c>
      <c r="G9" s="457" t="s">
        <v>373</v>
      </c>
      <c r="H9" s="457" t="s">
        <v>547</v>
      </c>
      <c r="I9" s="456" t="s">
        <v>448</v>
      </c>
      <c r="J9" s="456" t="s">
        <v>448</v>
      </c>
      <c r="O9" s="460" t="s">
        <v>445</v>
      </c>
      <c r="P9"/>
      <c r="Q9"/>
    </row>
    <row r="10" spans="1:20 16375:16375" ht="12.75" x14ac:dyDescent="0.2">
      <c r="A10" s="457">
        <v>4254</v>
      </c>
      <c r="B10" s="457" t="s">
        <v>561</v>
      </c>
      <c r="C10" s="457" t="s">
        <v>562</v>
      </c>
      <c r="D10" s="457" t="s">
        <v>362</v>
      </c>
      <c r="E10" s="457">
        <v>4254</v>
      </c>
      <c r="F10" s="457">
        <v>90081685</v>
      </c>
      <c r="G10" s="457" t="s">
        <v>370</v>
      </c>
      <c r="H10" s="457" t="s">
        <v>547</v>
      </c>
      <c r="I10" s="456" t="s">
        <v>448</v>
      </c>
      <c r="J10" s="456" t="s">
        <v>448</v>
      </c>
      <c r="O10" s="460" t="s">
        <v>438</v>
      </c>
      <c r="P10"/>
      <c r="Q10"/>
    </row>
    <row r="11" spans="1:20 16375:16375" ht="12.75" x14ac:dyDescent="0.2">
      <c r="A11" s="457">
        <v>7001</v>
      </c>
      <c r="B11" s="457" t="s">
        <v>563</v>
      </c>
      <c r="C11" s="457" t="s">
        <v>564</v>
      </c>
      <c r="D11" s="457" t="s">
        <v>362</v>
      </c>
      <c r="E11" s="457">
        <v>7001</v>
      </c>
      <c r="F11" s="457">
        <v>90081595</v>
      </c>
      <c r="G11" s="457" t="s">
        <v>374</v>
      </c>
      <c r="H11" s="457" t="s">
        <v>547</v>
      </c>
      <c r="I11" s="456" t="s">
        <v>448</v>
      </c>
      <c r="J11" s="456" t="s">
        <v>448</v>
      </c>
      <c r="O11" s="460" t="s">
        <v>441</v>
      </c>
      <c r="P11"/>
      <c r="Q11"/>
    </row>
    <row r="12" spans="1:20 16375:16375" ht="12.75" x14ac:dyDescent="0.2">
      <c r="A12" s="457">
        <v>7002</v>
      </c>
      <c r="B12" s="457" t="s">
        <v>565</v>
      </c>
      <c r="C12" s="457" t="s">
        <v>566</v>
      </c>
      <c r="D12" s="457" t="s">
        <v>452</v>
      </c>
      <c r="E12" s="457">
        <v>7002</v>
      </c>
      <c r="F12" s="457">
        <v>90081652</v>
      </c>
      <c r="G12" s="457" t="s">
        <v>305</v>
      </c>
      <c r="H12" s="457" t="s">
        <v>547</v>
      </c>
      <c r="I12" s="456" t="s">
        <v>448</v>
      </c>
      <c r="J12" s="456" t="s">
        <v>448</v>
      </c>
      <c r="O12" s="460" t="s">
        <v>443</v>
      </c>
      <c r="P12"/>
      <c r="Q12"/>
    </row>
    <row r="13" spans="1:20 16375:16375" ht="12.75" x14ac:dyDescent="0.2">
      <c r="A13" s="457">
        <v>6290</v>
      </c>
      <c r="B13" s="457" t="s">
        <v>567</v>
      </c>
      <c r="C13" s="457" t="s">
        <v>568</v>
      </c>
      <c r="D13" s="457" t="s">
        <v>216</v>
      </c>
      <c r="E13" s="457">
        <v>6290</v>
      </c>
      <c r="F13" s="457">
        <v>90081641</v>
      </c>
      <c r="G13" s="457" t="s">
        <v>244</v>
      </c>
      <c r="H13" s="457" t="s">
        <v>547</v>
      </c>
      <c r="I13" s="456" t="s">
        <v>448</v>
      </c>
      <c r="J13" s="456" t="s">
        <v>448</v>
      </c>
      <c r="O13" s="460" t="s">
        <v>311</v>
      </c>
      <c r="P13"/>
      <c r="Q13"/>
    </row>
    <row r="14" spans="1:20 16375:16375" ht="12.75" x14ac:dyDescent="0.2">
      <c r="A14" s="457">
        <v>6291</v>
      </c>
      <c r="B14" s="457" t="s">
        <v>569</v>
      </c>
      <c r="C14" s="457" t="s">
        <v>334</v>
      </c>
      <c r="D14" s="457" t="s">
        <v>354</v>
      </c>
      <c r="E14" s="457">
        <v>6291</v>
      </c>
      <c r="F14" s="457">
        <v>90081558</v>
      </c>
      <c r="G14" s="457" t="s">
        <v>361</v>
      </c>
      <c r="H14" s="457" t="s">
        <v>547</v>
      </c>
      <c r="I14" s="456" t="s">
        <v>448</v>
      </c>
      <c r="J14" s="456" t="s">
        <v>448</v>
      </c>
      <c r="O14" s="460" t="s">
        <v>362</v>
      </c>
      <c r="P14"/>
      <c r="Q14"/>
    </row>
    <row r="15" spans="1:20 16375:16375" ht="12.75" x14ac:dyDescent="0.2">
      <c r="A15" s="457">
        <v>7003</v>
      </c>
      <c r="B15" s="457" t="s">
        <v>570</v>
      </c>
      <c r="C15" s="457" t="s">
        <v>571</v>
      </c>
      <c r="D15" s="457" t="s">
        <v>354</v>
      </c>
      <c r="E15" s="457">
        <v>7003</v>
      </c>
      <c r="F15" s="457">
        <v>90081564</v>
      </c>
      <c r="G15" s="457" t="s">
        <v>343</v>
      </c>
      <c r="H15" s="457" t="s">
        <v>547</v>
      </c>
      <c r="I15" s="456" t="s">
        <v>448</v>
      </c>
      <c r="J15" s="456" t="s">
        <v>448</v>
      </c>
      <c r="O15" s="460" t="s">
        <v>452</v>
      </c>
      <c r="P15"/>
      <c r="Q15"/>
    </row>
    <row r="16" spans="1:20 16375:16375" ht="12.75" x14ac:dyDescent="0.2">
      <c r="A16" s="457">
        <v>4063</v>
      </c>
      <c r="B16" s="457" t="s">
        <v>572</v>
      </c>
      <c r="C16" s="457" t="s">
        <v>573</v>
      </c>
      <c r="D16" s="457" t="s">
        <v>354</v>
      </c>
      <c r="E16" s="457">
        <v>4063</v>
      </c>
      <c r="F16" s="457">
        <v>90081594</v>
      </c>
      <c r="G16" s="457" t="s">
        <v>349</v>
      </c>
      <c r="H16" s="457" t="s">
        <v>547</v>
      </c>
      <c r="I16" s="456" t="s">
        <v>448</v>
      </c>
      <c r="J16" s="456" t="s">
        <v>448</v>
      </c>
      <c r="O16" s="460" t="s">
        <v>354</v>
      </c>
      <c r="P16"/>
      <c r="Q16"/>
    </row>
    <row r="17" spans="1:18" ht="12.75" x14ac:dyDescent="0.2">
      <c r="A17" s="457">
        <v>4064</v>
      </c>
      <c r="B17" s="457" t="s">
        <v>574</v>
      </c>
      <c r="C17" s="457" t="s">
        <v>575</v>
      </c>
      <c r="D17" s="457" t="s">
        <v>354</v>
      </c>
      <c r="E17" s="457">
        <v>4064</v>
      </c>
      <c r="F17" s="457">
        <v>90081703</v>
      </c>
      <c r="G17" s="457" t="s">
        <v>337</v>
      </c>
      <c r="H17" s="457" t="s">
        <v>547</v>
      </c>
      <c r="I17" s="456" t="s">
        <v>448</v>
      </c>
      <c r="J17" s="456" t="s">
        <v>448</v>
      </c>
      <c r="O17" s="460" t="s">
        <v>576</v>
      </c>
      <c r="P17"/>
      <c r="Q17"/>
    </row>
    <row r="18" spans="1:18" ht="12.75" x14ac:dyDescent="0.2">
      <c r="A18" s="457">
        <v>4066</v>
      </c>
      <c r="B18" s="457" t="s">
        <v>98</v>
      </c>
      <c r="C18" s="457" t="s">
        <v>577</v>
      </c>
      <c r="D18" s="457" t="s">
        <v>216</v>
      </c>
      <c r="E18" s="457">
        <v>4066</v>
      </c>
      <c r="F18" s="457">
        <v>90081704</v>
      </c>
      <c r="G18" s="457" t="s">
        <v>247</v>
      </c>
      <c r="H18" s="457" t="s">
        <v>547</v>
      </c>
      <c r="I18" s="456" t="s">
        <v>448</v>
      </c>
      <c r="J18" s="456" t="s">
        <v>448</v>
      </c>
      <c r="O18" s="460" t="s">
        <v>216</v>
      </c>
      <c r="P18"/>
      <c r="Q18"/>
    </row>
    <row r="19" spans="1:18" ht="12.75" x14ac:dyDescent="0.2">
      <c r="A19" s="457">
        <v>4069</v>
      </c>
      <c r="B19" s="457" t="s">
        <v>578</v>
      </c>
      <c r="C19" s="457" t="s">
        <v>579</v>
      </c>
      <c r="D19" s="457" t="s">
        <v>216</v>
      </c>
      <c r="E19" s="457">
        <v>4069</v>
      </c>
      <c r="F19" s="457">
        <v>90081676</v>
      </c>
      <c r="G19" s="457" t="s">
        <v>250</v>
      </c>
      <c r="H19" s="457" t="s">
        <v>547</v>
      </c>
      <c r="I19" s="456" t="s">
        <v>448</v>
      </c>
      <c r="J19" s="456" t="s">
        <v>448</v>
      </c>
      <c r="O19" s="460" t="s">
        <v>580</v>
      </c>
      <c r="P19"/>
      <c r="Q19"/>
    </row>
    <row r="20" spans="1:18" ht="12.75" x14ac:dyDescent="0.2">
      <c r="A20" s="457">
        <v>4070</v>
      </c>
      <c r="B20" s="457" t="s">
        <v>97</v>
      </c>
      <c r="C20" s="457" t="s">
        <v>581</v>
      </c>
      <c r="D20" s="457" t="s">
        <v>216</v>
      </c>
      <c r="E20" s="457">
        <v>4070</v>
      </c>
      <c r="F20" s="457">
        <v>90081559</v>
      </c>
      <c r="G20" s="457" t="s">
        <v>240</v>
      </c>
      <c r="H20" s="457" t="s">
        <v>547</v>
      </c>
      <c r="I20" s="456" t="s">
        <v>448</v>
      </c>
      <c r="J20" s="456" t="s">
        <v>448</v>
      </c>
      <c r="O20"/>
      <c r="P20"/>
      <c r="Q20"/>
    </row>
    <row r="21" spans="1:18" ht="12.75" x14ac:dyDescent="0.2">
      <c r="A21" s="457">
        <v>1086</v>
      </c>
      <c r="B21" s="457" t="s">
        <v>582</v>
      </c>
      <c r="C21" s="457" t="s">
        <v>346</v>
      </c>
      <c r="D21" s="457" t="s">
        <v>354</v>
      </c>
      <c r="E21" s="457">
        <v>1086</v>
      </c>
      <c r="F21" s="457">
        <v>90081605</v>
      </c>
      <c r="G21" s="457" t="s">
        <v>360</v>
      </c>
      <c r="H21" s="457" t="s">
        <v>547</v>
      </c>
      <c r="I21" s="456" t="s">
        <v>448</v>
      </c>
      <c r="J21" s="456" t="s">
        <v>448</v>
      </c>
      <c r="O21"/>
      <c r="P21"/>
      <c r="Q21"/>
    </row>
    <row r="22" spans="1:18" ht="12.75" x14ac:dyDescent="0.2">
      <c r="A22" s="457">
        <v>1087</v>
      </c>
      <c r="B22" s="457" t="s">
        <v>583</v>
      </c>
      <c r="C22" s="457" t="s">
        <v>584</v>
      </c>
      <c r="D22" s="457" t="s">
        <v>354</v>
      </c>
      <c r="E22" s="457">
        <v>1087</v>
      </c>
      <c r="F22" s="457">
        <v>90081620</v>
      </c>
      <c r="G22" s="457" t="s">
        <v>340</v>
      </c>
      <c r="H22" s="457" t="s">
        <v>547</v>
      </c>
      <c r="I22" s="456" t="s">
        <v>448</v>
      </c>
      <c r="J22" s="456" t="s">
        <v>448</v>
      </c>
      <c r="O22"/>
      <c r="P22"/>
      <c r="Q22"/>
    </row>
    <row r="23" spans="1:18" ht="12.75" x14ac:dyDescent="0.2">
      <c r="A23" s="458">
        <v>4071</v>
      </c>
      <c r="B23" s="458" t="s">
        <v>585</v>
      </c>
      <c r="C23" s="458" t="s">
        <v>586</v>
      </c>
      <c r="D23" s="458" t="s">
        <v>445</v>
      </c>
      <c r="E23" s="458">
        <v>4071</v>
      </c>
      <c r="F23" s="458">
        <v>90073208</v>
      </c>
      <c r="G23" s="458" t="s">
        <v>587</v>
      </c>
      <c r="H23" s="458" t="s">
        <v>588</v>
      </c>
      <c r="I23" s="456" t="s">
        <v>589</v>
      </c>
      <c r="J23" s="456">
        <v>700</v>
      </c>
      <c r="O23"/>
      <c r="P23"/>
      <c r="Q23"/>
    </row>
    <row r="24" spans="1:18" ht="12.75" x14ac:dyDescent="0.2">
      <c r="A24" s="458">
        <v>9207</v>
      </c>
      <c r="B24" s="458" t="s">
        <v>590</v>
      </c>
      <c r="C24" s="458" t="s">
        <v>591</v>
      </c>
      <c r="D24" s="458" t="s">
        <v>445</v>
      </c>
      <c r="E24" s="458">
        <v>9207</v>
      </c>
      <c r="F24" s="458">
        <v>90080763</v>
      </c>
      <c r="G24" s="458" t="s">
        <v>592</v>
      </c>
      <c r="H24" s="458" t="s">
        <v>588</v>
      </c>
      <c r="I24" s="456" t="s">
        <v>589</v>
      </c>
      <c r="J24" s="456">
        <v>700</v>
      </c>
      <c r="O24"/>
      <c r="P24"/>
      <c r="Q24"/>
    </row>
    <row r="25" spans="1:18" ht="12.75" x14ac:dyDescent="0.2">
      <c r="A25" s="458">
        <v>4827</v>
      </c>
      <c r="B25" s="458" t="s">
        <v>593</v>
      </c>
      <c r="C25" s="458" t="s">
        <v>594</v>
      </c>
      <c r="D25" s="458" t="s">
        <v>445</v>
      </c>
      <c r="E25" s="458">
        <v>4827</v>
      </c>
      <c r="F25" s="458">
        <v>90080799</v>
      </c>
      <c r="G25" s="458" t="s">
        <v>595</v>
      </c>
      <c r="H25" s="458" t="s">
        <v>588</v>
      </c>
      <c r="I25" s="456" t="s">
        <v>589</v>
      </c>
      <c r="J25" s="456">
        <v>700</v>
      </c>
      <c r="O25"/>
      <c r="P25"/>
      <c r="Q25"/>
      <c r="R25"/>
    </row>
    <row r="26" spans="1:18" ht="12.75" x14ac:dyDescent="0.2">
      <c r="A26" s="458">
        <v>6284</v>
      </c>
      <c r="B26" s="458" t="s">
        <v>596</v>
      </c>
      <c r="C26" s="458" t="s">
        <v>597</v>
      </c>
      <c r="D26" s="458" t="s">
        <v>445</v>
      </c>
      <c r="E26" s="458">
        <v>6284</v>
      </c>
      <c r="F26" s="458">
        <v>90080838</v>
      </c>
      <c r="G26" s="458" t="s">
        <v>598</v>
      </c>
      <c r="H26" s="458" t="s">
        <v>588</v>
      </c>
      <c r="I26" s="456" t="s">
        <v>589</v>
      </c>
      <c r="J26" s="456">
        <v>700</v>
      </c>
      <c r="O26"/>
      <c r="P26"/>
      <c r="Q26"/>
      <c r="R26"/>
    </row>
    <row r="27" spans="1:18" ht="12.75" x14ac:dyDescent="0.2">
      <c r="A27" s="458">
        <v>7008</v>
      </c>
      <c r="B27" s="458" t="s">
        <v>78</v>
      </c>
      <c r="C27" s="458" t="s">
        <v>599</v>
      </c>
      <c r="D27" s="458" t="s">
        <v>438</v>
      </c>
      <c r="E27" s="458">
        <v>7008</v>
      </c>
      <c r="F27" s="458">
        <v>90074048</v>
      </c>
      <c r="G27" s="458" t="s">
        <v>600</v>
      </c>
      <c r="H27" s="458" t="s">
        <v>588</v>
      </c>
      <c r="I27" s="456" t="s">
        <v>601</v>
      </c>
      <c r="J27" s="456">
        <v>250</v>
      </c>
      <c r="O27"/>
      <c r="P27"/>
      <c r="Q27"/>
      <c r="R27"/>
    </row>
    <row r="28" spans="1:18" ht="12.75" x14ac:dyDescent="0.2">
      <c r="A28" s="458">
        <v>7009</v>
      </c>
      <c r="B28" s="458" t="s">
        <v>73</v>
      </c>
      <c r="C28" s="458" t="s">
        <v>602</v>
      </c>
      <c r="D28" s="458" t="s">
        <v>438</v>
      </c>
      <c r="E28" s="458">
        <v>7009</v>
      </c>
      <c r="F28" s="458">
        <v>90074088</v>
      </c>
      <c r="G28" s="458" t="s">
        <v>602</v>
      </c>
      <c r="H28" s="458" t="s">
        <v>588</v>
      </c>
      <c r="I28" s="456" t="s">
        <v>601</v>
      </c>
      <c r="J28" s="456">
        <v>250</v>
      </c>
      <c r="O28"/>
      <c r="P28"/>
      <c r="Q28"/>
      <c r="R28"/>
    </row>
    <row r="29" spans="1:18" ht="12.75" x14ac:dyDescent="0.2">
      <c r="A29" s="458">
        <v>7010</v>
      </c>
      <c r="B29" s="458" t="s">
        <v>83</v>
      </c>
      <c r="C29" s="458" t="s">
        <v>603</v>
      </c>
      <c r="D29" s="458" t="s">
        <v>438</v>
      </c>
      <c r="E29" s="458">
        <v>7010</v>
      </c>
      <c r="F29" s="458">
        <v>90074024</v>
      </c>
      <c r="G29" s="458" t="s">
        <v>604</v>
      </c>
      <c r="H29" s="458" t="s">
        <v>588</v>
      </c>
      <c r="I29" s="456" t="s">
        <v>601</v>
      </c>
      <c r="J29" s="456">
        <v>250</v>
      </c>
      <c r="O29"/>
      <c r="P29"/>
      <c r="Q29"/>
      <c r="R29"/>
    </row>
    <row r="30" spans="1:18" ht="12.75" x14ac:dyDescent="0.2">
      <c r="A30" s="458">
        <v>7014</v>
      </c>
      <c r="B30" s="458" t="s">
        <v>80</v>
      </c>
      <c r="C30" s="458" t="s">
        <v>605</v>
      </c>
      <c r="D30" s="458" t="s">
        <v>438</v>
      </c>
      <c r="E30" s="458">
        <v>7014</v>
      </c>
      <c r="F30" s="458">
        <v>90074023</v>
      </c>
      <c r="G30" s="458" t="s">
        <v>606</v>
      </c>
      <c r="H30" s="458" t="s">
        <v>588</v>
      </c>
      <c r="I30" s="456" t="s">
        <v>601</v>
      </c>
      <c r="J30" s="456">
        <v>250</v>
      </c>
      <c r="O30"/>
      <c r="P30"/>
      <c r="Q30"/>
      <c r="R30"/>
    </row>
    <row r="31" spans="1:18" ht="12.75" x14ac:dyDescent="0.2">
      <c r="A31" s="458">
        <v>7013</v>
      </c>
      <c r="B31" s="458" t="s">
        <v>77</v>
      </c>
      <c r="C31" s="458" t="s">
        <v>607</v>
      </c>
      <c r="D31" s="458" t="s">
        <v>438</v>
      </c>
      <c r="E31" s="458">
        <v>7013</v>
      </c>
      <c r="F31" s="458">
        <v>90074089</v>
      </c>
      <c r="G31" s="458" t="s">
        <v>608</v>
      </c>
      <c r="H31" s="458" t="s">
        <v>588</v>
      </c>
      <c r="I31" s="456" t="s">
        <v>601</v>
      </c>
      <c r="J31" s="456">
        <v>250</v>
      </c>
      <c r="O31"/>
      <c r="P31"/>
      <c r="Q31"/>
      <c r="R31"/>
    </row>
    <row r="32" spans="1:18" ht="12.75" x14ac:dyDescent="0.2">
      <c r="A32" s="458">
        <v>7015</v>
      </c>
      <c r="B32" s="458" t="s">
        <v>82</v>
      </c>
      <c r="C32" s="458" t="s">
        <v>609</v>
      </c>
      <c r="D32" s="458" t="s">
        <v>438</v>
      </c>
      <c r="E32" s="458">
        <v>7015</v>
      </c>
      <c r="F32" s="458">
        <v>90074091</v>
      </c>
      <c r="G32" s="458" t="s">
        <v>610</v>
      </c>
      <c r="H32" s="458" t="s">
        <v>588</v>
      </c>
      <c r="I32" s="456" t="s">
        <v>601</v>
      </c>
      <c r="J32" s="456">
        <v>250</v>
      </c>
      <c r="O32"/>
      <c r="P32"/>
      <c r="Q32"/>
      <c r="R32"/>
    </row>
    <row r="33" spans="1:18" ht="12.75" x14ac:dyDescent="0.2">
      <c r="A33" s="458">
        <v>6280</v>
      </c>
      <c r="B33" s="458" t="s">
        <v>90</v>
      </c>
      <c r="C33" s="458" t="s">
        <v>611</v>
      </c>
      <c r="D33" s="458" t="s">
        <v>438</v>
      </c>
      <c r="E33" s="458">
        <v>6280</v>
      </c>
      <c r="F33" s="458">
        <v>90070609</v>
      </c>
      <c r="G33" s="458" t="s">
        <v>612</v>
      </c>
      <c r="H33" s="458" t="s">
        <v>588</v>
      </c>
      <c r="I33" s="456" t="s">
        <v>601</v>
      </c>
      <c r="J33" s="456">
        <v>250</v>
      </c>
      <c r="O33"/>
      <c r="P33"/>
      <c r="Q33"/>
      <c r="R33"/>
    </row>
    <row r="34" spans="1:18" ht="12.75" x14ac:dyDescent="0.2">
      <c r="A34" s="458">
        <v>6273</v>
      </c>
      <c r="B34" s="458" t="s">
        <v>92</v>
      </c>
      <c r="C34" s="458" t="s">
        <v>613</v>
      </c>
      <c r="D34" s="458" t="s">
        <v>438</v>
      </c>
      <c r="E34" s="458">
        <v>6273</v>
      </c>
      <c r="F34" s="458">
        <v>90070601</v>
      </c>
      <c r="G34" s="458" t="s">
        <v>614</v>
      </c>
      <c r="H34" s="458" t="s">
        <v>588</v>
      </c>
      <c r="I34" s="456" t="s">
        <v>601</v>
      </c>
      <c r="J34" s="456">
        <v>250</v>
      </c>
      <c r="O34"/>
      <c r="P34"/>
      <c r="Q34"/>
      <c r="R34"/>
    </row>
    <row r="35" spans="1:18" ht="12.75" x14ac:dyDescent="0.2">
      <c r="A35" s="458">
        <v>6272</v>
      </c>
      <c r="B35" s="458" t="s">
        <v>93</v>
      </c>
      <c r="C35" s="458" t="s">
        <v>615</v>
      </c>
      <c r="D35" s="458" t="s">
        <v>441</v>
      </c>
      <c r="E35" s="458">
        <v>6272</v>
      </c>
      <c r="F35" s="458">
        <v>90070600</v>
      </c>
      <c r="G35" s="458" t="s">
        <v>616</v>
      </c>
      <c r="H35" s="458" t="s">
        <v>588</v>
      </c>
      <c r="I35" s="456" t="s">
        <v>589</v>
      </c>
      <c r="J35" s="456">
        <v>700</v>
      </c>
      <c r="O35"/>
      <c r="P35"/>
      <c r="Q35"/>
      <c r="R35"/>
    </row>
    <row r="36" spans="1:18" ht="12.75" x14ac:dyDescent="0.2">
      <c r="A36" s="458">
        <v>6710</v>
      </c>
      <c r="B36" s="458" t="s">
        <v>94</v>
      </c>
      <c r="C36" s="458" t="s">
        <v>617</v>
      </c>
      <c r="D36" s="458" t="s">
        <v>441</v>
      </c>
      <c r="E36" s="458">
        <v>6710</v>
      </c>
      <c r="F36" s="458">
        <v>90070592</v>
      </c>
      <c r="G36" s="458" t="s">
        <v>618</v>
      </c>
      <c r="H36" s="458" t="s">
        <v>588</v>
      </c>
      <c r="I36" s="456" t="s">
        <v>589</v>
      </c>
      <c r="J36" s="456">
        <v>700</v>
      </c>
      <c r="O36"/>
      <c r="P36"/>
      <c r="Q36"/>
      <c r="R36"/>
    </row>
    <row r="37" spans="1:18" ht="12.75" x14ac:dyDescent="0.2">
      <c r="A37" s="458">
        <v>4057</v>
      </c>
      <c r="B37" s="458" t="s">
        <v>89</v>
      </c>
      <c r="C37" s="458" t="s">
        <v>619</v>
      </c>
      <c r="D37" s="458" t="s">
        <v>441</v>
      </c>
      <c r="E37" s="458">
        <v>4057</v>
      </c>
      <c r="F37" s="458">
        <v>90070627</v>
      </c>
      <c r="G37" s="458" t="s">
        <v>620</v>
      </c>
      <c r="H37" s="458" t="s">
        <v>588</v>
      </c>
      <c r="I37" s="456" t="s">
        <v>589</v>
      </c>
      <c r="J37" s="456">
        <v>700</v>
      </c>
      <c r="O37"/>
      <c r="P37"/>
      <c r="Q37"/>
      <c r="R37"/>
    </row>
    <row r="38" spans="1:18" ht="12.75" x14ac:dyDescent="0.2">
      <c r="A38" s="458">
        <v>4061</v>
      </c>
      <c r="B38" s="458" t="s">
        <v>91</v>
      </c>
      <c r="C38" s="458" t="s">
        <v>621</v>
      </c>
      <c r="D38" s="458" t="s">
        <v>441</v>
      </c>
      <c r="E38" s="458">
        <v>4061</v>
      </c>
      <c r="F38" s="458">
        <v>90070631</v>
      </c>
      <c r="G38" s="458" t="s">
        <v>622</v>
      </c>
      <c r="H38" s="458" t="s">
        <v>588</v>
      </c>
      <c r="I38" s="456" t="s">
        <v>589</v>
      </c>
      <c r="J38" s="456">
        <v>700</v>
      </c>
      <c r="O38"/>
      <c r="P38"/>
      <c r="Q38"/>
      <c r="R38"/>
    </row>
    <row r="39" spans="1:18" ht="12.75" x14ac:dyDescent="0.2">
      <c r="A39" s="458">
        <v>7020</v>
      </c>
      <c r="B39" s="458" t="s">
        <v>96</v>
      </c>
      <c r="C39" s="458" t="s">
        <v>623</v>
      </c>
      <c r="D39" s="458" t="s">
        <v>441</v>
      </c>
      <c r="E39" s="458">
        <v>7020</v>
      </c>
      <c r="F39" s="458">
        <v>90070615</v>
      </c>
      <c r="G39" s="458" t="s">
        <v>624</v>
      </c>
      <c r="H39" s="458" t="s">
        <v>588</v>
      </c>
      <c r="I39" s="456" t="s">
        <v>589</v>
      </c>
      <c r="J39" s="456">
        <v>700</v>
      </c>
      <c r="O39"/>
      <c r="P39"/>
      <c r="Q39"/>
      <c r="R39"/>
    </row>
    <row r="40" spans="1:18" ht="12.75" x14ac:dyDescent="0.2">
      <c r="A40" s="458">
        <v>5070</v>
      </c>
      <c r="B40" s="458" t="s">
        <v>95</v>
      </c>
      <c r="C40" s="458" t="s">
        <v>625</v>
      </c>
      <c r="D40" s="458" t="s">
        <v>441</v>
      </c>
      <c r="E40" s="458">
        <v>5070</v>
      </c>
      <c r="F40" s="458">
        <v>90070589</v>
      </c>
      <c r="G40" s="458" t="s">
        <v>626</v>
      </c>
      <c r="H40" s="458" t="s">
        <v>588</v>
      </c>
      <c r="I40" s="456" t="s">
        <v>589</v>
      </c>
      <c r="J40" s="456">
        <v>700</v>
      </c>
      <c r="O40"/>
      <c r="P40"/>
      <c r="Q40"/>
      <c r="R40"/>
    </row>
    <row r="41" spans="1:18" x14ac:dyDescent="0.2">
      <c r="A41" s="458">
        <v>7018</v>
      </c>
      <c r="B41" s="458" t="s">
        <v>627</v>
      </c>
      <c r="C41" s="458" t="s">
        <v>628</v>
      </c>
      <c r="D41" s="458" t="s">
        <v>443</v>
      </c>
      <c r="E41" s="458">
        <v>7018</v>
      </c>
      <c r="F41" s="458">
        <v>90074090</v>
      </c>
      <c r="G41" s="458" t="s">
        <v>629</v>
      </c>
      <c r="H41" s="458" t="s">
        <v>588</v>
      </c>
      <c r="I41" s="456" t="s">
        <v>601</v>
      </c>
      <c r="J41" s="456">
        <v>250</v>
      </c>
    </row>
    <row r="42" spans="1:18" x14ac:dyDescent="0.2">
      <c r="A42" s="458">
        <v>7017</v>
      </c>
      <c r="B42" s="458" t="s">
        <v>630</v>
      </c>
      <c r="C42" s="458" t="s">
        <v>631</v>
      </c>
      <c r="D42" s="458" t="s">
        <v>443</v>
      </c>
      <c r="E42" s="458">
        <v>7017</v>
      </c>
      <c r="F42" s="458">
        <v>90074087</v>
      </c>
      <c r="G42" s="458" t="s">
        <v>632</v>
      </c>
      <c r="H42" s="458" t="s">
        <v>588</v>
      </c>
      <c r="I42" s="456" t="s">
        <v>601</v>
      </c>
      <c r="J42" s="456">
        <v>250</v>
      </c>
    </row>
    <row r="43" spans="1:18" x14ac:dyDescent="0.2">
      <c r="A43" s="458">
        <v>6276</v>
      </c>
      <c r="B43" s="458" t="s">
        <v>633</v>
      </c>
      <c r="C43" s="458" t="s">
        <v>634</v>
      </c>
      <c r="D43" s="458" t="s">
        <v>443</v>
      </c>
      <c r="E43" s="458">
        <v>6276</v>
      </c>
      <c r="F43" s="458">
        <v>90070604</v>
      </c>
      <c r="G43" s="458" t="s">
        <v>635</v>
      </c>
      <c r="H43" s="458" t="s">
        <v>588</v>
      </c>
      <c r="I43" s="456" t="s">
        <v>601</v>
      </c>
      <c r="J43" s="456">
        <v>250</v>
      </c>
    </row>
    <row r="44" spans="1:18" x14ac:dyDescent="0.2">
      <c r="A44" s="458">
        <v>7033</v>
      </c>
      <c r="B44" s="458" t="s">
        <v>636</v>
      </c>
      <c r="C44" s="458" t="s">
        <v>637</v>
      </c>
      <c r="D44" s="458" t="s">
        <v>443</v>
      </c>
      <c r="E44" s="458">
        <v>7033</v>
      </c>
      <c r="F44" s="458">
        <v>90070620</v>
      </c>
      <c r="G44" s="458" t="s">
        <v>638</v>
      </c>
      <c r="H44" s="458" t="s">
        <v>588</v>
      </c>
      <c r="I44" s="456" t="s">
        <v>601</v>
      </c>
      <c r="J44" s="456">
        <v>250</v>
      </c>
    </row>
    <row r="45" spans="1:18" x14ac:dyDescent="0.2">
      <c r="A45" s="458">
        <v>9202</v>
      </c>
      <c r="B45" s="458" t="s">
        <v>639</v>
      </c>
      <c r="C45" s="458" t="s">
        <v>640</v>
      </c>
      <c r="D45" s="458" t="s">
        <v>443</v>
      </c>
      <c r="E45" s="458">
        <v>9202</v>
      </c>
      <c r="F45" s="458">
        <v>90080841</v>
      </c>
      <c r="G45" s="458" t="s">
        <v>641</v>
      </c>
      <c r="H45" s="458" t="s">
        <v>588</v>
      </c>
      <c r="I45" s="456" t="s">
        <v>601</v>
      </c>
      <c r="J45" s="456">
        <v>250</v>
      </c>
    </row>
    <row r="46" spans="1:18" x14ac:dyDescent="0.2">
      <c r="A46" s="458">
        <v>9201</v>
      </c>
      <c r="B46" s="458" t="s">
        <v>642</v>
      </c>
      <c r="C46" s="458" t="s">
        <v>643</v>
      </c>
      <c r="D46" s="458" t="s">
        <v>443</v>
      </c>
      <c r="E46" s="458">
        <v>9201</v>
      </c>
      <c r="F46" s="458">
        <v>90080837</v>
      </c>
      <c r="G46" s="458" t="s">
        <v>644</v>
      </c>
      <c r="H46" s="458" t="s">
        <v>588</v>
      </c>
      <c r="I46" s="456" t="s">
        <v>601</v>
      </c>
      <c r="J46" s="456">
        <v>250</v>
      </c>
    </row>
    <row r="47" spans="1:18" x14ac:dyDescent="0.2">
      <c r="A47" s="458">
        <v>9198</v>
      </c>
      <c r="B47" s="458" t="s">
        <v>645</v>
      </c>
      <c r="C47" s="458" t="s">
        <v>646</v>
      </c>
      <c r="D47" s="458" t="s">
        <v>443</v>
      </c>
      <c r="E47" s="458">
        <v>9198</v>
      </c>
      <c r="F47" s="458">
        <v>90080764</v>
      </c>
      <c r="G47" s="458" t="s">
        <v>647</v>
      </c>
      <c r="H47" s="458" t="s">
        <v>588</v>
      </c>
      <c r="I47" s="456" t="s">
        <v>601</v>
      </c>
      <c r="J47" s="456">
        <v>250</v>
      </c>
    </row>
    <row r="48" spans="1:18" x14ac:dyDescent="0.2">
      <c r="A48" s="458">
        <v>5074</v>
      </c>
      <c r="B48" s="458" t="s">
        <v>648</v>
      </c>
      <c r="C48" s="458" t="s">
        <v>649</v>
      </c>
      <c r="D48" s="458" t="s">
        <v>443</v>
      </c>
      <c r="E48" s="458">
        <v>5074</v>
      </c>
      <c r="F48" s="458">
        <v>90080840</v>
      </c>
      <c r="G48" s="458" t="s">
        <v>650</v>
      </c>
      <c r="H48" s="458" t="s">
        <v>588</v>
      </c>
      <c r="I48" s="456" t="s">
        <v>601</v>
      </c>
      <c r="J48" s="456">
        <v>250</v>
      </c>
    </row>
    <row r="49" spans="1:10" x14ac:dyDescent="0.2">
      <c r="A49" s="458">
        <v>5073</v>
      </c>
      <c r="B49" s="458" t="s">
        <v>651</v>
      </c>
      <c r="C49" s="458" t="s">
        <v>652</v>
      </c>
      <c r="D49" s="458" t="s">
        <v>443</v>
      </c>
      <c r="E49" s="458">
        <v>5073</v>
      </c>
      <c r="F49" s="458">
        <v>90080842</v>
      </c>
      <c r="G49" s="458" t="s">
        <v>653</v>
      </c>
      <c r="H49" s="458" t="s">
        <v>588</v>
      </c>
      <c r="I49" s="456" t="s">
        <v>601</v>
      </c>
      <c r="J49" s="456">
        <v>250</v>
      </c>
    </row>
    <row r="50" spans="1:10" x14ac:dyDescent="0.2">
      <c r="A50" s="458">
        <v>5069</v>
      </c>
      <c r="B50" s="458" t="s">
        <v>654</v>
      </c>
      <c r="C50" s="458" t="s">
        <v>655</v>
      </c>
      <c r="D50" s="458" t="s">
        <v>443</v>
      </c>
      <c r="E50" s="458">
        <v>5069</v>
      </c>
      <c r="F50" s="458">
        <v>90074064</v>
      </c>
      <c r="G50" s="458" t="s">
        <v>656</v>
      </c>
      <c r="H50" s="458" t="s">
        <v>588</v>
      </c>
      <c r="I50" s="456" t="s">
        <v>601</v>
      </c>
      <c r="J50" s="456">
        <v>250</v>
      </c>
    </row>
    <row r="51" spans="1:10" x14ac:dyDescent="0.2">
      <c r="A51" s="458">
        <v>7037</v>
      </c>
      <c r="B51" s="458" t="s">
        <v>657</v>
      </c>
      <c r="C51" s="458" t="s">
        <v>658</v>
      </c>
      <c r="D51" s="458" t="s">
        <v>443</v>
      </c>
      <c r="E51" s="458">
        <v>7037</v>
      </c>
      <c r="F51" s="458">
        <v>90070623</v>
      </c>
      <c r="G51" s="458" t="s">
        <v>659</v>
      </c>
      <c r="H51" s="458" t="s">
        <v>588</v>
      </c>
      <c r="I51" s="456" t="s">
        <v>601</v>
      </c>
      <c r="J51" s="456">
        <v>250</v>
      </c>
    </row>
    <row r="52" spans="1:10" x14ac:dyDescent="0.2">
      <c r="A52" s="458">
        <v>5071</v>
      </c>
      <c r="B52" s="458" t="s">
        <v>660</v>
      </c>
      <c r="C52" s="458" t="s">
        <v>661</v>
      </c>
      <c r="D52" s="458" t="s">
        <v>443</v>
      </c>
      <c r="E52" s="458">
        <v>5071</v>
      </c>
      <c r="F52" s="458">
        <v>90074066</v>
      </c>
      <c r="G52" s="458" t="s">
        <v>662</v>
      </c>
      <c r="H52" s="458" t="s">
        <v>588</v>
      </c>
      <c r="I52" s="456" t="s">
        <v>601</v>
      </c>
      <c r="J52" s="456">
        <v>250</v>
      </c>
    </row>
    <row r="53" spans="1:10" x14ac:dyDescent="0.2">
      <c r="A53" s="458">
        <v>7035</v>
      </c>
      <c r="B53" s="458" t="s">
        <v>663</v>
      </c>
      <c r="C53" s="458" t="s">
        <v>664</v>
      </c>
      <c r="D53" s="458" t="s">
        <v>443</v>
      </c>
      <c r="E53" s="458">
        <v>7035</v>
      </c>
      <c r="F53" s="458">
        <v>90070622</v>
      </c>
      <c r="G53" s="458" t="s">
        <v>665</v>
      </c>
      <c r="H53" s="458" t="s">
        <v>588</v>
      </c>
      <c r="I53" s="456" t="s">
        <v>601</v>
      </c>
      <c r="J53" s="456">
        <v>250</v>
      </c>
    </row>
    <row r="54" spans="1:10" x14ac:dyDescent="0.2">
      <c r="A54" s="458">
        <v>4060</v>
      </c>
      <c r="B54" s="458" t="s">
        <v>666</v>
      </c>
      <c r="C54" s="458" t="s">
        <v>667</v>
      </c>
      <c r="D54" s="458" t="s">
        <v>443</v>
      </c>
      <c r="E54" s="458">
        <v>4060</v>
      </c>
      <c r="F54" s="458">
        <v>90070630</v>
      </c>
      <c r="G54" s="458" t="s">
        <v>668</v>
      </c>
      <c r="H54" s="458" t="s">
        <v>588</v>
      </c>
      <c r="I54" s="456" t="s">
        <v>601</v>
      </c>
      <c r="J54" s="456">
        <v>250</v>
      </c>
    </row>
    <row r="55" spans="1:10" x14ac:dyDescent="0.2">
      <c r="A55" s="458">
        <v>6275</v>
      </c>
      <c r="B55" s="458" t="s">
        <v>669</v>
      </c>
      <c r="C55" s="458" t="s">
        <v>670</v>
      </c>
      <c r="D55" s="458" t="s">
        <v>443</v>
      </c>
      <c r="E55" s="458">
        <v>6275</v>
      </c>
      <c r="F55" s="458">
        <v>90070603</v>
      </c>
      <c r="G55" s="458" t="s">
        <v>671</v>
      </c>
      <c r="H55" s="458" t="s">
        <v>588</v>
      </c>
      <c r="I55" s="456" t="s">
        <v>601</v>
      </c>
      <c r="J55" s="456">
        <v>250</v>
      </c>
    </row>
    <row r="56" spans="1:10" x14ac:dyDescent="0.2">
      <c r="A56" s="458">
        <v>6274</v>
      </c>
      <c r="B56" s="458" t="s">
        <v>672</v>
      </c>
      <c r="C56" s="458" t="s">
        <v>673</v>
      </c>
      <c r="D56" s="458" t="s">
        <v>443</v>
      </c>
      <c r="E56" s="458">
        <v>6274</v>
      </c>
      <c r="F56" s="458">
        <v>90070602</v>
      </c>
      <c r="G56" s="458" t="s">
        <v>674</v>
      </c>
      <c r="H56" s="458" t="s">
        <v>588</v>
      </c>
      <c r="I56" s="456" t="s">
        <v>601</v>
      </c>
      <c r="J56" s="456">
        <v>250</v>
      </c>
    </row>
    <row r="57" spans="1:10" x14ac:dyDescent="0.2">
      <c r="A57" s="458">
        <v>9196</v>
      </c>
      <c r="B57" s="458" t="s">
        <v>675</v>
      </c>
      <c r="C57" s="458" t="s">
        <v>676</v>
      </c>
      <c r="D57" s="458" t="s">
        <v>443</v>
      </c>
      <c r="E57" s="458">
        <v>9196</v>
      </c>
      <c r="F57" s="458">
        <v>90074063</v>
      </c>
      <c r="G57" s="458" t="s">
        <v>677</v>
      </c>
      <c r="H57" s="458" t="s">
        <v>588</v>
      </c>
      <c r="I57" s="456" t="s">
        <v>601</v>
      </c>
      <c r="J57" s="456">
        <v>250</v>
      </c>
    </row>
    <row r="58" spans="1:10" x14ac:dyDescent="0.2">
      <c r="A58" s="458">
        <v>9193</v>
      </c>
      <c r="B58" s="458" t="s">
        <v>678</v>
      </c>
      <c r="C58" s="458" t="s">
        <v>679</v>
      </c>
      <c r="D58" s="458" t="s">
        <v>443</v>
      </c>
      <c r="E58" s="458">
        <v>9193</v>
      </c>
      <c r="F58" s="458">
        <v>90074060</v>
      </c>
      <c r="G58" s="458" t="s">
        <v>680</v>
      </c>
      <c r="H58" s="458" t="s">
        <v>588</v>
      </c>
      <c r="I58" s="456" t="s">
        <v>601</v>
      </c>
      <c r="J58" s="456">
        <v>250</v>
      </c>
    </row>
    <row r="59" spans="1:10" x14ac:dyDescent="0.2">
      <c r="A59" s="458">
        <v>4770</v>
      </c>
      <c r="B59" s="458" t="s">
        <v>681</v>
      </c>
      <c r="C59" s="458" t="s">
        <v>682</v>
      </c>
      <c r="D59" s="458" t="s">
        <v>443</v>
      </c>
      <c r="E59" s="458">
        <v>4770</v>
      </c>
      <c r="F59" s="458">
        <v>90074062</v>
      </c>
      <c r="G59" s="458" t="s">
        <v>683</v>
      </c>
      <c r="H59" s="458" t="s">
        <v>588</v>
      </c>
      <c r="I59" s="456" t="s">
        <v>601</v>
      </c>
      <c r="J59" s="456">
        <v>250</v>
      </c>
    </row>
    <row r="60" spans="1:10" x14ac:dyDescent="0.2">
      <c r="A60" s="458">
        <v>4058</v>
      </c>
      <c r="B60" s="458" t="s">
        <v>684</v>
      </c>
      <c r="C60" s="458" t="s">
        <v>685</v>
      </c>
      <c r="D60" s="458" t="s">
        <v>443</v>
      </c>
      <c r="E60" s="458">
        <v>4058</v>
      </c>
      <c r="F60" s="458">
        <v>90070628</v>
      </c>
      <c r="G60" s="458" t="s">
        <v>686</v>
      </c>
      <c r="H60" s="458" t="s">
        <v>588</v>
      </c>
      <c r="I60" s="456" t="s">
        <v>601</v>
      </c>
      <c r="J60" s="456">
        <v>250</v>
      </c>
    </row>
    <row r="61" spans="1:10" x14ac:dyDescent="0.2">
      <c r="A61" s="458">
        <v>6277</v>
      </c>
      <c r="B61" s="458" t="s">
        <v>687</v>
      </c>
      <c r="C61" s="458" t="s">
        <v>688</v>
      </c>
      <c r="D61" s="458" t="s">
        <v>443</v>
      </c>
      <c r="E61" s="458">
        <v>6277</v>
      </c>
      <c r="F61" s="458">
        <v>90070605</v>
      </c>
      <c r="G61" s="458" t="s">
        <v>689</v>
      </c>
      <c r="H61" s="458" t="s">
        <v>588</v>
      </c>
      <c r="I61" s="456" t="s">
        <v>601</v>
      </c>
      <c r="J61" s="456">
        <v>250</v>
      </c>
    </row>
    <row r="62" spans="1:10" x14ac:dyDescent="0.2">
      <c r="A62" s="458">
        <v>5072</v>
      </c>
      <c r="B62" s="458" t="s">
        <v>690</v>
      </c>
      <c r="C62" s="458" t="s">
        <v>691</v>
      </c>
      <c r="D62" s="458" t="s">
        <v>443</v>
      </c>
      <c r="E62" s="458">
        <v>5072</v>
      </c>
      <c r="F62" s="458">
        <v>90074067</v>
      </c>
      <c r="G62" s="458" t="s">
        <v>692</v>
      </c>
      <c r="H62" s="458" t="s">
        <v>588</v>
      </c>
      <c r="I62" s="456" t="s">
        <v>601</v>
      </c>
      <c r="J62" s="456">
        <v>250</v>
      </c>
    </row>
    <row r="63" spans="1:10" x14ac:dyDescent="0.2">
      <c r="A63" s="458">
        <v>4056</v>
      </c>
      <c r="B63" s="458" t="s">
        <v>693</v>
      </c>
      <c r="C63" s="458" t="s">
        <v>694</v>
      </c>
      <c r="D63" s="458" t="s">
        <v>443</v>
      </c>
      <c r="E63" s="458">
        <v>4056</v>
      </c>
      <c r="F63" s="458">
        <v>90070626</v>
      </c>
      <c r="G63" s="458" t="s">
        <v>695</v>
      </c>
      <c r="H63" s="458" t="s">
        <v>588</v>
      </c>
      <c r="I63" s="456" t="s">
        <v>601</v>
      </c>
      <c r="J63" s="456">
        <v>250</v>
      </c>
    </row>
    <row r="64" spans="1:10" x14ac:dyDescent="0.2">
      <c r="A64" s="458">
        <v>7016</v>
      </c>
      <c r="B64" s="458" t="s">
        <v>696</v>
      </c>
      <c r="C64" s="458" t="s">
        <v>697</v>
      </c>
      <c r="D64" s="458" t="s">
        <v>443</v>
      </c>
      <c r="E64" s="458">
        <v>7016</v>
      </c>
      <c r="F64" s="458">
        <v>90074092</v>
      </c>
      <c r="G64" s="458" t="s">
        <v>698</v>
      </c>
      <c r="H64" s="458" t="s">
        <v>588</v>
      </c>
      <c r="I64" s="456" t="s">
        <v>601</v>
      </c>
      <c r="J64" s="456">
        <v>250</v>
      </c>
    </row>
    <row r="65" spans="1:11" x14ac:dyDescent="0.2">
      <c r="A65" s="458">
        <v>4052</v>
      </c>
      <c r="B65" s="458" t="s">
        <v>699</v>
      </c>
      <c r="C65" s="458" t="s">
        <v>700</v>
      </c>
      <c r="D65" s="458" t="s">
        <v>443</v>
      </c>
      <c r="E65" s="458">
        <v>4052</v>
      </c>
      <c r="F65" s="458">
        <v>90070599</v>
      </c>
      <c r="G65" s="458" t="s">
        <v>701</v>
      </c>
      <c r="H65" s="458" t="s">
        <v>588</v>
      </c>
      <c r="I65" s="456" t="s">
        <v>601</v>
      </c>
      <c r="J65" s="456">
        <v>250</v>
      </c>
    </row>
    <row r="66" spans="1:11" x14ac:dyDescent="0.2">
      <c r="A66" s="458">
        <v>6282</v>
      </c>
      <c r="B66" s="458" t="s">
        <v>702</v>
      </c>
      <c r="C66" s="458" t="s">
        <v>703</v>
      </c>
      <c r="D66" s="458" t="s">
        <v>443</v>
      </c>
      <c r="E66" s="458">
        <v>6282</v>
      </c>
      <c r="F66" s="458">
        <v>90070611</v>
      </c>
      <c r="G66" s="458" t="s">
        <v>704</v>
      </c>
      <c r="H66" s="458" t="s">
        <v>588</v>
      </c>
      <c r="I66" s="456" t="s">
        <v>601</v>
      </c>
      <c r="J66" s="456">
        <v>250</v>
      </c>
    </row>
    <row r="67" spans="1:11" x14ac:dyDescent="0.2">
      <c r="A67" s="458">
        <v>5068</v>
      </c>
      <c r="B67" s="458" t="s">
        <v>705</v>
      </c>
      <c r="C67" s="458" t="s">
        <v>706</v>
      </c>
      <c r="D67" s="458" t="s">
        <v>443</v>
      </c>
      <c r="E67" s="458">
        <v>5068</v>
      </c>
      <c r="F67" s="458">
        <v>90070588</v>
      </c>
      <c r="G67" s="458" t="s">
        <v>707</v>
      </c>
      <c r="H67" s="458" t="s">
        <v>588</v>
      </c>
      <c r="I67" s="456" t="s">
        <v>601</v>
      </c>
      <c r="J67" s="456">
        <v>250</v>
      </c>
    </row>
    <row r="68" spans="1:11" x14ac:dyDescent="0.2">
      <c r="A68" s="458">
        <v>9197</v>
      </c>
      <c r="B68" s="458" t="s">
        <v>708</v>
      </c>
      <c r="C68" s="458" t="s">
        <v>709</v>
      </c>
      <c r="D68" s="458" t="s">
        <v>443</v>
      </c>
      <c r="E68" s="458">
        <v>9197</v>
      </c>
      <c r="F68" s="458">
        <v>90074061</v>
      </c>
      <c r="G68" s="458" t="s">
        <v>710</v>
      </c>
      <c r="H68" s="458" t="s">
        <v>588</v>
      </c>
      <c r="I68" s="456" t="s">
        <v>601</v>
      </c>
      <c r="J68" s="456">
        <v>250</v>
      </c>
    </row>
    <row r="69" spans="1:11" x14ac:dyDescent="0.2">
      <c r="A69" s="458">
        <v>4068</v>
      </c>
      <c r="B69" s="458" t="s">
        <v>711</v>
      </c>
      <c r="C69" s="458" t="s">
        <v>712</v>
      </c>
      <c r="D69" s="458" t="s">
        <v>443</v>
      </c>
      <c r="E69" s="458">
        <v>4068</v>
      </c>
      <c r="F69" s="458">
        <v>90070634</v>
      </c>
      <c r="G69" s="458" t="s">
        <v>713</v>
      </c>
      <c r="H69" s="458" t="s">
        <v>588</v>
      </c>
      <c r="I69" s="456" t="s">
        <v>601</v>
      </c>
      <c r="J69" s="456">
        <v>250</v>
      </c>
    </row>
    <row r="70" spans="1:11" x14ac:dyDescent="0.2">
      <c r="A70" s="458">
        <v>6281</v>
      </c>
      <c r="B70" s="458" t="s">
        <v>714</v>
      </c>
      <c r="C70" s="458" t="s">
        <v>715</v>
      </c>
      <c r="D70" s="458" t="s">
        <v>443</v>
      </c>
      <c r="E70" s="458">
        <v>6281</v>
      </c>
      <c r="F70" s="458">
        <v>90070610</v>
      </c>
      <c r="G70" s="458" t="s">
        <v>716</v>
      </c>
      <c r="H70" s="458" t="s">
        <v>588</v>
      </c>
      <c r="I70" s="456" t="s">
        <v>601</v>
      </c>
      <c r="J70" s="456">
        <v>250</v>
      </c>
    </row>
    <row r="71" spans="1:11" x14ac:dyDescent="0.2">
      <c r="A71" s="458">
        <v>4051</v>
      </c>
      <c r="B71" s="458" t="s">
        <v>717</v>
      </c>
      <c r="C71" s="458" t="s">
        <v>718</v>
      </c>
      <c r="D71" s="458" t="s">
        <v>443</v>
      </c>
      <c r="E71" s="458">
        <v>4051</v>
      </c>
      <c r="F71" s="458">
        <v>90070598</v>
      </c>
      <c r="G71" s="458" t="s">
        <v>719</v>
      </c>
      <c r="H71" s="458" t="s">
        <v>588</v>
      </c>
      <c r="I71" s="456" t="s">
        <v>601</v>
      </c>
      <c r="J71" s="456">
        <v>250</v>
      </c>
    </row>
    <row r="72" spans="1:11" x14ac:dyDescent="0.2">
      <c r="A72" s="458">
        <v>6279</v>
      </c>
      <c r="B72" s="458" t="s">
        <v>720</v>
      </c>
      <c r="C72" s="458" t="s">
        <v>721</v>
      </c>
      <c r="D72" s="458" t="s">
        <v>443</v>
      </c>
      <c r="E72" s="458">
        <v>6279</v>
      </c>
      <c r="F72" s="458">
        <v>90070607</v>
      </c>
      <c r="G72" s="458" t="s">
        <v>722</v>
      </c>
      <c r="H72" s="458" t="s">
        <v>588</v>
      </c>
      <c r="I72" s="456" t="s">
        <v>601</v>
      </c>
      <c r="J72" s="456">
        <v>250</v>
      </c>
      <c r="K72" s="520"/>
    </row>
    <row r="73" spans="1:11" x14ac:dyDescent="0.2">
      <c r="A73" s="458">
        <v>4253</v>
      </c>
      <c r="B73" s="458" t="s">
        <v>723</v>
      </c>
      <c r="C73" s="458" t="s">
        <v>724</v>
      </c>
      <c r="D73" s="458" t="s">
        <v>443</v>
      </c>
      <c r="E73" s="458">
        <v>4253</v>
      </c>
      <c r="F73" s="458">
        <v>90070608</v>
      </c>
      <c r="G73" s="458" t="s">
        <v>725</v>
      </c>
      <c r="H73" s="458" t="s">
        <v>588</v>
      </c>
      <c r="I73" s="456" t="s">
        <v>601</v>
      </c>
      <c r="J73" s="456">
        <v>250</v>
      </c>
      <c r="K73" s="520"/>
    </row>
    <row r="74" spans="1:11" x14ac:dyDescent="0.2">
      <c r="A74" s="458">
        <v>7034</v>
      </c>
      <c r="B74" s="458" t="s">
        <v>726</v>
      </c>
      <c r="C74" s="458" t="s">
        <v>727</v>
      </c>
      <c r="D74" s="458" t="s">
        <v>443</v>
      </c>
      <c r="E74" s="458">
        <v>7034</v>
      </c>
      <c r="F74" s="458">
        <v>90070621</v>
      </c>
      <c r="G74" s="458" t="s">
        <v>728</v>
      </c>
      <c r="H74" s="458" t="s">
        <v>588</v>
      </c>
      <c r="I74" s="456" t="s">
        <v>601</v>
      </c>
      <c r="J74" s="456">
        <v>250</v>
      </c>
      <c r="K74" s="520"/>
    </row>
    <row r="75" spans="1:11" x14ac:dyDescent="0.2">
      <c r="A75" s="458">
        <v>6283</v>
      </c>
      <c r="B75" s="458" t="s">
        <v>729</v>
      </c>
      <c r="C75" s="458" t="s">
        <v>730</v>
      </c>
      <c r="D75" s="458" t="s">
        <v>443</v>
      </c>
      <c r="E75" s="458">
        <v>6283</v>
      </c>
      <c r="F75" s="458">
        <v>90070612</v>
      </c>
      <c r="G75" s="458" t="s">
        <v>731</v>
      </c>
      <c r="H75" s="458" t="s">
        <v>588</v>
      </c>
      <c r="I75" s="456" t="s">
        <v>601</v>
      </c>
      <c r="J75" s="456">
        <v>250</v>
      </c>
      <c r="K75" s="520"/>
    </row>
    <row r="76" spans="1:11" x14ac:dyDescent="0.2">
      <c r="A76" s="458">
        <v>4055</v>
      </c>
      <c r="B76" s="458" t="s">
        <v>732</v>
      </c>
      <c r="C76" s="458" t="s">
        <v>733</v>
      </c>
      <c r="D76" s="458" t="s">
        <v>443</v>
      </c>
      <c r="E76" s="458">
        <v>4055</v>
      </c>
      <c r="F76" s="458">
        <v>90070616</v>
      </c>
      <c r="G76" s="458" t="s">
        <v>734</v>
      </c>
      <c r="H76" s="458" t="s">
        <v>588</v>
      </c>
      <c r="I76" s="456" t="s">
        <v>601</v>
      </c>
      <c r="J76" s="456">
        <v>250</v>
      </c>
      <c r="K76" s="520"/>
    </row>
    <row r="77" spans="1:11" x14ac:dyDescent="0.2">
      <c r="A77" s="458">
        <v>6278</v>
      </c>
      <c r="B77" s="458" t="s">
        <v>87</v>
      </c>
      <c r="C77" s="458" t="s">
        <v>735</v>
      </c>
      <c r="D77" s="458" t="s">
        <v>438</v>
      </c>
      <c r="E77" s="458">
        <v>6278</v>
      </c>
      <c r="F77" s="458">
        <v>90070606</v>
      </c>
      <c r="G77" s="458" t="s">
        <v>736</v>
      </c>
      <c r="H77" s="458" t="s">
        <v>737</v>
      </c>
      <c r="I77" s="456" t="s">
        <v>601</v>
      </c>
      <c r="J77" s="456">
        <v>250</v>
      </c>
    </row>
    <row r="78" spans="1:11" x14ac:dyDescent="0.2">
      <c r="A78" s="458">
        <v>4062</v>
      </c>
      <c r="B78" s="458" t="s">
        <v>84</v>
      </c>
      <c r="C78" s="458" t="s">
        <v>738</v>
      </c>
      <c r="D78" s="458" t="s">
        <v>441</v>
      </c>
      <c r="E78" s="458">
        <v>4062</v>
      </c>
      <c r="F78" s="458">
        <v>90070632</v>
      </c>
      <c r="G78" s="458" t="s">
        <v>739</v>
      </c>
      <c r="H78" s="458" t="s">
        <v>737</v>
      </c>
      <c r="I78" s="456" t="s">
        <v>589</v>
      </c>
      <c r="J78" s="456">
        <v>700</v>
      </c>
    </row>
    <row r="79" spans="1:11" x14ac:dyDescent="0.2">
      <c r="A79" s="458">
        <v>4067</v>
      </c>
      <c r="B79" s="458" t="s">
        <v>86</v>
      </c>
      <c r="C79" s="458" t="s">
        <v>740</v>
      </c>
      <c r="D79" s="458" t="s">
        <v>441</v>
      </c>
      <c r="E79" s="458">
        <v>4067</v>
      </c>
      <c r="F79" s="458">
        <v>90070633</v>
      </c>
      <c r="G79" s="458" t="s">
        <v>741</v>
      </c>
      <c r="H79" s="458" t="s">
        <v>737</v>
      </c>
      <c r="I79" s="456" t="s">
        <v>589</v>
      </c>
      <c r="J79" s="456">
        <v>700</v>
      </c>
    </row>
    <row r="80" spans="1:11" x14ac:dyDescent="0.2">
      <c r="A80" s="458">
        <v>4059</v>
      </c>
      <c r="B80" s="458" t="s">
        <v>88</v>
      </c>
      <c r="C80" s="458" t="s">
        <v>742</v>
      </c>
      <c r="D80" s="458" t="s">
        <v>441</v>
      </c>
      <c r="E80" s="458">
        <v>4059</v>
      </c>
      <c r="F80" s="458">
        <v>90070629</v>
      </c>
      <c r="G80" s="458" t="s">
        <v>743</v>
      </c>
      <c r="H80" s="458" t="s">
        <v>737</v>
      </c>
      <c r="I80" s="456" t="s">
        <v>589</v>
      </c>
      <c r="J80" s="456">
        <v>700</v>
      </c>
    </row>
  </sheetData>
  <autoFilter ref="A1:I81" xr:uid="{A2A0000E-73B0-4F58-B681-232FC94CF2F6}"/>
  <pageMargins left="0.511811024" right="0.511811024" top="0.78740157499999974" bottom="0.78740157499999974" header="0.31496061999999997" footer="0.31496061999999997"/>
  <pageSetup orientation="portrait" verticalDpi="599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BBF8F-1359-4856-B003-5D007D42640A}">
  <sheetPr codeName="P11"/>
  <dimension ref="A1:I26"/>
  <sheetViews>
    <sheetView showGridLines="0" workbookViewId="0">
      <selection activeCell="B16" sqref="B16"/>
    </sheetView>
  </sheetViews>
  <sheetFormatPr defaultColWidth="9.140625" defaultRowHeight="12.75" x14ac:dyDescent="0.2"/>
  <cols>
    <col min="1" max="1" width="17" style="79" bestFit="1" customWidth="1"/>
    <col min="2" max="4" width="10.85546875" style="79" customWidth="1"/>
    <col min="5" max="16384" width="9.140625" style="79"/>
  </cols>
  <sheetData>
    <row r="1" spans="1:4" ht="15" thickBot="1" x14ac:dyDescent="0.35">
      <c r="A1" s="927" t="s">
        <v>362</v>
      </c>
      <c r="B1" s="928"/>
      <c r="C1" s="928"/>
      <c r="D1" s="929"/>
    </row>
    <row r="2" spans="1:4" x14ac:dyDescent="0.2">
      <c r="A2" s="296"/>
      <c r="B2" s="297" t="s">
        <v>744</v>
      </c>
      <c r="C2" s="297" t="s">
        <v>530</v>
      </c>
      <c r="D2" s="298" t="s">
        <v>745</v>
      </c>
    </row>
    <row r="3" spans="1:4" x14ac:dyDescent="0.2">
      <c r="A3" s="281" t="s">
        <v>362</v>
      </c>
      <c r="B3" s="282">
        <f>'PONTA GROSSA'!$O$28+'PONTA GROSSA'!$O$39</f>
        <v>3</v>
      </c>
      <c r="C3" s="282">
        <f>'PONTA GROSSA'!$E$28+'PONTA GROSSA'!$E$39</f>
        <v>106</v>
      </c>
      <c r="D3" s="283">
        <f>'PONTA GROSSA'!$G$28+'PONTA GROSSA'!$G$39</f>
        <v>645.4</v>
      </c>
    </row>
    <row r="4" spans="1:4" x14ac:dyDescent="0.2">
      <c r="A4" s="284" t="s">
        <v>746</v>
      </c>
      <c r="B4" s="285">
        <f>'PONTA GROSSA'!$O$17</f>
        <v>1</v>
      </c>
      <c r="C4" s="285">
        <f>'PONTA GROSSA'!$E$17</f>
        <v>45</v>
      </c>
      <c r="D4" s="286">
        <f>'PONTA GROSSA'!$G$17</f>
        <v>256.2</v>
      </c>
    </row>
    <row r="5" spans="1:4" ht="13.5" thickBot="1" x14ac:dyDescent="0.25">
      <c r="A5" s="287" t="s">
        <v>747</v>
      </c>
      <c r="B5" s="288">
        <f>'PONTA GROSSA'!$O$50</f>
        <v>3</v>
      </c>
      <c r="C5" s="288">
        <f>'PONTA GROSSA'!$E$50</f>
        <v>118</v>
      </c>
      <c r="D5" s="289">
        <f>'PONTA GROSSA'!$G$50</f>
        <v>850</v>
      </c>
    </row>
    <row r="6" spans="1:4" ht="18" customHeight="1" thickBot="1" x14ac:dyDescent="0.25"/>
    <row r="7" spans="1:4" ht="15" thickBot="1" x14ac:dyDescent="0.35">
      <c r="A7" s="927" t="s">
        <v>311</v>
      </c>
      <c r="B7" s="928"/>
      <c r="C7" s="928"/>
      <c r="D7" s="929"/>
    </row>
    <row r="8" spans="1:4" x14ac:dyDescent="0.2">
      <c r="A8" s="299"/>
      <c r="B8" s="300" t="s">
        <v>744</v>
      </c>
      <c r="C8" s="300" t="s">
        <v>530</v>
      </c>
      <c r="D8" s="301" t="s">
        <v>745</v>
      </c>
    </row>
    <row r="9" spans="1:4" x14ac:dyDescent="0.2">
      <c r="A9" s="284" t="s">
        <v>748</v>
      </c>
      <c r="B9" s="285">
        <f>LITORAL!$O$18</f>
        <v>3</v>
      </c>
      <c r="C9" s="285">
        <f>LITORAL!$E$18</f>
        <v>0</v>
      </c>
      <c r="D9" s="286">
        <f>LITORAL!$G$18</f>
        <v>0</v>
      </c>
    </row>
    <row r="10" spans="1:4" x14ac:dyDescent="0.2">
      <c r="A10" s="284" t="s">
        <v>749</v>
      </c>
      <c r="B10" s="285">
        <f>LITORAL!$O$30</f>
        <v>0</v>
      </c>
      <c r="C10" s="285">
        <f>LITORAL!$E$30</f>
        <v>0</v>
      </c>
      <c r="D10" s="286">
        <f>LITORAL!$G$30</f>
        <v>0</v>
      </c>
    </row>
    <row r="11" spans="1:4" ht="13.5" thickBot="1" x14ac:dyDescent="0.25">
      <c r="A11" s="292" t="s">
        <v>750</v>
      </c>
      <c r="B11" s="293">
        <f>LITORAL!$O$42</f>
        <v>0</v>
      </c>
      <c r="C11" s="293">
        <f>LITORAL!$E$42</f>
        <v>0</v>
      </c>
      <c r="D11" s="294">
        <f>LITORAL!$G$42</f>
        <v>0</v>
      </c>
    </row>
    <row r="12" spans="1:4" ht="13.5" thickBot="1" x14ac:dyDescent="0.25"/>
    <row r="13" spans="1:4" ht="15" thickBot="1" x14ac:dyDescent="0.35">
      <c r="A13" s="927" t="s">
        <v>216</v>
      </c>
      <c r="B13" s="928"/>
      <c r="C13" s="928"/>
      <c r="D13" s="929"/>
    </row>
    <row r="14" spans="1:4" ht="13.5" thickBot="1" x14ac:dyDescent="0.25">
      <c r="A14" s="299"/>
      <c r="B14" s="300" t="s">
        <v>744</v>
      </c>
      <c r="C14" s="300" t="s">
        <v>530</v>
      </c>
      <c r="D14" s="301" t="s">
        <v>745</v>
      </c>
    </row>
    <row r="15" spans="1:4" x14ac:dyDescent="0.2">
      <c r="A15" s="280" t="s">
        <v>751</v>
      </c>
      <c r="B15" s="290">
        <f>GUARAPUAVA!$N$18</f>
        <v>0</v>
      </c>
      <c r="C15" s="290">
        <f>GUARAPUAVA!$E$18</f>
        <v>0</v>
      </c>
      <c r="D15" s="291">
        <f>GUARAPUAVA!$G$18</f>
        <v>695</v>
      </c>
    </row>
    <row r="16" spans="1:4" x14ac:dyDescent="0.2">
      <c r="A16" s="284" t="s">
        <v>752</v>
      </c>
      <c r="B16" s="285">
        <f>GUARAPUAVA!$N$30</f>
        <v>0</v>
      </c>
      <c r="C16" s="285">
        <f>GUARAPUAVA!$E$30</f>
        <v>0</v>
      </c>
      <c r="D16" s="286">
        <f>GUARAPUAVA!$G$30</f>
        <v>30.6</v>
      </c>
    </row>
    <row r="17" spans="1:9" x14ac:dyDescent="0.2">
      <c r="A17" s="284" t="s">
        <v>216</v>
      </c>
      <c r="B17" s="285">
        <f>GUARAPUAVA!N42+GUARAPUAVA!$N$54</f>
        <v>0</v>
      </c>
      <c r="C17" s="285">
        <f>GUARAPUAVA!E42+GUARAPUAVA!$E$54</f>
        <v>0</v>
      </c>
      <c r="D17" s="286">
        <f>GUARAPUAVA!G42+GUARAPUAVA!$G$54</f>
        <v>436.40000000000003</v>
      </c>
    </row>
    <row r="18" spans="1:9" ht="13.5" thickBot="1" x14ac:dyDescent="0.25">
      <c r="I18" s="295"/>
    </row>
    <row r="19" spans="1:9" ht="15" thickBot="1" x14ac:dyDescent="0.35">
      <c r="A19" s="927" t="s">
        <v>354</v>
      </c>
      <c r="B19" s="928"/>
      <c r="C19" s="928"/>
      <c r="D19" s="929"/>
      <c r="I19" s="295"/>
    </row>
    <row r="20" spans="1:9" x14ac:dyDescent="0.2">
      <c r="A20" s="299"/>
      <c r="B20" s="300" t="s">
        <v>744</v>
      </c>
      <c r="C20" s="300" t="s">
        <v>530</v>
      </c>
      <c r="D20" s="301" t="s">
        <v>745</v>
      </c>
      <c r="I20" s="295"/>
    </row>
    <row r="21" spans="1:9" x14ac:dyDescent="0.2">
      <c r="A21" s="284" t="s">
        <v>753</v>
      </c>
      <c r="B21" s="285">
        <f>SUDOESTE!$N$18</f>
        <v>0</v>
      </c>
      <c r="C21" s="285">
        <f>SUDOESTE!$E$18</f>
        <v>0</v>
      </c>
      <c r="D21" s="286">
        <f>SUDOESTE!$G$18</f>
        <v>939.59999999999991</v>
      </c>
      <c r="I21" s="295"/>
    </row>
    <row r="22" spans="1:9" x14ac:dyDescent="0.2">
      <c r="A22" s="284" t="s">
        <v>754</v>
      </c>
      <c r="B22" s="285">
        <f>SUDOESTE!$N$30</f>
        <v>0</v>
      </c>
      <c r="C22" s="285">
        <f>SUDOESTE!$E$30</f>
        <v>0</v>
      </c>
      <c r="D22" s="286">
        <f>SUDOESTE!$G$30</f>
        <v>980</v>
      </c>
      <c r="I22" s="295"/>
    </row>
    <row r="23" spans="1:9" x14ac:dyDescent="0.2">
      <c r="A23" s="284" t="s">
        <v>755</v>
      </c>
      <c r="B23" s="285">
        <f>SUDOESTE!$N$42</f>
        <v>0</v>
      </c>
      <c r="C23" s="285">
        <f>SUDOESTE!$E$42</f>
        <v>0</v>
      </c>
      <c r="D23" s="286">
        <f>SUDOESTE!$G$42</f>
        <v>1066.8</v>
      </c>
      <c r="I23" s="295"/>
    </row>
    <row r="24" spans="1:9" x14ac:dyDescent="0.2">
      <c r="A24" s="284" t="s">
        <v>756</v>
      </c>
      <c r="B24" s="285">
        <f>SUDOESTE!$N$54</f>
        <v>0</v>
      </c>
      <c r="C24" s="285">
        <f>SUDOESTE!$E$54</f>
        <v>0</v>
      </c>
      <c r="D24" s="286">
        <f>SUDOESTE!$G$54</f>
        <v>846</v>
      </c>
      <c r="I24" s="295"/>
    </row>
    <row r="25" spans="1:9" x14ac:dyDescent="0.2">
      <c r="A25" s="284" t="s">
        <v>757</v>
      </c>
      <c r="B25" s="285">
        <f>SUDOESTE!$N$66</f>
        <v>0</v>
      </c>
      <c r="C25" s="285">
        <f>SUDOESTE!$E$66</f>
        <v>0</v>
      </c>
      <c r="D25" s="286">
        <f>SUDOESTE!$G$66</f>
        <v>0</v>
      </c>
      <c r="I25" s="295"/>
    </row>
    <row r="26" spans="1:9" ht="12" customHeight="1" thickBot="1" x14ac:dyDescent="0.25">
      <c r="A26" s="287" t="s">
        <v>758</v>
      </c>
      <c r="B26" s="288">
        <f>SUDOESTE!$N$78</f>
        <v>0</v>
      </c>
      <c r="C26" s="288">
        <f>SUDOESTE!$E$78</f>
        <v>0</v>
      </c>
      <c r="D26" s="289">
        <f>SUDOESTE!$G$78</f>
        <v>767</v>
      </c>
    </row>
  </sheetData>
  <mergeCells count="4">
    <mergeCell ref="A7:D7"/>
    <mergeCell ref="A13:D13"/>
    <mergeCell ref="A1:D1"/>
    <mergeCell ref="A19:D19"/>
  </mergeCells>
  <pageMargins left="0.511811024" right="0.511811024" top="0.78740157499999974" bottom="0.78740157499999974" header="0.31496061999999997" footer="0.31496061999999997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DBCE0-B00B-4F60-9A60-5B7B6AE5CF6D}">
  <sheetPr codeName="P09"/>
  <dimension ref="A1:P54"/>
  <sheetViews>
    <sheetView showGridLines="0" zoomScaleNormal="100" workbookViewId="0">
      <selection activeCell="C2" sqref="C2:C21"/>
    </sheetView>
  </sheetViews>
  <sheetFormatPr defaultRowHeight="12" customHeight="1" x14ac:dyDescent="0.2"/>
  <cols>
    <col min="1" max="1" width="12" bestFit="1" customWidth="1"/>
    <col min="2" max="2" width="7.140625" bestFit="1" customWidth="1"/>
    <col min="3" max="3" width="9" bestFit="1" customWidth="1"/>
    <col min="4" max="4" width="18.28515625" bestFit="1" customWidth="1"/>
    <col min="5" max="5" width="3.140625" customWidth="1"/>
    <col min="6" max="6" width="4.85546875" hidden="1" customWidth="1"/>
    <col min="7" max="8" width="4.7109375" hidden="1" customWidth="1"/>
    <col min="9" max="9" width="3.140625" customWidth="1"/>
    <col min="10" max="10" width="5.140625" bestFit="1" customWidth="1"/>
    <col min="11" max="11" width="9" bestFit="1" customWidth="1"/>
    <col min="12" max="12" width="7.140625" bestFit="1" customWidth="1"/>
    <col min="13" max="13" width="3.140625" customWidth="1"/>
    <col min="14" max="14" width="12.85546875" customWidth="1"/>
  </cols>
  <sheetData>
    <row r="1" spans="1:16" ht="34.5" thickBot="1" x14ac:dyDescent="0.25">
      <c r="A1" s="60" t="s">
        <v>432</v>
      </c>
      <c r="B1" s="61" t="s">
        <v>17</v>
      </c>
      <c r="C1" s="61" t="s">
        <v>759</v>
      </c>
      <c r="D1" s="62" t="s">
        <v>760</v>
      </c>
      <c r="E1" s="63"/>
      <c r="F1" s="60" t="s">
        <v>432</v>
      </c>
      <c r="G1" s="61" t="s">
        <v>759</v>
      </c>
      <c r="H1" s="62" t="s">
        <v>17</v>
      </c>
      <c r="I1" s="63"/>
      <c r="J1" s="60" t="s">
        <v>432</v>
      </c>
      <c r="K1" s="61" t="s">
        <v>759</v>
      </c>
      <c r="L1" s="62" t="s">
        <v>17</v>
      </c>
      <c r="N1" s="60" t="s">
        <v>432</v>
      </c>
      <c r="O1" s="61" t="s">
        <v>759</v>
      </c>
      <c r="P1" s="62" t="s">
        <v>17</v>
      </c>
    </row>
    <row r="2" spans="1:16" ht="12" customHeight="1" x14ac:dyDescent="0.2">
      <c r="A2" s="64" t="s">
        <v>761</v>
      </c>
      <c r="B2" s="65" t="s">
        <v>762</v>
      </c>
      <c r="C2" s="65" t="s">
        <v>546</v>
      </c>
      <c r="D2" s="66" t="s">
        <v>750</v>
      </c>
      <c r="E2" s="63"/>
      <c r="F2" s="64" t="s">
        <v>35</v>
      </c>
      <c r="G2" s="65" t="s">
        <v>599</v>
      </c>
      <c r="H2" s="66" t="s">
        <v>39</v>
      </c>
      <c r="I2" s="63"/>
      <c r="J2" s="67" t="s">
        <v>384</v>
      </c>
      <c r="K2" s="68" t="s">
        <v>682</v>
      </c>
      <c r="L2" s="69" t="s">
        <v>406</v>
      </c>
      <c r="N2" s="64" t="s">
        <v>0</v>
      </c>
      <c r="O2" s="65" t="s">
        <v>586</v>
      </c>
      <c r="P2" s="66" t="s">
        <v>27</v>
      </c>
    </row>
    <row r="3" spans="1:16" ht="12" customHeight="1" x14ac:dyDescent="0.2">
      <c r="A3" s="67" t="s">
        <v>761</v>
      </c>
      <c r="B3" s="68" t="s">
        <v>763</v>
      </c>
      <c r="C3" s="68" t="s">
        <v>548</v>
      </c>
      <c r="D3" s="69" t="s">
        <v>748</v>
      </c>
      <c r="E3" s="63"/>
      <c r="F3" s="67" t="s">
        <v>35</v>
      </c>
      <c r="G3" s="68" t="s">
        <v>607</v>
      </c>
      <c r="H3" s="69" t="s">
        <v>40</v>
      </c>
      <c r="I3" s="63"/>
      <c r="J3" s="67" t="s">
        <v>384</v>
      </c>
      <c r="K3" s="68" t="s">
        <v>679</v>
      </c>
      <c r="L3" s="69" t="s">
        <v>407</v>
      </c>
      <c r="N3" s="67" t="s">
        <v>0</v>
      </c>
      <c r="O3" s="68" t="s">
        <v>591</v>
      </c>
      <c r="P3" s="69" t="s">
        <v>28</v>
      </c>
    </row>
    <row r="4" spans="1:16" ht="12" customHeight="1" x14ac:dyDescent="0.2">
      <c r="A4" s="67" t="s">
        <v>761</v>
      </c>
      <c r="B4" s="68" t="s">
        <v>764</v>
      </c>
      <c r="C4" s="68" t="s">
        <v>549</v>
      </c>
      <c r="D4" s="69" t="s">
        <v>765</v>
      </c>
      <c r="E4" s="63"/>
      <c r="F4" s="67" t="s">
        <v>35</v>
      </c>
      <c r="G4" s="68" t="s">
        <v>605</v>
      </c>
      <c r="H4" s="69" t="s">
        <v>41</v>
      </c>
      <c r="I4" s="63"/>
      <c r="J4" s="67" t="s">
        <v>384</v>
      </c>
      <c r="K4" s="68" t="s">
        <v>676</v>
      </c>
      <c r="L4" s="69" t="s">
        <v>408</v>
      </c>
      <c r="N4" s="67" t="s">
        <v>0</v>
      </c>
      <c r="O4" s="68" t="s">
        <v>594</v>
      </c>
      <c r="P4" s="69" t="s">
        <v>29</v>
      </c>
    </row>
    <row r="5" spans="1:16" ht="12" customHeight="1" thickBot="1" x14ac:dyDescent="0.25">
      <c r="A5" s="67" t="s">
        <v>761</v>
      </c>
      <c r="B5" s="68" t="s">
        <v>766</v>
      </c>
      <c r="C5" s="68" t="s">
        <v>551</v>
      </c>
      <c r="D5" s="69" t="s">
        <v>767</v>
      </c>
      <c r="E5" s="63"/>
      <c r="F5" s="67" t="s">
        <v>35</v>
      </c>
      <c r="G5" s="68" t="s">
        <v>602</v>
      </c>
      <c r="H5" s="69" t="s">
        <v>42</v>
      </c>
      <c r="I5" s="63"/>
      <c r="J5" s="67" t="s">
        <v>384</v>
      </c>
      <c r="K5" s="68" t="s">
        <v>709</v>
      </c>
      <c r="L5" s="69" t="s">
        <v>409</v>
      </c>
      <c r="N5" s="70" t="s">
        <v>0</v>
      </c>
      <c r="O5" s="71" t="s">
        <v>597</v>
      </c>
      <c r="P5" s="72" t="s">
        <v>30</v>
      </c>
    </row>
    <row r="6" spans="1:16" ht="12" customHeight="1" thickBot="1" x14ac:dyDescent="0.25">
      <c r="A6" s="67" t="s">
        <v>761</v>
      </c>
      <c r="B6" s="68" t="s">
        <v>768</v>
      </c>
      <c r="C6" s="68" t="s">
        <v>553</v>
      </c>
      <c r="D6" s="69" t="s">
        <v>767</v>
      </c>
      <c r="E6" s="63"/>
      <c r="F6" s="67" t="s">
        <v>35</v>
      </c>
      <c r="G6" s="68" t="s">
        <v>603</v>
      </c>
      <c r="H6" s="69" t="s">
        <v>43</v>
      </c>
      <c r="I6" s="63"/>
      <c r="J6" s="67" t="s">
        <v>384</v>
      </c>
      <c r="K6" s="68" t="s">
        <v>655</v>
      </c>
      <c r="L6" s="69" t="s">
        <v>410</v>
      </c>
    </row>
    <row r="7" spans="1:16" ht="12" customHeight="1" thickBot="1" x14ac:dyDescent="0.25">
      <c r="A7" s="64" t="s">
        <v>769</v>
      </c>
      <c r="B7" s="65" t="s">
        <v>770</v>
      </c>
      <c r="C7" s="65" t="s">
        <v>557</v>
      </c>
      <c r="D7" s="66" t="s">
        <v>746</v>
      </c>
      <c r="E7" s="63"/>
      <c r="F7" s="67" t="s">
        <v>35</v>
      </c>
      <c r="G7" s="68" t="s">
        <v>609</v>
      </c>
      <c r="H7" s="69" t="s">
        <v>44</v>
      </c>
      <c r="I7" s="63"/>
      <c r="J7" s="67" t="s">
        <v>384</v>
      </c>
      <c r="K7" s="68" t="s">
        <v>625</v>
      </c>
      <c r="L7" s="69" t="s">
        <v>391</v>
      </c>
      <c r="N7" s="73" t="s">
        <v>532</v>
      </c>
      <c r="O7" s="73" t="s">
        <v>712</v>
      </c>
      <c r="P7" s="74" t="s">
        <v>771</v>
      </c>
    </row>
    <row r="8" spans="1:16" ht="12" customHeight="1" x14ac:dyDescent="0.2">
      <c r="A8" s="67" t="s">
        <v>769</v>
      </c>
      <c r="B8" s="68" t="s">
        <v>772</v>
      </c>
      <c r="C8" s="68" t="s">
        <v>562</v>
      </c>
      <c r="D8" s="69" t="s">
        <v>362</v>
      </c>
      <c r="E8" s="63"/>
      <c r="F8" s="67" t="s">
        <v>35</v>
      </c>
      <c r="G8" s="68" t="s">
        <v>697</v>
      </c>
      <c r="H8" s="69" t="s">
        <v>45</v>
      </c>
      <c r="I8" s="63"/>
      <c r="J8" s="67" t="s">
        <v>384</v>
      </c>
      <c r="K8" s="68" t="s">
        <v>661</v>
      </c>
      <c r="L8" s="69" t="s">
        <v>411</v>
      </c>
    </row>
    <row r="9" spans="1:16" ht="12" customHeight="1" thickBot="1" x14ac:dyDescent="0.25">
      <c r="A9" s="481" t="s">
        <v>769</v>
      </c>
      <c r="B9" s="482" t="s">
        <v>773</v>
      </c>
      <c r="C9" s="482" t="s">
        <v>560</v>
      </c>
      <c r="D9" s="483" t="s">
        <v>362</v>
      </c>
      <c r="E9" s="63"/>
      <c r="F9" s="67" t="s">
        <v>35</v>
      </c>
      <c r="G9" s="477" t="s">
        <v>721</v>
      </c>
      <c r="H9" s="69" t="s">
        <v>46</v>
      </c>
      <c r="I9" s="63"/>
      <c r="J9" s="67" t="s">
        <v>384</v>
      </c>
      <c r="K9" s="68" t="s">
        <v>691</v>
      </c>
      <c r="L9" s="69" t="s">
        <v>412</v>
      </c>
    </row>
    <row r="10" spans="1:16" ht="12" customHeight="1" x14ac:dyDescent="0.2">
      <c r="A10" s="64" t="s">
        <v>774</v>
      </c>
      <c r="B10" s="65" t="s">
        <v>775</v>
      </c>
      <c r="C10" s="65" t="s">
        <v>581</v>
      </c>
      <c r="D10" s="66" t="s">
        <v>751</v>
      </c>
      <c r="E10" s="63"/>
      <c r="F10" s="67" t="s">
        <v>35</v>
      </c>
      <c r="G10" s="68" t="s">
        <v>631</v>
      </c>
      <c r="H10" s="69" t="s">
        <v>47</v>
      </c>
      <c r="I10" s="63"/>
      <c r="J10" s="67" t="s">
        <v>384</v>
      </c>
      <c r="K10" s="68" t="s">
        <v>652</v>
      </c>
      <c r="L10" s="69" t="s">
        <v>413</v>
      </c>
    </row>
    <row r="11" spans="1:16" ht="12" customHeight="1" x14ac:dyDescent="0.2">
      <c r="A11" s="67" t="s">
        <v>774</v>
      </c>
      <c r="B11" s="68" t="s">
        <v>776</v>
      </c>
      <c r="C11" s="68" t="s">
        <v>568</v>
      </c>
      <c r="D11" s="69" t="s">
        <v>777</v>
      </c>
      <c r="E11" s="63"/>
      <c r="F11" s="67" t="s">
        <v>35</v>
      </c>
      <c r="G11" s="68" t="s">
        <v>628</v>
      </c>
      <c r="H11" s="69" t="s">
        <v>48</v>
      </c>
      <c r="I11" s="63"/>
      <c r="J11" s="67" t="s">
        <v>384</v>
      </c>
      <c r="K11" s="68" t="s">
        <v>649</v>
      </c>
      <c r="L11" s="69" t="s">
        <v>414</v>
      </c>
    </row>
    <row r="12" spans="1:16" ht="12" customHeight="1" x14ac:dyDescent="0.2">
      <c r="A12" s="67" t="s">
        <v>774</v>
      </c>
      <c r="B12" s="68" t="s">
        <v>778</v>
      </c>
      <c r="C12" s="68" t="s">
        <v>577</v>
      </c>
      <c r="D12" s="69" t="s">
        <v>779</v>
      </c>
      <c r="E12" s="63"/>
      <c r="F12" s="67" t="s">
        <v>35</v>
      </c>
      <c r="G12" s="477" t="s">
        <v>730</v>
      </c>
      <c r="H12" s="69" t="s">
        <v>49</v>
      </c>
      <c r="I12" s="63"/>
      <c r="J12" s="67" t="s">
        <v>384</v>
      </c>
      <c r="K12" s="68" t="s">
        <v>646</v>
      </c>
      <c r="L12" s="69" t="s">
        <v>415</v>
      </c>
    </row>
    <row r="13" spans="1:16" ht="12" customHeight="1" thickBot="1" x14ac:dyDescent="0.25">
      <c r="A13" s="70" t="s">
        <v>774</v>
      </c>
      <c r="B13" s="71" t="s">
        <v>780</v>
      </c>
      <c r="C13" s="71" t="s">
        <v>579</v>
      </c>
      <c r="D13" s="72" t="s">
        <v>781</v>
      </c>
      <c r="E13" s="63"/>
      <c r="F13" s="67" t="s">
        <v>35</v>
      </c>
      <c r="G13" s="477" t="s">
        <v>733</v>
      </c>
      <c r="H13" s="69" t="s">
        <v>50</v>
      </c>
      <c r="I13" s="63"/>
      <c r="J13" s="67" t="s">
        <v>384</v>
      </c>
      <c r="K13" s="68" t="s">
        <v>617</v>
      </c>
      <c r="L13" s="69" t="s">
        <v>392</v>
      </c>
    </row>
    <row r="14" spans="1:16" ht="12" customHeight="1" x14ac:dyDescent="0.2">
      <c r="A14" s="484" t="s">
        <v>782</v>
      </c>
      <c r="B14" s="485" t="s">
        <v>783</v>
      </c>
      <c r="C14" s="485" t="s">
        <v>573</v>
      </c>
      <c r="D14" s="486" t="s">
        <v>758</v>
      </c>
      <c r="E14" s="63"/>
      <c r="F14" s="67" t="s">
        <v>35</v>
      </c>
      <c r="G14" s="477" t="s">
        <v>727</v>
      </c>
      <c r="H14" s="69" t="s">
        <v>51</v>
      </c>
      <c r="I14" s="63"/>
      <c r="J14" s="67" t="s">
        <v>384</v>
      </c>
      <c r="K14" s="68" t="s">
        <v>643</v>
      </c>
      <c r="L14" s="69" t="s">
        <v>416</v>
      </c>
    </row>
    <row r="15" spans="1:16" ht="12" customHeight="1" x14ac:dyDescent="0.2">
      <c r="A15" s="67" t="s">
        <v>782</v>
      </c>
      <c r="B15" s="68" t="s">
        <v>784</v>
      </c>
      <c r="C15" s="68" t="s">
        <v>346</v>
      </c>
      <c r="D15" s="69" t="s">
        <v>757</v>
      </c>
      <c r="E15" s="63"/>
      <c r="F15" s="67" t="s">
        <v>35</v>
      </c>
      <c r="G15" s="477" t="s">
        <v>724</v>
      </c>
      <c r="H15" s="69" t="s">
        <v>52</v>
      </c>
      <c r="I15" s="63"/>
      <c r="J15" s="67" t="s">
        <v>384</v>
      </c>
      <c r="K15" s="68" t="s">
        <v>640</v>
      </c>
      <c r="L15" s="69" t="s">
        <v>417</v>
      </c>
    </row>
    <row r="16" spans="1:16" ht="12" customHeight="1" x14ac:dyDescent="0.2">
      <c r="A16" s="67" t="s">
        <v>782</v>
      </c>
      <c r="B16" s="68" t="s">
        <v>785</v>
      </c>
      <c r="C16" s="68" t="s">
        <v>571</v>
      </c>
      <c r="D16" s="69" t="s">
        <v>756</v>
      </c>
      <c r="E16" s="63"/>
      <c r="F16" s="67" t="s">
        <v>35</v>
      </c>
      <c r="G16" s="68" t="s">
        <v>703</v>
      </c>
      <c r="H16" s="69" t="s">
        <v>53</v>
      </c>
      <c r="I16" s="63"/>
      <c r="J16" s="67" t="s">
        <v>384</v>
      </c>
      <c r="K16" s="68" t="s">
        <v>718</v>
      </c>
      <c r="L16" s="69" t="s">
        <v>418</v>
      </c>
    </row>
    <row r="17" spans="1:12" ht="12" customHeight="1" x14ac:dyDescent="0.2">
      <c r="A17" s="67" t="s">
        <v>782</v>
      </c>
      <c r="B17" s="68" t="s">
        <v>786</v>
      </c>
      <c r="C17" s="68" t="s">
        <v>584</v>
      </c>
      <c r="D17" s="69" t="s">
        <v>787</v>
      </c>
      <c r="E17" s="63"/>
      <c r="F17" s="67" t="s">
        <v>35</v>
      </c>
      <c r="G17" s="68" t="s">
        <v>700</v>
      </c>
      <c r="H17" s="69" t="s">
        <v>54</v>
      </c>
      <c r="I17" s="63"/>
      <c r="J17" s="67" t="s">
        <v>384</v>
      </c>
      <c r="K17" s="68" t="s">
        <v>615</v>
      </c>
      <c r="L17" s="69" t="s">
        <v>393</v>
      </c>
    </row>
    <row r="18" spans="1:12" ht="12" customHeight="1" thickBot="1" x14ac:dyDescent="0.25">
      <c r="A18" s="67" t="s">
        <v>782</v>
      </c>
      <c r="B18" s="68" t="s">
        <v>788</v>
      </c>
      <c r="C18" s="68" t="s">
        <v>575</v>
      </c>
      <c r="D18" s="69" t="s">
        <v>754</v>
      </c>
      <c r="E18" s="63"/>
      <c r="F18" s="70" t="s">
        <v>35</v>
      </c>
      <c r="G18" s="71" t="s">
        <v>706</v>
      </c>
      <c r="H18" s="72" t="s">
        <v>55</v>
      </c>
      <c r="I18" s="63"/>
      <c r="J18" s="67" t="s">
        <v>384</v>
      </c>
      <c r="K18" s="68" t="s">
        <v>613</v>
      </c>
      <c r="L18" s="69" t="s">
        <v>394</v>
      </c>
    </row>
    <row r="19" spans="1:12" ht="12" customHeight="1" x14ac:dyDescent="0.2">
      <c r="A19" s="67" t="s">
        <v>782</v>
      </c>
      <c r="B19" s="68" t="s">
        <v>789</v>
      </c>
      <c r="C19" s="68" t="s">
        <v>334</v>
      </c>
      <c r="D19" s="69" t="s">
        <v>790</v>
      </c>
      <c r="E19" s="63"/>
      <c r="F19" s="63"/>
      <c r="G19" s="63"/>
      <c r="H19" s="63"/>
      <c r="I19" s="63"/>
      <c r="J19" s="67" t="s">
        <v>384</v>
      </c>
      <c r="K19" s="68" t="s">
        <v>673</v>
      </c>
      <c r="L19" s="69" t="s">
        <v>419</v>
      </c>
    </row>
    <row r="20" spans="1:12" ht="12" customHeight="1" thickBot="1" x14ac:dyDescent="0.25">
      <c r="A20" s="70" t="s">
        <v>782</v>
      </c>
      <c r="B20" s="71" t="s">
        <v>791</v>
      </c>
      <c r="C20" s="71" t="s">
        <v>564</v>
      </c>
      <c r="D20" s="72" t="s">
        <v>747</v>
      </c>
      <c r="E20" s="63"/>
      <c r="F20" s="63"/>
      <c r="G20" s="63"/>
      <c r="H20" s="63"/>
      <c r="I20" s="63"/>
      <c r="J20" s="67" t="s">
        <v>384</v>
      </c>
      <c r="K20" s="68" t="s">
        <v>670</v>
      </c>
      <c r="L20" s="69" t="s">
        <v>420</v>
      </c>
    </row>
    <row r="21" spans="1:12" ht="12" customHeight="1" thickBot="1" x14ac:dyDescent="0.25">
      <c r="A21" s="70" t="s">
        <v>792</v>
      </c>
      <c r="B21" s="71" t="s">
        <v>793</v>
      </c>
      <c r="C21" s="71" t="s">
        <v>566</v>
      </c>
      <c r="D21" s="72" t="s">
        <v>794</v>
      </c>
      <c r="E21" s="63"/>
      <c r="F21" s="63"/>
      <c r="G21" s="63"/>
      <c r="H21" s="63"/>
      <c r="I21" s="63"/>
      <c r="J21" s="67" t="s">
        <v>384</v>
      </c>
      <c r="K21" s="68" t="s">
        <v>634</v>
      </c>
      <c r="L21" s="69" t="s">
        <v>395</v>
      </c>
    </row>
    <row r="22" spans="1:12" ht="12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7" t="s">
        <v>384</v>
      </c>
      <c r="K22" s="68" t="s">
        <v>688</v>
      </c>
      <c r="L22" s="69" t="s">
        <v>421</v>
      </c>
    </row>
    <row r="23" spans="1:12" ht="12" customHeight="1" x14ac:dyDescent="0.2">
      <c r="E23" s="63"/>
      <c r="F23" s="63"/>
      <c r="G23" s="63"/>
      <c r="H23" s="63"/>
      <c r="I23" s="63"/>
      <c r="J23" s="67" t="s">
        <v>384</v>
      </c>
      <c r="K23" s="68" t="s">
        <v>735</v>
      </c>
      <c r="L23" s="69" t="s">
        <v>396</v>
      </c>
    </row>
    <row r="24" spans="1:12" ht="12" customHeight="1" x14ac:dyDescent="0.2">
      <c r="A24" s="63"/>
      <c r="E24" s="63"/>
      <c r="F24" s="63"/>
      <c r="G24" s="63"/>
      <c r="H24" s="63"/>
      <c r="I24" s="63"/>
      <c r="J24" s="67" t="s">
        <v>384</v>
      </c>
      <c r="K24" s="68" t="s">
        <v>611</v>
      </c>
      <c r="L24" s="69" t="s">
        <v>397</v>
      </c>
    </row>
    <row r="25" spans="1:12" ht="12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7" t="s">
        <v>384</v>
      </c>
      <c r="K25" s="68" t="s">
        <v>715</v>
      </c>
      <c r="L25" s="69" t="s">
        <v>398</v>
      </c>
    </row>
    <row r="26" spans="1:12" ht="12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7" t="s">
        <v>384</v>
      </c>
      <c r="K26" s="68" t="s">
        <v>623</v>
      </c>
      <c r="L26" s="69" t="s">
        <v>399</v>
      </c>
    </row>
    <row r="27" spans="1:12" ht="12" customHeight="1" x14ac:dyDescent="0.2">
      <c r="A27" s="63"/>
      <c r="B27" s="63"/>
      <c r="C27" s="63"/>
      <c r="D27" s="63"/>
      <c r="E27" s="63"/>
      <c r="F27" s="63"/>
      <c r="G27" s="63"/>
      <c r="H27" s="63"/>
      <c r="I27" s="63"/>
      <c r="J27" s="67" t="s">
        <v>384</v>
      </c>
      <c r="K27" s="68" t="s">
        <v>637</v>
      </c>
      <c r="L27" s="69" t="s">
        <v>400</v>
      </c>
    </row>
    <row r="28" spans="1:12" ht="12" customHeight="1" x14ac:dyDescent="0.2">
      <c r="A28" s="63"/>
      <c r="B28" s="63"/>
      <c r="C28" s="63"/>
      <c r="D28" s="63"/>
      <c r="E28" s="63"/>
      <c r="F28" s="63"/>
      <c r="G28" s="63"/>
      <c r="H28" s="63"/>
      <c r="I28" s="63"/>
      <c r="J28" s="67" t="s">
        <v>384</v>
      </c>
      <c r="K28" s="68" t="s">
        <v>664</v>
      </c>
      <c r="L28" s="69" t="s">
        <v>422</v>
      </c>
    </row>
    <row r="29" spans="1:12" ht="12" customHeight="1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7" t="s">
        <v>384</v>
      </c>
      <c r="K29" s="68" t="s">
        <v>658</v>
      </c>
      <c r="L29" s="69" t="s">
        <v>423</v>
      </c>
    </row>
    <row r="30" spans="1:12" ht="12" customHeight="1" x14ac:dyDescent="0.2">
      <c r="E30" s="63"/>
      <c r="F30" s="63"/>
      <c r="G30" s="63"/>
      <c r="H30" s="63"/>
      <c r="I30" s="63"/>
      <c r="J30" s="67" t="s">
        <v>384</v>
      </c>
      <c r="K30" s="68" t="s">
        <v>694</v>
      </c>
      <c r="L30" s="69" t="s">
        <v>424</v>
      </c>
    </row>
    <row r="31" spans="1:12" ht="12" customHeight="1" x14ac:dyDescent="0.2">
      <c r="E31" s="63"/>
      <c r="F31" s="63"/>
      <c r="G31" s="63"/>
      <c r="H31" s="63"/>
      <c r="I31" s="63"/>
      <c r="J31" s="67" t="s">
        <v>384</v>
      </c>
      <c r="K31" s="68" t="s">
        <v>619</v>
      </c>
      <c r="L31" s="69" t="s">
        <v>401</v>
      </c>
    </row>
    <row r="32" spans="1:12" ht="12" customHeight="1" x14ac:dyDescent="0.2">
      <c r="A32" s="63"/>
      <c r="B32" s="63"/>
      <c r="C32" s="63"/>
      <c r="D32" s="63"/>
      <c r="E32" s="63"/>
      <c r="F32" s="63"/>
      <c r="G32" s="63"/>
      <c r="H32" s="63"/>
      <c r="I32" s="63"/>
      <c r="J32" s="67" t="s">
        <v>384</v>
      </c>
      <c r="K32" s="68" t="s">
        <v>685</v>
      </c>
      <c r="L32" s="69" t="s">
        <v>425</v>
      </c>
    </row>
    <row r="33" spans="1:12" ht="12" customHeight="1" x14ac:dyDescent="0.2">
      <c r="A33" s="63"/>
      <c r="B33" s="63"/>
      <c r="C33" s="63"/>
      <c r="D33" s="63"/>
      <c r="E33" s="63"/>
      <c r="F33" s="63"/>
      <c r="G33" s="63"/>
      <c r="H33" s="63"/>
      <c r="I33" s="63"/>
      <c r="J33" s="67" t="s">
        <v>384</v>
      </c>
      <c r="K33" s="68" t="s">
        <v>742</v>
      </c>
      <c r="L33" s="69" t="s">
        <v>402</v>
      </c>
    </row>
    <row r="34" spans="1:12" ht="12" customHeight="1" x14ac:dyDescent="0.2">
      <c r="A34" s="63"/>
      <c r="B34" s="63"/>
      <c r="C34" s="63"/>
      <c r="D34" s="63"/>
      <c r="E34" s="63"/>
      <c r="F34" s="63"/>
      <c r="G34" s="63"/>
      <c r="H34" s="63"/>
      <c r="I34" s="63"/>
      <c r="J34" s="67" t="s">
        <v>384</v>
      </c>
      <c r="K34" s="68" t="s">
        <v>667</v>
      </c>
      <c r="L34" s="69" t="s">
        <v>426</v>
      </c>
    </row>
    <row r="35" spans="1:12" ht="12" customHeight="1" x14ac:dyDescent="0.2">
      <c r="A35" s="63"/>
      <c r="B35" s="63"/>
      <c r="C35" s="63"/>
      <c r="D35" s="63"/>
      <c r="E35" s="63"/>
      <c r="F35" s="63"/>
      <c r="G35" s="63"/>
      <c r="H35" s="63"/>
      <c r="I35" s="63"/>
      <c r="J35" s="67" t="s">
        <v>384</v>
      </c>
      <c r="K35" s="68" t="s">
        <v>621</v>
      </c>
      <c r="L35" s="69" t="s">
        <v>403</v>
      </c>
    </row>
    <row r="36" spans="1:12" ht="12" customHeight="1" x14ac:dyDescent="0.2">
      <c r="A36" s="63"/>
      <c r="B36" s="63"/>
      <c r="C36" s="63"/>
      <c r="D36" s="63"/>
      <c r="E36" s="63"/>
      <c r="F36" s="63"/>
      <c r="G36" s="63"/>
      <c r="H36" s="63"/>
      <c r="I36" s="63"/>
      <c r="J36" s="67" t="s">
        <v>384</v>
      </c>
      <c r="K36" s="68" t="s">
        <v>738</v>
      </c>
      <c r="L36" s="69" t="s">
        <v>404</v>
      </c>
    </row>
    <row r="37" spans="1:12" ht="12" customHeight="1" thickBot="1" x14ac:dyDescent="0.25">
      <c r="A37" s="63"/>
      <c r="B37" s="63"/>
      <c r="C37" s="63"/>
      <c r="D37" s="63"/>
      <c r="E37" s="63"/>
      <c r="F37" s="63"/>
      <c r="G37" s="63"/>
      <c r="H37" s="63"/>
      <c r="I37" s="63"/>
      <c r="J37" s="67" t="s">
        <v>384</v>
      </c>
      <c r="K37" s="68" t="s">
        <v>740</v>
      </c>
      <c r="L37" s="69" t="s">
        <v>405</v>
      </c>
    </row>
    <row r="38" spans="1:12" ht="12" customHeight="1" x14ac:dyDescent="0.2">
      <c r="K38" s="65" t="s">
        <v>599</v>
      </c>
    </row>
    <row r="39" spans="1:12" ht="12" customHeight="1" x14ac:dyDescent="0.2">
      <c r="K39" s="68" t="s">
        <v>607</v>
      </c>
    </row>
    <row r="40" spans="1:12" ht="12" customHeight="1" x14ac:dyDescent="0.2">
      <c r="K40" s="68" t="s">
        <v>605</v>
      </c>
    </row>
    <row r="41" spans="1:12" ht="12" customHeight="1" x14ac:dyDescent="0.2">
      <c r="F41" s="930"/>
      <c r="G41" s="930"/>
      <c r="H41" s="930"/>
      <c r="J41" s="478"/>
      <c r="K41" s="68" t="s">
        <v>602</v>
      </c>
      <c r="L41" s="478"/>
    </row>
    <row r="42" spans="1:12" ht="12" customHeight="1" x14ac:dyDescent="0.2">
      <c r="K42" s="68" t="s">
        <v>603</v>
      </c>
    </row>
    <row r="43" spans="1:12" ht="12" customHeight="1" x14ac:dyDescent="0.2">
      <c r="K43" s="68" t="s">
        <v>609</v>
      </c>
    </row>
    <row r="44" spans="1:12" ht="12" customHeight="1" x14ac:dyDescent="0.2">
      <c r="K44" s="68" t="s">
        <v>697</v>
      </c>
    </row>
    <row r="45" spans="1:12" ht="12" customHeight="1" x14ac:dyDescent="0.2">
      <c r="K45" s="68" t="s">
        <v>631</v>
      </c>
    </row>
    <row r="46" spans="1:12" ht="12" customHeight="1" x14ac:dyDescent="0.2">
      <c r="K46" s="68" t="s">
        <v>628</v>
      </c>
    </row>
    <row r="47" spans="1:12" ht="12" customHeight="1" x14ac:dyDescent="0.2">
      <c r="K47" s="68" t="s">
        <v>703</v>
      </c>
    </row>
    <row r="48" spans="1:12" ht="12" customHeight="1" x14ac:dyDescent="0.2">
      <c r="K48" s="68" t="s">
        <v>700</v>
      </c>
    </row>
    <row r="49" spans="11:11" ht="12" customHeight="1" thickBot="1" x14ac:dyDescent="0.25">
      <c r="K49" s="71" t="s">
        <v>706</v>
      </c>
    </row>
    <row r="50" spans="11:11" ht="12" customHeight="1" x14ac:dyDescent="0.2">
      <c r="K50" s="477" t="s">
        <v>721</v>
      </c>
    </row>
    <row r="51" spans="11:11" ht="12" customHeight="1" x14ac:dyDescent="0.2">
      <c r="K51" s="477" t="s">
        <v>730</v>
      </c>
    </row>
    <row r="52" spans="11:11" ht="12" customHeight="1" x14ac:dyDescent="0.2">
      <c r="K52" s="477" t="s">
        <v>733</v>
      </c>
    </row>
    <row r="53" spans="11:11" ht="12" customHeight="1" x14ac:dyDescent="0.2">
      <c r="K53" s="477" t="s">
        <v>727</v>
      </c>
    </row>
    <row r="54" spans="11:11" ht="12" customHeight="1" x14ac:dyDescent="0.2">
      <c r="K54" s="477" t="s">
        <v>724</v>
      </c>
    </row>
  </sheetData>
  <sortState xmlns:xlrd2="http://schemas.microsoft.com/office/spreadsheetml/2017/richdata2" ref="J2:L37">
    <sortCondition ref="L2:L37"/>
  </sortState>
  <mergeCells count="1">
    <mergeCell ref="F41:H41"/>
  </mergeCells>
  <dataValidations count="2">
    <dataValidation errorStyle="warning" allowBlank="1" showInputMessage="1" showErrorMessage="1" errorTitle="Input incorreto!" error="É necessário respeitar as informações que estão na lista." sqref="B15:C20 B7:C11 B2:C4" xr:uid="{755F8591-3B3D-4399-839B-87B404096520}"/>
    <dataValidation type="list" errorStyle="warning" allowBlank="1" showInputMessage="1" showErrorMessage="1" errorTitle="Input incorreto!" error="É necessário respeitar as informações que estão na lista." sqref="B12:C14" xr:uid="{79B16EBD-CEF0-4999-A5CD-E9BB19179E6A}">
      <formula1>#REF!</formula1>
    </dataValidation>
  </dataValidations>
  <pageMargins left="0.511811024" right="0.511811024" top="0.78740157499999974" bottom="0.78740157499999974" header="0.31496061999999997" footer="0.31496061999999997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765896A065E49960B6DF4F67B5AB2" ma:contentTypeVersion="12" ma:contentTypeDescription="Create a new document." ma:contentTypeScope="" ma:versionID="2b4d01dec8e39247231c15ec43f1d111">
  <xsd:schema xmlns:xsd="http://www.w3.org/2001/XMLSchema" xmlns:xs="http://www.w3.org/2001/XMLSchema" xmlns:p="http://schemas.microsoft.com/office/2006/metadata/properties" xmlns:ns2="9f19be7c-8f3a-4bce-8270-3748a4816cbe" xmlns:ns3="3567dcfe-304f-4bd2-a0d3-52ea82c61d16" targetNamespace="http://schemas.microsoft.com/office/2006/metadata/properties" ma:root="true" ma:fieldsID="9d5f7f51c999a4e1a153cc12357b884b" ns2:_="" ns3:_="">
    <xsd:import namespace="9f19be7c-8f3a-4bce-8270-3748a4816cbe"/>
    <xsd:import namespace="3567dcfe-304f-4bd2-a0d3-52ea82c61d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19be7c-8f3a-4bce-8270-3748a4816c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09bedb8-336e-43ae-b5ce-0f97c35e25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67dcfe-304f-4bd2-a0d3-52ea82c61d16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dbdfd67-4788-4638-a1d5-a3cfe7e40150}" ma:internalName="TaxCatchAll" ma:showField="CatchAllData" ma:web="3567dcfe-304f-4bd2-a0d3-52ea82c61d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f19be7c-8f3a-4bce-8270-3748a4816cbe">
      <Terms xmlns="http://schemas.microsoft.com/office/infopath/2007/PartnerControls"/>
    </lcf76f155ced4ddcb4097134ff3c332f>
    <TaxCatchAll xmlns="3567dcfe-304f-4bd2-a0d3-52ea82c61d16" xsi:nil="true"/>
  </documentManagement>
</p:properties>
</file>

<file path=customXml/itemProps1.xml><?xml version="1.0" encoding="utf-8"?>
<ds:datastoreItem xmlns:ds="http://schemas.openxmlformats.org/officeDocument/2006/customXml" ds:itemID="{43781429-7D09-4B7A-863E-A95D33BC89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19be7c-8f3a-4bce-8270-3748a4816cbe"/>
    <ds:schemaRef ds:uri="3567dcfe-304f-4bd2-a0d3-52ea82c61d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DA6CD8-E1EC-4CC4-89AE-006D769771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5F061E-5E72-40F7-BF7F-E69DFC711A2D}">
  <ds:schemaRefs>
    <ds:schemaRef ds:uri="http://schemas.microsoft.com/office/2006/metadata/properties"/>
    <ds:schemaRef ds:uri="http://schemas.microsoft.com/office/infopath/2007/PartnerControls"/>
    <ds:schemaRef ds:uri="9f19be7c-8f3a-4bce-8270-3748a4816cbe"/>
    <ds:schemaRef ds:uri="3567dcfe-304f-4bd2-a0d3-52ea82c61d1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13</vt:i4>
      </vt:variant>
    </vt:vector>
  </HeadingPairs>
  <TitlesOfParts>
    <vt:vector size="31" baseType="lpstr">
      <vt:lpstr>CM-TRANSPORTES</vt:lpstr>
      <vt:lpstr>TRANSMIT</vt:lpstr>
      <vt:lpstr>PUXADA</vt:lpstr>
      <vt:lpstr>RECONVAN</vt:lpstr>
      <vt:lpstr>GUARAPUAVA</vt:lpstr>
      <vt:lpstr>HORÁRIO</vt:lpstr>
      <vt:lpstr>SEDE</vt:lpstr>
      <vt:lpstr>LITORAL</vt:lpstr>
      <vt:lpstr>SUDOESTE</vt:lpstr>
      <vt:lpstr>SUDOESTsssE</vt:lpstr>
      <vt:lpstr>PONTA GROSSA</vt:lpstr>
      <vt:lpstr>Base Total</vt:lpstr>
      <vt:lpstr>FADEL</vt:lpstr>
      <vt:lpstr>CHECK LIST</vt:lpstr>
      <vt:lpstr>Início</vt:lpstr>
      <vt:lpstr>BR'S</vt:lpstr>
      <vt:lpstr>FILL RATE</vt:lpstr>
      <vt:lpstr>IMPRESSÃO_168</vt:lpstr>
      <vt:lpstr>a</vt:lpstr>
      <vt:lpstr>'CHECK LIST'!Area_de_impressao</vt:lpstr>
      <vt:lpstr>'CM-TRANSPORTES'!Area_de_impressao</vt:lpstr>
      <vt:lpstr>FADEL!Area_de_impressao</vt:lpstr>
      <vt:lpstr>GUARAPUAVA!Area_de_impressao</vt:lpstr>
      <vt:lpstr>HORÁRIO!Area_de_impressao</vt:lpstr>
      <vt:lpstr>LITORAL!Area_de_impressao</vt:lpstr>
      <vt:lpstr>'PONTA GROSSA'!Area_de_impressao</vt:lpstr>
      <vt:lpstr>SEDE!Area_de_impressao</vt:lpstr>
      <vt:lpstr>SUDOESTE!Area_de_impressao</vt:lpstr>
      <vt:lpstr>SUDOESTsssE!Area_de_impressao</vt:lpstr>
      <vt:lpstr>TRANSMIT!Area_de_impressao</vt:lpstr>
      <vt:lpstr>HORÁRIO!Titulos_de_impressao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Vanderli Diniz</dc:creator>
  <cp:keywords/>
  <dc:description/>
  <cp:lastModifiedBy>Katia De Fatima Boaventura De Souza</cp:lastModifiedBy>
  <cp:revision/>
  <dcterms:created xsi:type="dcterms:W3CDTF">2016-08-02T03:57:38Z</dcterms:created>
  <dcterms:modified xsi:type="dcterms:W3CDTF">2026-07-31T16:37:19Z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9fea72e-161c-48c8-8e82-3fc1e9b3162c_Enabled">
    <vt:lpwstr>true</vt:lpwstr>
  </property>
  <property fmtid="{D5CDD505-2E9C-101B-9397-08002B2CF9AE}" pid="3" name="MSIP_Label_e9fea72e-161c-48c8-8e82-3fc1e9b3162c_SetDate">
    <vt:lpwstr>2023-12-01T02:10:42Z</vt:lpwstr>
  </property>
  <property fmtid="{D5CDD505-2E9C-101B-9397-08002B2CF9AE}" pid="4" name="MSIP_Label_e9fea72e-161c-48c8-8e82-3fc1e9b3162c_Method">
    <vt:lpwstr>Standard</vt:lpwstr>
  </property>
  <property fmtid="{D5CDD505-2E9C-101B-9397-08002B2CF9AE}" pid="5" name="MSIP_Label_e9fea72e-161c-48c8-8e82-3fc1e9b3162c_Name">
    <vt:lpwstr>Normal sensitivity label</vt:lpwstr>
  </property>
  <property fmtid="{D5CDD505-2E9C-101B-9397-08002B2CF9AE}" pid="6" name="MSIP_Label_e9fea72e-161c-48c8-8e82-3fc1e9b3162c_SiteId">
    <vt:lpwstr>ff9c7474-421d-4957-8d47-c4b64dec87b5</vt:lpwstr>
  </property>
  <property fmtid="{D5CDD505-2E9C-101B-9397-08002B2CF9AE}" pid="7" name="MSIP_Label_e9fea72e-161c-48c8-8e82-3fc1e9b3162c_ActionId">
    <vt:lpwstr>7fe80e2e-502f-411a-86a2-c749776d5fb6</vt:lpwstr>
  </property>
  <property fmtid="{D5CDD505-2E9C-101B-9397-08002B2CF9AE}" pid="8" name="MSIP_Label_e9fea72e-161c-48c8-8e82-3fc1e9b3162c_ContentBits">
    <vt:lpwstr>0</vt:lpwstr>
  </property>
  <property fmtid="{D5CDD505-2E9C-101B-9397-08002B2CF9AE}" pid="9" name="ContentTypeId">
    <vt:lpwstr>0x010100521765896A065E49960B6DF4F67B5AB2</vt:lpwstr>
  </property>
  <property fmtid="{D5CDD505-2E9C-101B-9397-08002B2CF9AE}" pid="10" name="MediaServiceImageTags">
    <vt:lpwstr/>
  </property>
  <property fmtid="{D5CDD505-2E9C-101B-9397-08002B2CF9AE}" pid="11" name="Order">
    <vt:r8>8164800</vt:r8>
  </property>
  <property fmtid="{D5CDD505-2E9C-101B-9397-08002B2CF9AE}" pid="12" name="ComplianceAssetId">
    <vt:lpwstr/>
  </property>
  <property fmtid="{D5CDD505-2E9C-101B-9397-08002B2CF9AE}" pid="13" name="_ExtendedDescription">
    <vt:lpwstr/>
  </property>
  <property fmtid="{D5CDD505-2E9C-101B-9397-08002B2CF9AE}" pid="14" name="TriggerFlowInfo">
    <vt:lpwstr/>
  </property>
</Properties>
</file>